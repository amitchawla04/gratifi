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4.xml.rels" ContentType="application/vnd.openxmlformats-package.relationships+xml"/>
  <Override PartName="/xl/worksheets/_rels/sheet3.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Read me" sheetId="1" state="visible" r:id="rId3"/>
    <sheet name="Summary" sheetId="2" state="visible" r:id="rId4"/>
    <sheet name="Coverage" sheetId="3" state="visible" r:id="rId5"/>
    <sheet name="Use cases" sheetId="4" state="visible" r:id="rId6"/>
    <sheet name="Kit gaps" sheetId="5" state="visible" r:id="rId7"/>
    <sheet name="Markets" sheetId="6" state="visible" r:id="rId8"/>
    <sheet name="Grammar" sheetId="7" state="visible" r:id="rId9"/>
  </sheets>
  <definedNames>
    <definedName function="false" hidden="true" localSheetId="2" name="_xlnm._FilterDatabase" vbProcedure="false">Coverage!$A$1:$N$106</definedName>
    <definedName function="false" hidden="true" localSheetId="3" name="_xlnm._FilterDatabase" vbProcedure="false">'Use cases'!$A$1:$S$2316</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<sst xmlns="http://schemas.openxmlformats.org/spreadsheetml/2006/main" count="27813" uniqueCount="14392">
  <si>
    <t xml:space="preserve">Gratifi: every use case</t>
  </si>
  <si>
    <t xml:space="preserve">Everything a bank's customer can ask Gratifi to do, across every product, service and piece of content R360 and Gratifi provide. One row is one thing a customer wants done in one situation: what they say, what Gratifi does, which UI kit blocks it uses, what the systems decide, and what changes by market.</t>
  </si>
  <si>
    <t xml:space="preserve">What is covered</t>
  </si>
  <si>
    <t xml:space="preserve">19 categories and 105 products and services (sheet "Coverage"), built from: the Commerce in chat doc (18 categories and the R360 project list: Open Rewards, TripSure, PHANTOM, Airport VIP, iRewards 2.0, Piingle, new-age rewards, ZERO, Gratifi, R360 core), CACHE, and the Gratifi app sitemap (12 bank areas and every sub-area).</t>
  </si>
  <si>
    <t xml:space="preserve">Nothing counts as covered until "Coverage" shows zero gaps. An item is covered when it has at least 6 use cases, at least 2 where nothing goes wrong and at least 2 where something does. Add a product to "Coverage" and it shows as a gap until its use cases exist.</t>
  </si>
  <si>
    <t xml:space="preserve">How a row is built</t>
  </si>
  <si>
    <t xml:space="preserve">Stage × Job × Constraint × Exception. Stages: Discover, Search, Choose, Pay, Add-ons, Before, During, Problem, After, Account. "Customer says" is one example phrasing; the agent is trained on many per row. "Rules" are decided by systems, never by the model.</t>
  </si>
  <si>
    <t xml:space="preserve">"UI blocks" names components in the Gratifi UI kit. "NEW: Name" means the kit does not have that block yet; sheet "Kit gaps" lists every one and how often it is needed.</t>
  </si>
  <si>
    <t xml:space="preserve">Scoring (1 low to 5 high) and build waves</t>
  </si>
  <si>
    <t xml:space="preserve">Volume: how often customers ask. Value: revenue or loyalty impact. Risk: harm if wrong (money, rights, safety, regulation). Priority = Volume × Value ÷ Risk. Edit the blue cells to change the waves.</t>
  </si>
  <si>
    <t xml:space="preserve">Wave 1 needs priority of at least</t>
  </si>
  <si>
    <t xml:space="preserve">Wave 1 needs risk no higher than</t>
  </si>
  <si>
    <t xml:space="preserve">Risk of at least this goes to wave 3 (legal and human sign-off first)</t>
  </si>
  <si>
    <t xml:space="preserve">Core path (Y) rows are wave 1 even at high risk, because a customer cannot complete a booking without them; legal still signs off the high-risk ones before launch.</t>
  </si>
  <si>
    <t xml:space="preserve">Status and cautions</t>
  </si>
  <si>
    <t xml:space="preserve">• Scores are a first pass for discussion. Re-score with real volumes from partner banks and PHANTOM and TripSure history.</t>
  </si>
  <si>
    <t xml:space="preserve">• Compensation and consumer-law amounts are given only where set by law and known (UK261, EU261, UK Section 75). Anything else is named and marked "to confirm" for each bank's legal team. Market notes are prompts to check, not legal advice.</t>
  </si>
  <si>
    <t xml:space="preserve">• Investments (C13) and insurance selling need licences per market; those rows are information-only until legal signs off.</t>
  </si>
  <si>
    <t xml:space="preserve">• Arabic copy in the kit is a layout draft for native review. Suppliers, airlines and hotels in examples are fictional unless the inventory names the supply.</t>
  </si>
  <si>
    <t xml:space="preserve">• To add a use case: add a row at the bottom of "Use cases", fill the item ID and scores; copy Priority and Wave down.</t>
  </si>
  <si>
    <t xml:space="preserve">Summary</t>
  </si>
  <si>
    <t xml:space="preserve">Items with a coverage gap</t>
  </si>
  <si>
    <t xml:space="preserve">Use cases</t>
  </si>
  <si>
    <t xml:space="preserve">Products and services</t>
  </si>
  <si>
    <t xml:space="preserve">Kit blocks still to build</t>
  </si>
  <si>
    <t xml:space="preserve">Category</t>
  </si>
  <si>
    <t xml:space="preserve">Products</t>
  </si>
  <si>
    <t xml:space="preserve">Wave 1</t>
  </si>
  <si>
    <t xml:space="preserve">Wave 2</t>
  </si>
  <si>
    <t xml:space="preserve">Wave 3</t>
  </si>
  <si>
    <t xml:space="preserve">Gaps</t>
  </si>
  <si>
    <t xml:space="preserve">Average priority</t>
  </si>
  <si>
    <t xml:space="preserve">Flights</t>
  </si>
  <si>
    <t xml:space="preserve">Stays</t>
  </si>
  <si>
    <t xml:space="preserve">Airport and travel privileges</t>
  </si>
  <si>
    <t xml:space="preserve">Ground transport</t>
  </si>
  <si>
    <t xml:space="preserve">Experiences</t>
  </si>
  <si>
    <t xml:space="preserve">Dining</t>
  </si>
  <si>
    <t xml:space="preserve">Quick commerce and grocery</t>
  </si>
  <si>
    <t xml:space="preserve">Shopping</t>
  </si>
  <si>
    <t xml:space="preserve">Gift cards</t>
  </si>
  <si>
    <t xml:space="preserve">Subscriptions and digital</t>
  </si>
  <si>
    <t xml:space="preserve">Entertainment tickets</t>
  </si>
  <si>
    <t xml:space="preserve">Points and miles</t>
  </si>
  <si>
    <t xml:space="preserve">Investments and savings</t>
  </si>
  <si>
    <t xml:space="preserve">Charity</t>
  </si>
  <si>
    <t xml:space="preserve">Travel documents</t>
  </si>
  <si>
    <t xml:space="preserve">Concierge</t>
  </si>
  <si>
    <t xml:space="preserve">Bank entitlements and rewards</t>
  </si>
  <si>
    <t xml:space="preserve">Everyday bank servicing</t>
  </si>
  <si>
    <t xml:space="preserve">Engagement and moments</t>
  </si>
  <si>
    <t xml:space="preserve">Total</t>
  </si>
  <si>
    <t xml:space="preserve">Wave 1 is what the agent handles end to end first. Wave 3 needs legal sign-off and a person in the loop before launch.</t>
  </si>
  <si>
    <t xml:space="preserve">Item ID</t>
  </si>
  <si>
    <t xml:space="preserve">Item</t>
  </si>
  <si>
    <t xml:space="preserve">What it covers</t>
  </si>
  <si>
    <t xml:space="preserve">Supply</t>
  </si>
  <si>
    <t xml:space="preserve">Status as last recorded</t>
  </si>
  <si>
    <t xml:space="preserve">Nothing wrong</t>
  </si>
  <si>
    <t xml:space="preserve">Something wrong</t>
  </si>
  <si>
    <t xml:space="preserve">Pay rows</t>
  </si>
  <si>
    <t xml:space="preserve">Handovers</t>
  </si>
  <si>
    <t xml:space="preserve">Proactive</t>
  </si>
  <si>
    <t xml:space="preserve">New blocks needed</t>
  </si>
  <si>
    <t xml:space="preserve">Coverage</t>
  </si>
  <si>
    <t xml:space="preserve">FL-01</t>
  </si>
  <si>
    <t xml:space="preserve">One-way and return flights</t>
  </si>
  <si>
    <t xml:space="preserve">Search, compare, book</t>
  </si>
  <si>
    <t xml:space="preserve">TripSure, PHANTOM (TBO, TripJack, MistyFly), Kiwi.com and Expedia MCPs</t>
  </si>
  <si>
    <t xml:space="preserve">In build</t>
  </si>
  <si>
    <t xml:space="preserve">FL-02</t>
  </si>
  <si>
    <t xml:space="preserve">Multi-city, open jaw, groups</t>
  </si>
  <si>
    <t xml:space="preserve">Complex itineraries</t>
  </si>
  <si>
    <t xml:space="preserve">Same as FL-01</t>
  </si>
  <si>
    <t xml:space="preserve">FL-03</t>
  </si>
  <si>
    <t xml:space="preserve">Award seats and upgrades</t>
  </si>
  <si>
    <t xml:space="preserve">Points for seats and cabins</t>
  </si>
  <si>
    <t xml:space="preserve">Bank programmes, airline partners</t>
  </si>
  <si>
    <t xml:space="preserve">To source</t>
  </si>
  <si>
    <t xml:space="preserve">FL-04</t>
  </si>
  <si>
    <t xml:space="preserve">Seats, bags, meals, assistance</t>
  </si>
  <si>
    <t xml:space="preserve">Ancillaries</t>
  </si>
  <si>
    <t xml:space="preserve">Supplier APIs</t>
  </si>
  <si>
    <t xml:space="preserve">FL-05</t>
  </si>
  <si>
    <t xml:space="preserve">Changes and cancellations</t>
  </si>
  <si>
    <t xml:space="preserve">Manage booking</t>
  </si>
  <si>
    <t xml:space="preserve">Supplier APIs, fare rules</t>
  </si>
  <si>
    <t xml:space="preserve">FL-06</t>
  </si>
  <si>
    <t xml:space="preserve">Check-in and day of travel</t>
  </si>
  <si>
    <t xml:space="preserve">Boarding pass, status, gate</t>
  </si>
  <si>
    <t xml:space="preserve">Airline feeds</t>
  </si>
  <si>
    <t xml:space="preserve">FL-07</t>
  </si>
  <si>
    <t xml:space="preserve">Disruption and compensation</t>
  </si>
  <si>
    <t xml:space="preserve">Delays, cancellations, claims</t>
  </si>
  <si>
    <t xml:space="preserve">Airline feeds, local rules</t>
  </si>
  <si>
    <t xml:space="preserve">FL-08</t>
  </si>
  <si>
    <t xml:space="preserve">Payment, refunds and invoices</t>
  </si>
  <si>
    <t xml:space="preserve">Points, card, refunds, tax invoices</t>
  </si>
  <si>
    <t xml:space="preserve">R360 core, bank</t>
  </si>
  <si>
    <t xml:space="preserve">ST-01</t>
  </si>
  <si>
    <t xml:space="preserve">Hotels</t>
  </si>
  <si>
    <t xml:space="preserve">Search, compare, book rooms</t>
  </si>
  <si>
    <t xml:space="preserve">TripSure 2.5M+ hotels, HotelBeds, WebBeds, Expedia MCP</t>
  </si>
  <si>
    <t xml:space="preserve">Hotels-first launch</t>
  </si>
  <si>
    <t xml:space="preserve">ST-02</t>
  </si>
  <si>
    <t xml:space="preserve">Apartments and villas</t>
  </si>
  <si>
    <t xml:space="preserve">Longer and group stays</t>
  </si>
  <si>
    <t xml:space="preserve">Suppliers to confirm</t>
  </si>
  <si>
    <t xml:space="preserve">ST-03</t>
  </si>
  <si>
    <t xml:space="preserve">Resorts and packages</t>
  </si>
  <si>
    <t xml:space="preserve">Stay plus flights or extras</t>
  </si>
  <si>
    <t xml:space="preserve">TripSure, partners</t>
  </si>
  <si>
    <t xml:space="preserve">ST-04</t>
  </si>
  <si>
    <t xml:space="preserve">Dates, rooms, guests, refunds</t>
  </si>
  <si>
    <t xml:space="preserve">Supplier rules</t>
  </si>
  <si>
    <t xml:space="preserve">ST-05</t>
  </si>
  <si>
    <t xml:space="preserve">During the stay</t>
  </si>
  <si>
    <t xml:space="preserve">Check-in, requests, problems at the property</t>
  </si>
  <si>
    <t xml:space="preserve">Hotel partners, concierge</t>
  </si>
  <si>
    <t xml:space="preserve">To build</t>
  </si>
  <si>
    <t xml:space="preserve">ST-06</t>
  </si>
  <si>
    <t xml:space="preserve">Member rates and hotel loyalty</t>
  </si>
  <si>
    <t xml:space="preserve">Bank rates, hotel programme numbers</t>
  </si>
  <si>
    <t xml:space="preserve">Bank, hotel programmes</t>
  </si>
  <si>
    <t xml:space="preserve">AP-01</t>
  </si>
  <si>
    <t xml:space="preserve">Meet and greet</t>
  </si>
  <si>
    <t xml:space="preserve">Arrival and departure assistance</t>
  </si>
  <si>
    <t xml:space="preserve">Airport VIP (22 airports)</t>
  </si>
  <si>
    <t xml:space="preserve">Build package done</t>
  </si>
  <si>
    <t xml:space="preserve">AP-02</t>
  </si>
  <si>
    <t xml:space="preserve">Fast track</t>
  </si>
  <si>
    <t xml:space="preserve">Security and immigration fast track</t>
  </si>
  <si>
    <t xml:space="preserve">Airport VIP</t>
  </si>
  <si>
    <t xml:space="preserve">AP-03</t>
  </si>
  <si>
    <t xml:space="preserve">Lounges</t>
  </si>
  <si>
    <t xml:space="preserve">Card lounge visits and paid passes</t>
  </si>
  <si>
    <t xml:space="preserve">Airport VIP, bank programmes</t>
  </si>
  <si>
    <t xml:space="preserve">AP-04</t>
  </si>
  <si>
    <t xml:space="preserve">Airport transfers and porters</t>
  </si>
  <si>
    <t xml:space="preserve">Buggy, porter, transfer between terminals</t>
  </si>
  <si>
    <t xml:space="preserve">AP-05</t>
  </si>
  <si>
    <t xml:space="preserve">Other airport services</t>
  </si>
  <si>
    <t xml:space="preserve">Sleep pods, spa, baggage wrap, storage and the rest of the 44-service catalogue</t>
  </si>
  <si>
    <t xml:space="preserve">AP-06</t>
  </si>
  <si>
    <t xml:space="preserve">Service exceptions</t>
  </si>
  <si>
    <t xml:space="preserve">No-show agent, flight change, wrong terminal (the 15 exception protocols)</t>
  </si>
  <si>
    <t xml:space="preserve">GT-01</t>
  </si>
  <si>
    <t xml:space="preserve">Cabs and rides</t>
  </si>
  <si>
    <t xml:space="preserve">On-demand rides in town</t>
  </si>
  <si>
    <t xml:space="preserve">Uber MCP, partners</t>
  </si>
  <si>
    <t xml:space="preserve">MCP priority</t>
  </si>
  <si>
    <t xml:space="preserve">GT-02</t>
  </si>
  <si>
    <t xml:space="preserve">Airport rides</t>
  </si>
  <si>
    <t xml:space="preserve">Rides timed to flights</t>
  </si>
  <si>
    <t xml:space="preserve">Uber MCP, Airport VIP</t>
  </si>
  <si>
    <t xml:space="preserve">GT-03</t>
  </si>
  <si>
    <t xml:space="preserve">Rail</t>
  </si>
  <si>
    <t xml:space="preserve">Train tickets</t>
  </si>
  <si>
    <t xml:space="preserve">Partners to confirm</t>
  </si>
  <si>
    <t xml:space="preserve">GT-04</t>
  </si>
  <si>
    <t xml:space="preserve">Car hire</t>
  </si>
  <si>
    <t xml:space="preserve">Self-drive rental</t>
  </si>
  <si>
    <t xml:space="preserve">GT-05</t>
  </si>
  <si>
    <t xml:space="preserve">Chauffeur</t>
  </si>
  <si>
    <t xml:space="preserve">Pre-booked cars with driver</t>
  </si>
  <si>
    <t xml:space="preserve">Partners, concierge</t>
  </si>
  <si>
    <t xml:space="preserve">EX-01</t>
  </si>
  <si>
    <t xml:space="preserve">Attractions and theme parks</t>
  </si>
  <si>
    <t xml:space="preserve">Tickets with dates and time slots</t>
  </si>
  <si>
    <t xml:space="preserve">Viator, TripAdvisor MCPs</t>
  </si>
  <si>
    <t xml:space="preserve">EX-02</t>
  </si>
  <si>
    <t xml:space="preserve">Tours and day trips</t>
  </si>
  <si>
    <t xml:space="preserve">Guided tours, excursions</t>
  </si>
  <si>
    <t xml:space="preserve">Viator, TripAdvisor</t>
  </si>
  <si>
    <t xml:space="preserve">EX-03</t>
  </si>
  <si>
    <t xml:space="preserve">Global experiences</t>
  </si>
  <si>
    <t xml:space="preserve">Curated experiences priced in points</t>
  </si>
  <si>
    <t xml:space="preserve">iRewards Global Experiences</t>
  </si>
  <si>
    <t xml:space="preserve">Live (ICICI)</t>
  </si>
  <si>
    <t xml:space="preserve">EX-04</t>
  </si>
  <si>
    <t xml:space="preserve">Classes and workshops</t>
  </si>
  <si>
    <t xml:space="preserve">Cooking, sport, creative classes</t>
  </si>
  <si>
    <t xml:space="preserve">Partners</t>
  </si>
  <si>
    <t xml:space="preserve">EX-05</t>
  </si>
  <si>
    <t xml:space="preserve">Wellness and spa</t>
  </si>
  <si>
    <t xml:space="preserve">Spa, fitness, wellness bookings</t>
  </si>
  <si>
    <t xml:space="preserve">DN-01</t>
  </si>
  <si>
    <t xml:space="preserve">Table bookings</t>
  </si>
  <si>
    <t xml:space="preserve">Reserve a table</t>
  </si>
  <si>
    <t xml:space="preserve">Resy MCP, partner restaurants</t>
  </si>
  <si>
    <t xml:space="preserve">DN-02</t>
  </si>
  <si>
    <t xml:space="preserve">Set menus and chef's tables</t>
  </si>
  <si>
    <t xml:space="preserve">Prepaid dining experiences</t>
  </si>
  <si>
    <t xml:space="preserve">DN-03</t>
  </si>
  <si>
    <t xml:space="preserve">Dining offers and card benefits</t>
  </si>
  <si>
    <t xml:space="preserve">Discounts, complimentary items, programmes</t>
  </si>
  <si>
    <t xml:space="preserve">Bank, partners</t>
  </si>
  <si>
    <t xml:space="preserve">Live in some banks</t>
  </si>
  <si>
    <t xml:space="preserve">DN-04</t>
  </si>
  <si>
    <t xml:space="preserve">Waitlists and hard-to-get tables</t>
  </si>
  <si>
    <t xml:space="preserve">Waitlist, release alerts, concierge</t>
  </si>
  <si>
    <t xml:space="preserve">Resy, concierge</t>
  </si>
  <si>
    <t xml:space="preserve">QC-01</t>
  </si>
  <si>
    <t xml:space="preserve">10-minute delivery</t>
  </si>
  <si>
    <t xml:space="preserve">Hyperlocal instant delivery</t>
  </si>
  <si>
    <t xml:space="preserve">iRewards hyperlocal, Instamart-type partners</t>
  </si>
  <si>
    <t xml:space="preserve">QC-02</t>
  </si>
  <si>
    <t xml:space="preserve">Groceries</t>
  </si>
  <si>
    <t xml:space="preserve">Scheduled grocery orders</t>
  </si>
  <si>
    <t xml:space="preserve">Instacart MCP, partners</t>
  </si>
  <si>
    <t xml:space="preserve">QC-03</t>
  </si>
  <si>
    <t xml:space="preserve">Food delivery</t>
  </si>
  <si>
    <t xml:space="preserve">Restaurant delivery</t>
  </si>
  <si>
    <t xml:space="preserve">Swiggy MCP</t>
  </si>
  <si>
    <t xml:space="preserve">Parked; documented for when live</t>
  </si>
  <si>
    <t xml:space="preserve">SH-01</t>
  </si>
  <si>
    <t xml:space="preserve">Electronics</t>
  </si>
  <si>
    <t xml:space="preserve">Phones, laptops, audio</t>
  </si>
  <si>
    <t xml:space="preserve">R360 catalogue, Shopify brands, eBay</t>
  </si>
  <si>
    <t xml:space="preserve">Live</t>
  </si>
  <si>
    <t xml:space="preserve">SH-02</t>
  </si>
  <si>
    <t xml:space="preserve">Fashion and beauty</t>
  </si>
  <si>
    <t xml:space="preserve">Clothing, shoes, beauty</t>
  </si>
  <si>
    <t xml:space="preserve">R360 catalogue, Shopify brands</t>
  </si>
  <si>
    <t xml:space="preserve">SH-03</t>
  </si>
  <si>
    <t xml:space="preserve">Home and kitchen</t>
  </si>
  <si>
    <t xml:space="preserve">Appliances, homeware</t>
  </si>
  <si>
    <t xml:space="preserve">R360 catalogue</t>
  </si>
  <si>
    <t xml:space="preserve">SH-04</t>
  </si>
  <si>
    <t xml:space="preserve">Points catalogue</t>
  </si>
  <si>
    <t xml:space="preserve">R360 product marketplace priced in points</t>
  </si>
  <si>
    <t xml:space="preserve">R360 core, iRewards marketplace</t>
  </si>
  <si>
    <t xml:space="preserve">SH-05</t>
  </si>
  <si>
    <t xml:space="preserve">Brand shops with extra points</t>
  </si>
  <si>
    <t xml:space="preserve">Shop on the brand's own site with accelerated points (CACHE)</t>
  </si>
  <si>
    <t xml:space="preserve">CACHE brand channel</t>
  </si>
  <si>
    <t xml:space="preserve">SH-06</t>
  </si>
  <si>
    <t xml:space="preserve">Brand stores through MCP</t>
  </si>
  <si>
    <t xml:space="preserve">Order in chat from a brand's own tools; R360 pays the merchant</t>
  </si>
  <si>
    <t xml:space="preserve">Open Rewards (Shopify, eBay MCPs)</t>
  </si>
  <si>
    <t xml:space="preserve">Prototype</t>
  </si>
  <si>
    <t xml:space="preserve">SH-07</t>
  </si>
  <si>
    <t xml:space="preserve">Delivery, returns and warranty</t>
  </si>
  <si>
    <t xml:space="preserve">Track, return, replace, repair</t>
  </si>
  <si>
    <t xml:space="preserve">R360 fulfilment, brands</t>
  </si>
  <si>
    <t xml:space="preserve">GC-01</t>
  </si>
  <si>
    <t xml:space="preserve">Brand gift cards</t>
  </si>
  <si>
    <t xml:space="preserve">Buy with points or card</t>
  </si>
  <si>
    <t xml:space="preserve">Piingle, R360 catalogue</t>
  </si>
  <si>
    <t xml:space="preserve">GC-02</t>
  </si>
  <si>
    <t xml:space="preserve">E-vouchers from points</t>
  </si>
  <si>
    <t xml:space="preserve">Instant vouchers for spending elsewhere</t>
  </si>
  <si>
    <t xml:space="preserve">GC-03</t>
  </si>
  <si>
    <t xml:space="preserve">Gifting to others</t>
  </si>
  <si>
    <t xml:space="preserve">Send a card to someone</t>
  </si>
  <si>
    <t xml:space="preserve">Piingle</t>
  </si>
  <si>
    <t xml:space="preserve">Tech ready</t>
  </si>
  <si>
    <t xml:space="preserve">GC-04</t>
  </si>
  <si>
    <t xml:space="preserve">Balance, expiry and use</t>
  </si>
  <si>
    <t xml:space="preserve">Check, top up, redeem, expiry</t>
  </si>
  <si>
    <t xml:space="preserve">Piingle, brands</t>
  </si>
  <si>
    <t xml:space="preserve">GC-05</t>
  </si>
  <si>
    <t xml:space="preserve">Stored value and bulk</t>
  </si>
  <si>
    <t xml:space="preserve">Multi-brand and stored-value cards, bulk for business</t>
  </si>
  <si>
    <t xml:space="preserve">Relaunch being shaped</t>
  </si>
  <si>
    <t xml:space="preserve">SB-01</t>
  </si>
  <si>
    <t xml:space="preserve">Streaming video</t>
  </si>
  <si>
    <t xml:space="preserve">Video subscriptions</t>
  </si>
  <si>
    <t xml:space="preserve">iRewards subscriptions</t>
  </si>
  <si>
    <t xml:space="preserve">SB-02</t>
  </si>
  <si>
    <t xml:space="preserve">Music and audio</t>
  </si>
  <si>
    <t xml:space="preserve">Music, podcasts, audiobooks</t>
  </si>
  <si>
    <t xml:space="preserve">SB-03</t>
  </si>
  <si>
    <t xml:space="preserve">Apps and software</t>
  </si>
  <si>
    <t xml:space="preserve">Productivity, fitness, learning apps</t>
  </si>
  <si>
    <t xml:space="preserve">SB-04</t>
  </si>
  <si>
    <t xml:space="preserve">News and magazines</t>
  </si>
  <si>
    <t xml:space="preserve">Digital news and magazines</t>
  </si>
  <si>
    <t xml:space="preserve">SB-05</t>
  </si>
  <si>
    <t xml:space="preserve">Card-linked subscription benefits</t>
  </si>
  <si>
    <t xml:space="preserve">Subscriptions included with the card</t>
  </si>
  <si>
    <t xml:space="preserve">Bank</t>
  </si>
  <si>
    <t xml:space="preserve">Depends on card</t>
  </si>
  <si>
    <t xml:space="preserve">SB-06</t>
  </si>
  <si>
    <t xml:space="preserve">Renew, pause and cancel</t>
  </si>
  <si>
    <t xml:space="preserve">Manage any subscription bought through Gratifi</t>
  </si>
  <si>
    <t xml:space="preserve">ET-01</t>
  </si>
  <si>
    <t xml:space="preserve">Cinema</t>
  </si>
  <si>
    <t xml:space="preserve">Film tickets, offers</t>
  </si>
  <si>
    <t xml:space="preserve">ET-02</t>
  </si>
  <si>
    <t xml:space="preserve">Concerts and presales</t>
  </si>
  <si>
    <t xml:space="preserve">Live music, presale access</t>
  </si>
  <si>
    <t xml:space="preserve">Partners, bank programmes</t>
  </si>
  <si>
    <t xml:space="preserve">ET-03</t>
  </si>
  <si>
    <t xml:space="preserve">Sport</t>
  </si>
  <si>
    <t xml:space="preserve">Match and event tickets</t>
  </si>
  <si>
    <t xml:space="preserve">ET-04</t>
  </si>
  <si>
    <t xml:space="preserve">Theatre and festivals</t>
  </si>
  <si>
    <t xml:space="preserve">Shows, festivals</t>
  </si>
  <si>
    <t xml:space="preserve">ET-05</t>
  </si>
  <si>
    <t xml:space="preserve">Bank entertainment programmes</t>
  </si>
  <si>
    <t xml:space="preserve">Programmes such as Barclaycard Entertainment</t>
  </si>
  <si>
    <t xml:space="preserve">Depends on bank</t>
  </si>
  <si>
    <t xml:space="preserve">PM-01</t>
  </si>
  <si>
    <t xml:space="preserve">Transfer to airline programmes</t>
  </si>
  <si>
    <t xml:space="preserve">Move points to miles</t>
  </si>
  <si>
    <t xml:space="preserve">Bank programmes</t>
  </si>
  <si>
    <t xml:space="preserve">PM-02</t>
  </si>
  <si>
    <t xml:space="preserve">Transfer to hotel programmes</t>
  </si>
  <si>
    <t xml:space="preserve">Move points to hotel points</t>
  </si>
  <si>
    <t xml:space="preserve">PM-03</t>
  </si>
  <si>
    <t xml:space="preserve">Earning and balance</t>
  </si>
  <si>
    <t xml:space="preserve">What I have, how I earn, what it's worth</t>
  </si>
  <si>
    <t xml:space="preserve">Bank ledger</t>
  </si>
  <si>
    <t xml:space="preserve">PM-04</t>
  </si>
  <si>
    <t xml:space="preserve">Expiry, tiers and status</t>
  </si>
  <si>
    <t xml:space="preserve">Expiring points, tier progress</t>
  </si>
  <si>
    <t xml:space="preserve">PM-05</t>
  </si>
  <si>
    <t xml:space="preserve">Buy, gift or pool points</t>
  </si>
  <si>
    <t xml:space="preserve">Top up, share with family</t>
  </si>
  <si>
    <t xml:space="preserve">PM-06</t>
  </si>
  <si>
    <t xml:space="preserve">Milestones and bonus campaigns</t>
  </si>
  <si>
    <t xml:space="preserve">Spend targets, bonus offers</t>
  </si>
  <si>
    <t xml:space="preserve">iRewards milestone campaigns, bank</t>
  </si>
  <si>
    <t xml:space="preserve">PM-07</t>
  </si>
  <si>
    <t xml:space="preserve">Points against the bill</t>
  </si>
  <si>
    <t xml:space="preserve">Statement credit or cashback from points</t>
  </si>
  <si>
    <t xml:space="preserve">IV-01</t>
  </si>
  <si>
    <t xml:space="preserve">Digital gold</t>
  </si>
  <si>
    <t xml:space="preserve">Points into gold</t>
  </si>
  <si>
    <t xml:space="preserve">New-age rewards</t>
  </si>
  <si>
    <t xml:space="preserve">Idea; regulation to study</t>
  </si>
  <si>
    <t xml:space="preserve">IV-02</t>
  </si>
  <si>
    <t xml:space="preserve">Shares</t>
  </si>
  <si>
    <t xml:space="preserve">Points into shares</t>
  </si>
  <si>
    <t xml:space="preserve">IV-03</t>
  </si>
  <si>
    <t xml:space="preserve">Funds</t>
  </si>
  <si>
    <t xml:space="preserve">Points into mutual funds or unit trusts</t>
  </si>
  <si>
    <t xml:space="preserve">IV-04</t>
  </si>
  <si>
    <t xml:space="preserve">Savings top-up</t>
  </si>
  <si>
    <t xml:space="preserve">Points into a savings or deposit account</t>
  </si>
  <si>
    <t xml:space="preserve">Idea</t>
  </si>
  <si>
    <t xml:space="preserve">CH-01</t>
  </si>
  <si>
    <t xml:space="preserve">Donate points</t>
  </si>
  <si>
    <t xml:space="preserve">Give points to a charity</t>
  </si>
  <si>
    <t xml:space="preserve">CH-02</t>
  </si>
  <si>
    <t xml:space="preserve">Donate cashback or round-ups</t>
  </si>
  <si>
    <t xml:space="preserve">Give money back or round-ups</t>
  </si>
  <si>
    <t xml:space="preserve">Partners, bank</t>
  </si>
  <si>
    <t xml:space="preserve">CH-03</t>
  </si>
  <si>
    <t xml:space="preserve">Receipts and tax relief</t>
  </si>
  <si>
    <t xml:space="preserve">Donation receipts, Gift Aid and local equivalents</t>
  </si>
  <si>
    <t xml:space="preserve">TD-01</t>
  </si>
  <si>
    <t xml:space="preserve">Visas</t>
  </si>
  <si>
    <t xml:space="preserve">Check, apply, track</t>
  </si>
  <si>
    <t xml:space="preserve">TripSure visa</t>
  </si>
  <si>
    <t xml:space="preserve">In development</t>
  </si>
  <si>
    <t xml:space="preserve">TD-02</t>
  </si>
  <si>
    <t xml:space="preserve">Forex card and currency</t>
  </si>
  <si>
    <t xml:space="preserve">Travel money</t>
  </si>
  <si>
    <t xml:space="preserve">TD-03</t>
  </si>
  <si>
    <t xml:space="preserve">Travel insurance</t>
  </si>
  <si>
    <t xml:space="preserve">Cover for a trip</t>
  </si>
  <si>
    <t xml:space="preserve">Partners, bank cover</t>
  </si>
  <si>
    <t xml:space="preserve">TD-04</t>
  </si>
  <si>
    <t xml:space="preserve">eSIM and roaming</t>
  </si>
  <si>
    <t xml:space="preserve">Data abroad</t>
  </si>
  <si>
    <t xml:space="preserve">TD-05</t>
  </si>
  <si>
    <t xml:space="preserve">Passport and document reminders</t>
  </si>
  <si>
    <t xml:space="preserve">Expiry and validity checks</t>
  </si>
  <si>
    <t xml:space="preserve">Gratifi</t>
  </si>
  <si>
    <t xml:space="preserve">CO-01</t>
  </si>
  <si>
    <t xml:space="preserve">Hard-to-get tables</t>
  </si>
  <si>
    <t xml:space="preserve">Restaurants that are full</t>
  </si>
  <si>
    <t xml:space="preserve">PHANTOM, Quintessentially</t>
  </si>
  <si>
    <t xml:space="preserve">Console built</t>
  </si>
  <si>
    <t xml:space="preserve">CO-02</t>
  </si>
  <si>
    <t xml:space="preserve">Gifts and sourcing</t>
  </si>
  <si>
    <t xml:space="preserve">Find and deliver a gift or rare item</t>
  </si>
  <si>
    <t xml:space="preserve">CO-03</t>
  </si>
  <si>
    <t xml:space="preserve">Events and access</t>
  </si>
  <si>
    <t xml:space="preserve">Sold-out events, private access</t>
  </si>
  <si>
    <t xml:space="preserve">CO-04</t>
  </si>
  <si>
    <t xml:space="preserve">Bespoke trip planning</t>
  </si>
  <si>
    <t xml:space="preserve">Complex or luxury trips</t>
  </si>
  <si>
    <t xml:space="preserve">PHANTOM</t>
  </si>
  <si>
    <t xml:space="preserve">CO-05</t>
  </si>
  <si>
    <t xml:space="preserve">Errands and home</t>
  </si>
  <si>
    <t xml:space="preserve">Everyday help where offered</t>
  </si>
  <si>
    <t xml:space="preserve">BE-01</t>
  </si>
  <si>
    <t xml:space="preserve">Everything with my card</t>
  </si>
  <si>
    <t xml:space="preserve">The full list of benefits and what's left</t>
  </si>
  <si>
    <t xml:space="preserve">Gratifi entitlement catalogue</t>
  </si>
  <si>
    <t xml:space="preserve">Concept live</t>
  </si>
  <si>
    <t xml:space="preserve">BE-02</t>
  </si>
  <si>
    <t xml:space="preserve">Purchase protection and warranty</t>
  </si>
  <si>
    <t xml:space="preserve">Cover on things bought with the card</t>
  </si>
  <si>
    <t xml:space="preserve">BE-03</t>
  </si>
  <si>
    <t xml:space="preserve">Getting money back</t>
  </si>
  <si>
    <t xml:space="preserve">Section 75, chargeback and local equivalents</t>
  </si>
  <si>
    <t xml:space="preserve">Bank, local law</t>
  </si>
  <si>
    <t xml:space="preserve">BE-04</t>
  </si>
  <si>
    <t xml:space="preserve">Insurance and cover</t>
  </si>
  <si>
    <t xml:space="preserve">Travel, device, other cover with the card</t>
  </si>
  <si>
    <t xml:space="preserve">BE-05</t>
  </si>
  <si>
    <t xml:space="preserve">Cashback and rewards programmes</t>
  </si>
  <si>
    <t xml:space="preserve">Avios, cashback, partner programmes</t>
  </si>
  <si>
    <t xml:space="preserve">BE-06</t>
  </si>
  <si>
    <t xml:space="preserve">Card-linked offers</t>
  </si>
  <si>
    <t xml:space="preserve">Add offers, earn when you spend</t>
  </si>
  <si>
    <t xml:space="preserve">Bank, R360</t>
  </si>
  <si>
    <t xml:space="preserve">BE-07</t>
  </si>
  <si>
    <t xml:space="preserve">Know your rights</t>
  </si>
  <si>
    <t xml:space="preserve">Plain-words rights for this card and market</t>
  </si>
  <si>
    <t xml:space="preserve">BS-01</t>
  </si>
  <si>
    <t xml:space="preserve">Front door and settings</t>
  </si>
  <si>
    <t xml:space="preserve">Ways in, what Gratifi remembers, settings, card switching</t>
  </si>
  <si>
    <t xml:space="preserve">BS-02</t>
  </si>
  <si>
    <t xml:space="preserve">Money today</t>
  </si>
  <si>
    <t xml:space="preserve">Balance, what's due, pay, automatic payments, payment date, credit balance</t>
  </si>
  <si>
    <t xml:space="preserve">BS-03</t>
  </si>
  <si>
    <t xml:space="preserve">Spending and statements</t>
  </si>
  <si>
    <t xml:space="preserve">Transactions, one payment, statements, search</t>
  </si>
  <si>
    <t xml:space="preserve">BS-04</t>
  </si>
  <si>
    <t xml:space="preserve">Card and security</t>
  </si>
  <si>
    <t xml:space="preserve">Controls, lost or stolen, approvals, fraud and scams, extra cardholders</t>
  </si>
  <si>
    <t xml:space="preserve">BS-05</t>
  </si>
  <si>
    <t xml:space="preserve">Credit</t>
  </si>
  <si>
    <t xml:space="preserve">Limit, transfers, instalment plans, rates and fees, paying down, credit score</t>
  </si>
  <si>
    <t xml:space="preserve">BS-06</t>
  </si>
  <si>
    <t xml:space="preserve">Using the card abroad</t>
  </si>
  <si>
    <t xml:space="preserve">Before, during and after travel: fees, blocks, cash</t>
  </si>
  <si>
    <t xml:space="preserve">BS-07</t>
  </si>
  <si>
    <t xml:space="preserve">Help and care</t>
  </si>
  <si>
    <t xml:space="preserve">A person, money worries, customers who need more care, bereavement, accessibility, complaints, closing</t>
  </si>
  <si>
    <t xml:space="preserve">BS-08</t>
  </si>
  <si>
    <t xml:space="preserve">Business tools</t>
  </si>
  <si>
    <t xml:space="preserve">Employee cards, controls, expenses, business benefits</t>
  </si>
  <si>
    <t xml:space="preserve">EN-01</t>
  </si>
  <si>
    <t xml:space="preserve">Proactive moments</t>
  </si>
  <si>
    <t xml:space="preserve">The right thing for this person, here, now (ZERO ranker)</t>
  </si>
  <si>
    <t xml:space="preserve">ZERO, Gratifi</t>
  </si>
  <si>
    <t xml:space="preserve">EN-02</t>
  </si>
  <si>
    <t xml:space="preserve">Notifications and alerts</t>
  </si>
  <si>
    <t xml:space="preserve">Push, alerts, quiet hours, consent</t>
  </si>
  <si>
    <t xml:space="preserve">Gratifi, bank</t>
  </si>
  <si>
    <t xml:space="preserve">EN-03</t>
  </si>
  <si>
    <t xml:space="preserve">Challenges and streaks</t>
  </si>
  <si>
    <t xml:space="preserve">Spend or behaviour challenges with rewards</t>
  </si>
  <si>
    <t xml:space="preserve">EN-04</t>
  </si>
  <si>
    <t xml:space="preserve">Onboarding and first reward</t>
  </si>
  <si>
    <t xml:space="preserve">First use, first redemption</t>
  </si>
  <si>
    <t xml:space="preserve">EN-05</t>
  </si>
  <si>
    <t xml:space="preserve">Referrals</t>
  </si>
  <si>
    <t xml:space="preserve">Refer a friend rewards</t>
  </si>
  <si>
    <t xml:space="preserve">EN-06</t>
  </si>
  <si>
    <t xml:space="preserve">Feedback and preferences</t>
  </si>
  <si>
    <t xml:space="preserve">Ratings, likes, what not to show</t>
  </si>
  <si>
    <t xml:space="preserve">To add a product or service: add a row above this line with a new Item ID and copy the formulas in G to N. It shows GAP until its use cases exist.</t>
  </si>
  <si>
    <t xml:space="preserve">ID</t>
  </si>
  <si>
    <t xml:space="preserve">Stage</t>
  </si>
  <si>
    <t xml:space="preserve">Job</t>
  </si>
  <si>
    <t xml:space="preserve">Constraint</t>
  </si>
  <si>
    <t xml:space="preserve">Exception</t>
  </si>
  <si>
    <t xml:space="preserve">Customer says</t>
  </si>
  <si>
    <t xml:space="preserve">Gratifi does</t>
  </si>
  <si>
    <t xml:space="preserve">UI blocks (kit)</t>
  </si>
  <si>
    <t xml:space="preserve">Rules: systems decide</t>
  </si>
  <si>
    <t xml:space="preserve">Market notes</t>
  </si>
  <si>
    <t xml:space="preserve">Volume</t>
  </si>
  <si>
    <t xml:space="preserve">Value</t>
  </si>
  <si>
    <t xml:space="preserve">Risk</t>
  </si>
  <si>
    <t xml:space="preserve">Core path</t>
  </si>
  <si>
    <t xml:space="preserve">Priority</t>
  </si>
  <si>
    <t xml:space="preserve">Wave</t>
  </si>
  <si>
    <t xml:space="preserve">FL-01-001</t>
  </si>
  <si>
    <t xml:space="preserve">Discover</t>
  </si>
  <si>
    <t xml:space="preserve">Find somewhere to go</t>
  </si>
  <si>
    <t xml:space="preserve">Budget</t>
  </si>
  <si>
    <t xml:space="preserve">Somewhere warm in October for under 40,000 points</t>
  </si>
  <si>
    <t xml:space="preserve">Suggests 3 places the points cover, with flight price and weather</t>
  </si>
  <si>
    <t xml:space="preserve">Answer, Rail, Polaroid, Price</t>
  </si>
  <si>
    <t xml:space="preserve">Only places with live fares under the budget</t>
  </si>
  <si>
    <t xml:space="preserve">FL-01-002</t>
  </si>
  <si>
    <t xml:space="preserve">Dates fixed</t>
  </si>
  <si>
    <t xml:space="preserve">Where can I go for the long weekend?</t>
  </si>
  <si>
    <t xml:space="preserve">Finds direct flights for those dates, shortest first</t>
  </si>
  <si>
    <t xml:space="preserve">Answer, Rail, FlightCard</t>
  </si>
  <si>
    <t xml:space="preserve">Uses the bank holiday calendar for the market</t>
  </si>
  <si>
    <t xml:space="preserve">Holiday calendars differ: bank holidays (UK, EU), Diwali/Deepavali (IN, SG, MY), Eid/Hari Raya (AE, MY, SG, IN), Chinese New Year (SG, MY)</t>
  </si>
  <si>
    <t xml:space="preserve">FL-01-003</t>
  </si>
  <si>
    <t xml:space="preserve">Points only</t>
  </si>
  <si>
    <t xml:space="preserve">What can I get with my points alone?</t>
  </si>
  <si>
    <t xml:space="preserve">Shows trips fully covered by the balance</t>
  </si>
  <si>
    <t xml:space="preserve">Answer, Dial, Rail</t>
  </si>
  <si>
    <t xml:space="preserve">Balance and point value from the bank</t>
  </si>
  <si>
    <t xml:space="preserve">FL-01-004</t>
  </si>
  <si>
    <t xml:space="preserve">Travelling with kids</t>
  </si>
  <si>
    <t xml:space="preserve">Somewhere easy with a toddler, short flight</t>
  </si>
  <si>
    <t xml:space="preserve">Filters to under 3 hours, direct, family-friendly stays</t>
  </si>
  <si>
    <t xml:space="preserve">Answer, Rail, Chips</t>
  </si>
  <si>
    <t xml:space="preserve">Flight time cap is a hard filter</t>
  </si>
  <si>
    <t xml:space="preserve">FL-01-005</t>
  </si>
  <si>
    <t xml:space="preserve">Get a price alert</t>
  </si>
  <si>
    <t xml:space="preserve">Route known</t>
  </si>
  <si>
    <t xml:space="preserve">Tell me if London to Lisbon drops under £150</t>
  </si>
  <si>
    <t xml:space="preserve">Sets an alert and confirms the threshold</t>
  </si>
  <si>
    <t xml:space="preserve">Toast, Toggle</t>
  </si>
  <si>
    <t xml:space="preserve">Alert fires on supplier price, not an estimate</t>
  </si>
  <si>
    <t xml:space="preserve">FL-01-006</t>
  </si>
  <si>
    <t xml:space="preserve">Get told about a deal</t>
  </si>
  <si>
    <t xml:space="preserve">Card benefit</t>
  </si>
  <si>
    <t xml:space="preserve">(Gratifi starts it)</t>
  </si>
  <si>
    <t xml:space="preserve">Moment: a card offer on a route the customer flies often</t>
  </si>
  <si>
    <t xml:space="preserve">StickyNote, OfferCard</t>
  </si>
  <si>
    <t xml:space="preserve">Only offers the customer is eligible for; marketing consent checked</t>
  </si>
  <si>
    <t xml:space="preserve">Consent rules differ: UK GDPR/PECR, EU GDPR, India DPDP Act, Singapore PDPA, Malaysia PDPA, UAE PDPL</t>
  </si>
  <si>
    <t xml:space="preserve">FL-01-007</t>
  </si>
  <si>
    <t xml:space="preserve">Plan around an event</t>
  </si>
  <si>
    <t xml:space="preserve">Date fixed by event</t>
  </si>
  <si>
    <t xml:space="preserve">Flights for the F1 weekend</t>
  </si>
  <si>
    <t xml:space="preserve">Finds flights and warns about peak prices</t>
  </si>
  <si>
    <t xml:space="preserve">Answer, PriceCalendar, StateCard</t>
  </si>
  <si>
    <t xml:space="preserve">Event dates from content partner</t>
  </si>
  <si>
    <t xml:space="preserve">FL-01-008</t>
  </si>
  <si>
    <t xml:space="preserve">Compare two places</t>
  </si>
  <si>
    <t xml:space="preserve">Undecided</t>
  </si>
  <si>
    <t xml:space="preserve">Lisbon or Porto for 3 nights?</t>
  </si>
  <si>
    <t xml:space="preserve">Side-by-side of flight, hotel and total in points</t>
  </si>
  <si>
    <t xml:space="preserve">Compare</t>
  </si>
  <si>
    <t xml:space="preserve">Totals include taxes</t>
  </si>
  <si>
    <t xml:space="preserve">FL-01-009</t>
  </si>
  <si>
    <t xml:space="preserve">Search</t>
  </si>
  <si>
    <t xml:space="preserve">Book a return flight</t>
  </si>
  <si>
    <t xml:space="preserve">Lisbon for two, 16 to 18 October</t>
  </si>
  <si>
    <t xml:space="preserve">Three best options with a recommendation and the reason</t>
  </si>
  <si>
    <t xml:space="preserve">YouSaid, Steps, Answer, Rail, FlightCard, Suggestions</t>
  </si>
  <si>
    <t xml:space="preserve">Supplier fares only; the recommendation reason must be a stated fact</t>
  </si>
  <si>
    <t xml:space="preserve">Y</t>
  </si>
  <si>
    <t xml:space="preserve">FL-01-010</t>
  </si>
  <si>
    <t xml:space="preserve">Flexible dates</t>
  </si>
  <si>
    <t xml:space="preserve">Cheapest week in October to Lisbon</t>
  </si>
  <si>
    <t xml:space="preserve">Price calendar with the cheapest days marked</t>
  </si>
  <si>
    <t xml:space="preserve">PriceCalendar</t>
  </si>
  <si>
    <t xml:space="preserve">Calendar prices are cached; confirm live before pay</t>
  </si>
  <si>
    <t xml:space="preserve">Week starts Sunday in IN and SG, Monday elsewhere</t>
  </si>
  <si>
    <t xml:space="preserve">FL-01-011</t>
  </si>
  <si>
    <t xml:space="preserve">Book a one-way flight</t>
  </si>
  <si>
    <t xml:space="preserve">One way to Dubai on Friday</t>
  </si>
  <si>
    <t xml:space="preserve">Results for one-way only</t>
  </si>
  <si>
    <t xml:space="preserve">FlightCard, Rail</t>
  </si>
  <si>
    <t xml:space="preserve">FL-01-012</t>
  </si>
  <si>
    <t xml:space="preserve">Search with filters</t>
  </si>
  <si>
    <t xml:space="preserve">Direct only</t>
  </si>
  <si>
    <t xml:space="preserve">Only direct</t>
  </si>
  <si>
    <t xml:space="preserve">Filters and says how many are left</t>
  </si>
  <si>
    <t xml:space="preserve">FilterBar, Chips</t>
  </si>
  <si>
    <t xml:space="preserve">FL-01-013</t>
  </si>
  <si>
    <t xml:space="preserve">Time of day</t>
  </si>
  <si>
    <t xml:space="preserve">Nothing before 9am</t>
  </si>
  <si>
    <t xml:space="preserve">Filters by departure time</t>
  </si>
  <si>
    <t xml:space="preserve">FilterBar</t>
  </si>
  <si>
    <t xml:space="preserve">FL-01-014</t>
  </si>
  <si>
    <t xml:space="preserve">Airline preference</t>
  </si>
  <si>
    <t xml:space="preserve">Only airlines where I earn miles</t>
  </si>
  <si>
    <t xml:space="preserve">Filters to airlines linked to the customer's schemes</t>
  </si>
  <si>
    <t xml:space="preserve">FilterBar, Badge</t>
  </si>
  <si>
    <t xml:space="preserve">Frequent flyer numbers from the profile</t>
  </si>
  <si>
    <t xml:space="preserve">FL-01-015</t>
  </si>
  <si>
    <t xml:space="preserve">Bag included</t>
  </si>
  <si>
    <t xml:space="preserve">Must include a checked bag</t>
  </si>
  <si>
    <t xml:space="preserve">Filters to fares with a checked bag, shows true total</t>
  </si>
  <si>
    <t xml:space="preserve">FilterBar, FareFamilies</t>
  </si>
  <si>
    <t xml:space="preserve">Total must include the bag</t>
  </si>
  <si>
    <t xml:space="preserve">FL-01-016</t>
  </si>
  <si>
    <t xml:space="preserve">Search nearby airports</t>
  </si>
  <si>
    <t xml:space="preserve">City, not airport</t>
  </si>
  <si>
    <t xml:space="preserve">Any London airport</t>
  </si>
  <si>
    <t xml:space="preserve">Searches all airports for the city</t>
  </si>
  <si>
    <t xml:space="preserve">FlightCard</t>
  </si>
  <si>
    <t xml:space="preserve">Airport groups per city</t>
  </si>
  <si>
    <t xml:space="preserve">FL-01-017</t>
  </si>
  <si>
    <t xml:space="preserve">Search by voice</t>
  </si>
  <si>
    <t xml:space="preserve">Hands busy</t>
  </si>
  <si>
    <t xml:space="preserve">(spoken) Flights to Goa next weekend</t>
  </si>
  <si>
    <t xml:space="preserve">Transcribes, confirms understanding, searches</t>
  </si>
  <si>
    <t xml:space="preserve">AskBar (listening), YouSaid</t>
  </si>
  <si>
    <t xml:space="preserve">Shows what it heard before acting</t>
  </si>
  <si>
    <t xml:space="preserve">Voice in English first; Hindi, Arabic, Malay later</t>
  </si>
  <si>
    <t xml:space="preserve">FL-01-018</t>
  </si>
  <si>
    <t xml:space="preserve">Search premium cabins</t>
  </si>
  <si>
    <t xml:space="preserve">Business class</t>
  </si>
  <si>
    <t xml:space="preserve">Business class to Singapore</t>
  </si>
  <si>
    <t xml:space="preserve">Shows business fares and points cost</t>
  </si>
  <si>
    <t xml:space="preserve">FlightCard, FareFamilies</t>
  </si>
  <si>
    <t xml:space="preserve">FL-01-019</t>
  </si>
  <si>
    <t xml:space="preserve">Search with points and cash</t>
  </si>
  <si>
    <t xml:space="preserve">Budget in points</t>
  </si>
  <si>
    <t xml:space="preserve">Use no more than 20,000 points</t>
  </si>
  <si>
    <t xml:space="preserve">Prices each option as points plus cash</t>
  </si>
  <si>
    <t xml:space="preserve">PointsSlider, Price</t>
  </si>
  <si>
    <t xml:space="preserve">Point value from the bank</t>
  </si>
  <si>
    <t xml:space="preserve">FL-01-020</t>
  </si>
  <si>
    <t xml:space="preserve">Nothing found</t>
  </si>
  <si>
    <t xml:space="preserve">Too strict</t>
  </si>
  <si>
    <t xml:space="preserve">No results</t>
  </si>
  <si>
    <t xml:space="preserve">Direct, before 9am, under £100</t>
  </si>
  <si>
    <t xml:space="preserve">Says which filter blocks it and offers the nearest options</t>
  </si>
  <si>
    <t xml:space="preserve">StateCard (empty)</t>
  </si>
  <si>
    <t xml:space="preserve">Never invents a flight</t>
  </si>
  <si>
    <t xml:space="preserve">FL-01-021</t>
  </si>
  <si>
    <t xml:space="preserve">Search fails</t>
  </si>
  <si>
    <t xml:space="preserve">Supplier down</t>
  </si>
  <si>
    <t xml:space="preserve">Timeout</t>
  </si>
  <si>
    <t xml:space="preserve">(any search)</t>
  </si>
  <si>
    <t xml:space="preserve">Says the airline is not answering, nothing was booked, try again</t>
  </si>
  <si>
    <t xml:space="preserve">StateCard (error)</t>
  </si>
  <si>
    <t xml:space="preserve">Retry with backoff; switch supplier if available</t>
  </si>
  <si>
    <t xml:space="preserve">FL-01-022</t>
  </si>
  <si>
    <t xml:space="preserve">Book last minute</t>
  </si>
  <si>
    <t xml:space="preserve">Today</t>
  </si>
  <si>
    <t xml:space="preserve">Next flight to Edinburgh</t>
  </si>
  <si>
    <t xml:space="preserve">Shows flights leaving soonest with check-in cut-off</t>
  </si>
  <si>
    <t xml:space="preserve">FlightCard, Status</t>
  </si>
  <si>
    <t xml:space="preserve">Cut-off times per airline</t>
  </si>
  <si>
    <t xml:space="preserve">FL-01-023</t>
  </si>
  <si>
    <t xml:space="preserve">Choose</t>
  </si>
  <si>
    <t xml:space="preserve">Choose between flights</t>
  </si>
  <si>
    <t xml:space="preserve">Two close options</t>
  </si>
  <si>
    <t xml:space="preserve">Which is better, the 7am or the 11am?</t>
  </si>
  <si>
    <t xml:space="preserve">Compares on what differs: time, bag, price, points back</t>
  </si>
  <si>
    <t xml:space="preserve">Only facts from the fares</t>
  </si>
  <si>
    <t xml:space="preserve">FL-01-024</t>
  </si>
  <si>
    <t xml:space="preserve">Understand a fare</t>
  </si>
  <si>
    <t xml:space="preserve">Unsure what is included</t>
  </si>
  <si>
    <t xml:space="preserve">Does Light include a bag?</t>
  </si>
  <si>
    <t xml:space="preserve">Shows fare families, ticked and greyed</t>
  </si>
  <si>
    <t xml:space="preserve">FareFamilies</t>
  </si>
  <si>
    <t xml:space="preserve">Fare rules from the supplier, word for word in the source</t>
  </si>
  <si>
    <t xml:space="preserve">FL-01-025</t>
  </si>
  <si>
    <t xml:space="preserve">Understand change rules</t>
  </si>
  <si>
    <t xml:space="preserve">Might change plans</t>
  </si>
  <si>
    <t xml:space="preserve">Can I change the date later?</t>
  </si>
  <si>
    <t xml:space="preserve">Plain-words fare rules: free, fee, not possible</t>
  </si>
  <si>
    <t xml:space="preserve">FareRules</t>
  </si>
  <si>
    <t xml:space="preserve">Rules from fare; never guessed</t>
  </si>
  <si>
    <t xml:space="preserve">FL-01-026</t>
  </si>
  <si>
    <t xml:space="preserve">See the full journey</t>
  </si>
  <si>
    <t xml:space="preserve">Connection</t>
  </si>
  <si>
    <t xml:space="preserve">How long is the stop in Porto?</t>
  </si>
  <si>
    <t xml:space="preserve">Itinerary with layover; tight ones in amber</t>
  </si>
  <si>
    <t xml:space="preserve">Itinerary</t>
  </si>
  <si>
    <t xml:space="preserve">Minimum connection time per airport</t>
  </si>
  <si>
    <t xml:space="preserve">FL-01-027</t>
  </si>
  <si>
    <t xml:space="preserve">See the plane</t>
  </si>
  <si>
    <t xml:space="preserve">Comfort</t>
  </si>
  <si>
    <t xml:space="preserve">What plane is it?</t>
  </si>
  <si>
    <t xml:space="preserve">Aircraft type and seat pitch if known</t>
  </si>
  <si>
    <t xml:space="preserve">Itinerary, Meta</t>
  </si>
  <si>
    <t xml:space="preserve">FL-01-028</t>
  </si>
  <si>
    <t xml:space="preserve">Choose travellers</t>
  </si>
  <si>
    <t xml:space="preserve">Children</t>
  </si>
  <si>
    <t xml:space="preserve">Two adults and a 3 year old</t>
  </si>
  <si>
    <t xml:space="preserve">Sets travellers with correct age bands</t>
  </si>
  <si>
    <t xml:space="preserve">Travellers</t>
  </si>
  <si>
    <t xml:space="preserve">Age on the day of travel; airline bands</t>
  </si>
  <si>
    <t xml:space="preserve">FL-01-029</t>
  </si>
  <si>
    <t xml:space="preserve">Infant on lap</t>
  </si>
  <si>
    <t xml:space="preserve">Plus a baby</t>
  </si>
  <si>
    <t xml:space="preserve">Adds infant, one per adult</t>
  </si>
  <si>
    <t xml:space="preserve">Infants never exceed adults</t>
  </si>
  <si>
    <t xml:space="preserve">FL-01-030</t>
  </si>
  <si>
    <t xml:space="preserve">Travelling alone as a minor</t>
  </si>
  <si>
    <t xml:space="preserve">My daughter is flying alone, she's 13</t>
  </si>
  <si>
    <t xml:space="preserve">Explains the airline's unaccompanied minor service and hands over</t>
  </si>
  <si>
    <t xml:space="preserve">StateCard, Handoff</t>
  </si>
  <si>
    <t xml:space="preserve">Unaccompanied minors always go to a person</t>
  </si>
  <si>
    <t xml:space="preserve">FL-01-031</t>
  </si>
  <si>
    <t xml:space="preserve">Price changed</t>
  </si>
  <si>
    <t xml:space="preserve">Between search and choose</t>
  </si>
  <si>
    <t xml:space="preserve">Fare rose</t>
  </si>
  <si>
    <t xml:space="preserve">(taps a flight)</t>
  </si>
  <si>
    <t xml:space="preserve">Shows old and new price, asks to continue</t>
  </si>
  <si>
    <t xml:space="preserve">StateCard (price)</t>
  </si>
  <si>
    <t xml:space="preserve">Never book at a higher price without a new yes</t>
  </si>
  <si>
    <t xml:space="preserve">FL-01-032</t>
  </si>
  <si>
    <t xml:space="preserve">Sold out</t>
  </si>
  <si>
    <t xml:space="preserve">Last seats</t>
  </si>
  <si>
    <t xml:space="preserve">Fare gone</t>
  </si>
  <si>
    <t xml:space="preserve">Says it has gone and offers the next best</t>
  </si>
  <si>
    <t xml:space="preserve">StateCard (soldout)</t>
  </si>
  <si>
    <t xml:space="preserve">FL-01-033</t>
  </si>
  <si>
    <t xml:space="preserve">Hold a fare</t>
  </si>
  <si>
    <t xml:space="preserve">Deciding</t>
  </si>
  <si>
    <t xml:space="preserve">Can you hold this for a day?</t>
  </si>
  <si>
    <t xml:space="preserve">Offers fare hold if the airline sells it</t>
  </si>
  <si>
    <t xml:space="preserve">StateCard, ConfirmSheet</t>
  </si>
  <si>
    <t xml:space="preserve">Hold price and time from the airline</t>
  </si>
  <si>
    <t xml:space="preserve">FL-01-034</t>
  </si>
  <si>
    <t xml:space="preserve">Check the carbon</t>
  </si>
  <si>
    <t xml:space="preserve">Green choice</t>
  </si>
  <si>
    <t xml:space="preserve">Which one is lower carbon?</t>
  </si>
  <si>
    <t xml:space="preserve">Shows estimated emissions per option</t>
  </si>
  <si>
    <t xml:space="preserve">Estimate from a named source</t>
  </si>
  <si>
    <t xml:space="preserve">Carbon disclosure rules vary; EU strictest</t>
  </si>
  <si>
    <t xml:space="preserve">FL-02-001</t>
  </si>
  <si>
    <t xml:space="preserve">Book a multi-city trip</t>
  </si>
  <si>
    <t xml:space="preserve">Several stops</t>
  </si>
  <si>
    <t xml:space="preserve">London to Lisbon, then Porto, then home</t>
  </si>
  <si>
    <t xml:space="preserve">Builds the legs and prices them together and separately</t>
  </si>
  <si>
    <t xml:space="preserve">Itinerary, Compare</t>
  </si>
  <si>
    <t xml:space="preserve">Separate tickets flagged: missed connections not protected</t>
  </si>
  <si>
    <t xml:space="preserve">FL-02-002</t>
  </si>
  <si>
    <t xml:space="preserve">Search for a group</t>
  </si>
  <si>
    <t xml:space="preserve">5 or more</t>
  </si>
  <si>
    <t xml:space="preserve">Flights for 8 of us</t>
  </si>
  <si>
    <t xml:space="preserve">Checks seat availability for 8, offers group fare route</t>
  </si>
  <si>
    <t xml:space="preserve">Travellers, StateCard, Handoff</t>
  </si>
  <si>
    <t xml:space="preserve">Over 9 passengers goes to group desk</t>
  </si>
  <si>
    <t xml:space="preserve">FL-02-003</t>
  </si>
  <si>
    <t xml:space="preserve">Open jaw</t>
  </si>
  <si>
    <t xml:space="preserve">Fly into Lisbon, back from Porto</t>
  </si>
  <si>
    <t xml:space="preserve">Prices the open jaw as one trip</t>
  </si>
  <si>
    <t xml:space="preserve">Itinerary, FlightCard</t>
  </si>
  <si>
    <t xml:space="preserve">Fare construction by supplier</t>
  </si>
  <si>
    <t xml:space="preserve">FL-02-004</t>
  </si>
  <si>
    <t xml:space="preserve">Book for someone else</t>
  </si>
  <si>
    <t xml:space="preserve">Gift trip</t>
  </si>
  <si>
    <t xml:space="preserve">Book flights for my parents</t>
  </si>
  <si>
    <t xml:space="preserve">Captures their names, pays from my points</t>
  </si>
  <si>
    <t xml:space="preserve">Travellers, PayWith</t>
  </si>
  <si>
    <t xml:space="preserve">Names must match passports</t>
  </si>
  <si>
    <t xml:space="preserve">FL-02-005</t>
  </si>
  <si>
    <t xml:space="preserve">Stopover</t>
  </si>
  <si>
    <t xml:space="preserve">London to Singapore with 3 nights in Dubai on the way</t>
  </si>
  <si>
    <t xml:space="preserve">Prices the stopover as one ticket and shows the extra cost of the stop</t>
  </si>
  <si>
    <t xml:space="preserve">Itinerary, FlightCard, PriceLines</t>
  </si>
  <si>
    <t xml:space="preserve">Fare construction by supplier; stopover rules from the fare</t>
  </si>
  <si>
    <t xml:space="preserve">FL-02-006</t>
  </si>
  <si>
    <t xml:space="preserve">10 or more</t>
  </si>
  <si>
    <t xml:space="preserve">Flights for our team of 14 to Goa</t>
  </si>
  <si>
    <t xml:space="preserve">Explains group fares, collects names later, hands to the group desk</t>
  </si>
  <si>
    <t xml:space="preserve">Travellers, Answer, Handoff</t>
  </si>
  <si>
    <t xml:space="preserve">Group bookings over 9 go to the group desk</t>
  </si>
  <si>
    <t xml:space="preserve">FL-02-007</t>
  </si>
  <si>
    <t xml:space="preserve">One leg sold out</t>
  </si>
  <si>
    <t xml:space="preserve">Book the three flights we planned</t>
  </si>
  <si>
    <t xml:space="preserve">Says which leg has gone, offers the nearest alternative for that leg only, keeps the rest</t>
  </si>
  <si>
    <t xml:space="preserve">Itinerary, StateCard (soldout), FlightCard</t>
  </si>
  <si>
    <t xml:space="preserve">Never book part of a multi-city trip without a new yes</t>
  </si>
  <si>
    <t xml:space="preserve">FL-02-008</t>
  </si>
  <si>
    <t xml:space="preserve">Pay</t>
  </si>
  <si>
    <t xml:space="preserve">Separate tickets</t>
  </si>
  <si>
    <t xml:space="preserve">Second ticket fails</t>
  </si>
  <si>
    <t xml:space="preserve">(confirms)</t>
  </si>
  <si>
    <t xml:space="preserve">First ticket booked, second failed: explains, offers to retry or cancel the first within its free window</t>
  </si>
  <si>
    <t xml:space="preserve">StateCard (error), Receipt, Handoff</t>
  </si>
  <si>
    <t xml:space="preserve">Pair separate tickets only with a clear warning; void window from the supplier</t>
  </si>
  <si>
    <t xml:space="preserve">FL-02-009</t>
  </si>
  <si>
    <t xml:space="preserve">Names not ready</t>
  </si>
  <si>
    <t xml:space="preserve">I'll send the names next week</t>
  </si>
  <si>
    <t xml:space="preserve">Holds the group fare if the airline allows and sets a reminder for the name deadline</t>
  </si>
  <si>
    <t xml:space="preserve">StateCard, Toast</t>
  </si>
  <si>
    <t xml:space="preserve">Name deadline and deposit from the airline</t>
  </si>
  <si>
    <t xml:space="preserve">FL-02-010</t>
  </si>
  <si>
    <t xml:space="preserve">Before</t>
  </si>
  <si>
    <t xml:space="preserve">Change a multi-city trip</t>
  </si>
  <si>
    <t xml:space="preserve">Middle leg</t>
  </si>
  <si>
    <t xml:space="preserve">Stay two more nights in Dubai</t>
  </si>
  <si>
    <t xml:space="preserve">Prices changing the middle leg and shows the difference</t>
  </si>
  <si>
    <t xml:space="preserve">ChangeFlight, Itinerary</t>
  </si>
  <si>
    <t xml:space="preserve">Change rules apply per fare component</t>
  </si>
  <si>
    <t xml:space="preserve">FL-03-001</t>
  </si>
  <si>
    <t xml:space="preserve">Find award seats</t>
  </si>
  <si>
    <t xml:space="preserve">Points balance</t>
  </si>
  <si>
    <t xml:space="preserve">Tells them award seats to a saved destination have opened</t>
  </si>
  <si>
    <t xml:space="preserve">StickyNote, FlightCard</t>
  </si>
  <si>
    <t xml:space="preserve">Only with alert consent</t>
  </si>
  <si>
    <t xml:space="preserve">FL-03-002</t>
  </si>
  <si>
    <t xml:space="preserve">Business class to Singapore with my airline miles</t>
  </si>
  <si>
    <t xml:space="preserve">Shows award seat availability and the miles and taxes needed</t>
  </si>
  <si>
    <t xml:space="preserve">FlightCard, FareFamilies, Price</t>
  </si>
  <si>
    <t xml:space="preserve">Award space from the airline or partner feed only</t>
  </si>
  <si>
    <t xml:space="preserve">Award programmes and partners differ per bank and market</t>
  </si>
  <si>
    <t xml:space="preserve">FL-03-003</t>
  </si>
  <si>
    <t xml:space="preserve">Any day in March with award seats for two</t>
  </si>
  <si>
    <t xml:space="preserve">Calendar of days with two award seats</t>
  </si>
  <si>
    <t xml:space="preserve">Award space changes by the minute; confirm before transfer</t>
  </si>
  <si>
    <t xml:space="preserve">FL-03-004</t>
  </si>
  <si>
    <t xml:space="preserve">Need a transfer first</t>
  </si>
  <si>
    <t xml:space="preserve">I have bank points, not miles</t>
  </si>
  <si>
    <t xml:space="preserve">Shows the transfer needed, the rate, how long it takes, and warns it cannot be undone</t>
  </si>
  <si>
    <t xml:space="preserve">Answer, PriceLines, ConfirmSheet</t>
  </si>
  <si>
    <t xml:space="preserve">Never transfer before checking award space is still there</t>
  </si>
  <si>
    <t xml:space="preserve">FL-03-005</t>
  </si>
  <si>
    <t xml:space="preserve">Transfer done</t>
  </si>
  <si>
    <t xml:space="preserve">Seat gone after transfer</t>
  </si>
  <si>
    <t xml:space="preserve">(after transfer)</t>
  </si>
  <si>
    <t xml:space="preserve">Says the seat went before booking, offers other dates; miles stay in the airline account</t>
  </si>
  <si>
    <t xml:space="preserve">StateCard (soldout), Handoff</t>
  </si>
  <si>
    <t xml:space="preserve">Transfers are final; say so before, not after</t>
  </si>
  <si>
    <t xml:space="preserve">FL-03-006</t>
  </si>
  <si>
    <t xml:space="preserve">Add-ons</t>
  </si>
  <si>
    <t xml:space="preserve">Upgrade with points</t>
  </si>
  <si>
    <t xml:space="preserve">Booked</t>
  </si>
  <si>
    <t xml:space="preserve">Can I upgrade to business?</t>
  </si>
  <si>
    <t xml:space="preserve">Checks upgrade price in points and cash</t>
  </si>
  <si>
    <t xml:space="preserve">FareFamilies, ConfirmSheet</t>
  </si>
  <si>
    <t xml:space="preserve">Upgrade inventory from the airline</t>
  </si>
  <si>
    <t xml:space="preserve">FL-03-007</t>
  </si>
  <si>
    <t xml:space="preserve">No upgrade space</t>
  </si>
  <si>
    <t xml:space="preserve">Upgrade me to business</t>
  </si>
  <si>
    <t xml:space="preserve">Says no space now, offers a waitlist or alert if the airline supports it</t>
  </si>
  <si>
    <t xml:space="preserve">StateCard, Toggle</t>
  </si>
  <si>
    <t xml:space="preserve">FL-03-008</t>
  </si>
  <si>
    <t xml:space="preserve">Bid upgrade</t>
  </si>
  <si>
    <t xml:space="preserve">Can I bid for an upgrade?</t>
  </si>
  <si>
    <t xml:space="preserve">Explains the airline's bid scheme and places a bid in points or cash</t>
  </si>
  <si>
    <t xml:space="preserve">Answer, PointsSlider, ConfirmSheet</t>
  </si>
  <si>
    <t xml:space="preserve">Bid rules from the airline; charged only if accepted</t>
  </si>
  <si>
    <t xml:space="preserve">FL-03-009</t>
  </si>
  <si>
    <t xml:space="preserve">Cancel an award booking</t>
  </si>
  <si>
    <t xml:space="preserve">Plans changed</t>
  </si>
  <si>
    <t xml:space="preserve">Cancel my award flight</t>
  </si>
  <si>
    <t xml:space="preserve">Shows the redeposit fee and what comes back as miles</t>
  </si>
  <si>
    <t xml:space="preserve">FareRules, ConfirmSheet</t>
  </si>
  <si>
    <t xml:space="preserve">Redeposit fees from the airline programme</t>
  </si>
  <si>
    <t xml:space="preserve">FL-04-001</t>
  </si>
  <si>
    <t xml:space="preserve">Pick seats</t>
  </si>
  <si>
    <t xml:space="preserve">Together</t>
  </si>
  <si>
    <t xml:space="preserve">Seats together please</t>
  </si>
  <si>
    <t xml:space="preserve">Seat map with a suggested pair</t>
  </si>
  <si>
    <t xml:space="preserve">SeatMap</t>
  </si>
  <si>
    <t xml:space="preserve">Seat prices from the airline</t>
  </si>
  <si>
    <t xml:space="preserve">FL-04-002</t>
  </si>
  <si>
    <t xml:space="preserve">Preference saved</t>
  </si>
  <si>
    <t xml:space="preserve">(automatic)</t>
  </si>
  <si>
    <t xml:space="preserve">Uses saved aisle or window preference</t>
  </si>
  <si>
    <t xml:space="preserve">StickyNote (blue), SeatMap</t>
  </si>
  <si>
    <t xml:space="preserve">Preference from profile</t>
  </si>
  <si>
    <t xml:space="preserve">FL-04-003</t>
  </si>
  <si>
    <t xml:space="preserve">Extra legroom</t>
  </si>
  <si>
    <t xml:space="preserve">Exit row please</t>
  </si>
  <si>
    <t xml:space="preserve">Shows extra-legroom seats and price, explains exit row rules</t>
  </si>
  <si>
    <t xml:space="preserve">Exit row eligibility rules</t>
  </si>
  <si>
    <t xml:space="preserve">FL-04-004</t>
  </si>
  <si>
    <t xml:space="preserve">Seat taken</t>
  </si>
  <si>
    <t xml:space="preserve">Choosing</t>
  </si>
  <si>
    <t xml:space="preserve">Seat gone</t>
  </si>
  <si>
    <t xml:space="preserve">(taps seat)</t>
  </si>
  <si>
    <t xml:space="preserve">Says it has gone, suggests the nearest pair</t>
  </si>
  <si>
    <t xml:space="preserve">FL-04-005</t>
  </si>
  <si>
    <t xml:space="preserve">Add bags</t>
  </si>
  <si>
    <t xml:space="preserve">Checked bag</t>
  </si>
  <si>
    <t xml:space="preserve">Add a suitcase</t>
  </si>
  <si>
    <t xml:space="preserve">Adds bag, shows price per person per flight</t>
  </si>
  <si>
    <t xml:space="preserve">BagPicker</t>
  </si>
  <si>
    <t xml:space="preserve">Bag prices from the airline</t>
  </si>
  <si>
    <t xml:space="preserve">Cabin allowance usually 7kg on Asian carriers; 10kg or more on some European ones</t>
  </si>
  <si>
    <t xml:space="preserve">FL-04-006</t>
  </si>
  <si>
    <t xml:space="preserve">Sports equipment</t>
  </si>
  <si>
    <t xml:space="preserve">I'm taking golf clubs</t>
  </si>
  <si>
    <t xml:space="preserve">Adds special baggage if the airline allows</t>
  </si>
  <si>
    <t xml:space="preserve">BagPicker, Handoff</t>
  </si>
  <si>
    <t xml:space="preserve">Special items from the airline list</t>
  </si>
  <si>
    <t xml:space="preserve">FL-04-007</t>
  </si>
  <si>
    <t xml:space="preserve">Add meals</t>
  </si>
  <si>
    <t xml:space="preserve">Dietary</t>
  </si>
  <si>
    <t xml:space="preserve">Vegetarian meal</t>
  </si>
  <si>
    <t xml:space="preserve">Requests the meal, confirms it is a request</t>
  </si>
  <si>
    <t xml:space="preserve">Toast</t>
  </si>
  <si>
    <t xml:space="preserve">Meal requests are not guaranteed</t>
  </si>
  <si>
    <t xml:space="preserve">Common requests differ: Jain meals (IN), halal (AE, MY)</t>
  </si>
  <si>
    <t xml:space="preserve">FL-04-008</t>
  </si>
  <si>
    <t xml:space="preserve">Add lounge</t>
  </si>
  <si>
    <t xml:space="preserve">Can I use a lounge?</t>
  </si>
  <si>
    <t xml:space="preserve">Checks card benefit, books the pass</t>
  </si>
  <si>
    <t xml:space="preserve">BenefitRow, LoungePass</t>
  </si>
  <si>
    <t xml:space="preserve">Visits left from the bank</t>
  </si>
  <si>
    <t xml:space="preserve">FL-04-009</t>
  </si>
  <si>
    <t xml:space="preserve">Add fast track</t>
  </si>
  <si>
    <t xml:space="preserve">Short on time</t>
  </si>
  <si>
    <t xml:space="preserve">Add fast track security</t>
  </si>
  <si>
    <t xml:space="preserve">Adds if available at the airport</t>
  </si>
  <si>
    <t xml:space="preserve">Toast, PriceLines</t>
  </si>
  <si>
    <t xml:space="preserve">FL-04-010</t>
  </si>
  <si>
    <t xml:space="preserve">Add travel insurance</t>
  </si>
  <si>
    <t xml:space="preserve">Card cover</t>
  </si>
  <si>
    <t xml:space="preserve">Am I covered?</t>
  </si>
  <si>
    <t xml:space="preserve">Explains card travel cover, offers top-up if not covered</t>
  </si>
  <si>
    <t xml:space="preserve">Answer, BenefitRow</t>
  </si>
  <si>
    <t xml:space="preserve">Cover terms from the bank; not advice</t>
  </si>
  <si>
    <t xml:space="preserve">Insurance selling rules differ per market; may need a licensed partner</t>
  </si>
  <si>
    <t xml:space="preserve">FL-04-011</t>
  </si>
  <si>
    <t xml:space="preserve">Add a hotel</t>
  </si>
  <si>
    <t xml:space="preserve">Same trip</t>
  </si>
  <si>
    <t xml:space="preserve">Hotel search for the trip dates and destination</t>
  </si>
  <si>
    <t xml:space="preserve">HotelCard, Rail</t>
  </si>
  <si>
    <t xml:space="preserve">FL-04-012</t>
  </si>
  <si>
    <t xml:space="preserve">Add a ride</t>
  </si>
  <si>
    <t xml:space="preserve">Airport transfer</t>
  </si>
  <si>
    <t xml:space="preserve">Car to the airport</t>
  </si>
  <si>
    <t xml:space="preserve">Books a ride timed to the flight</t>
  </si>
  <si>
    <t xml:space="preserve">RideOption</t>
  </si>
  <si>
    <t xml:space="preserve">Timing from flight and traffic</t>
  </si>
  <si>
    <t xml:space="preserve">FL-04-013</t>
  </si>
  <si>
    <t xml:space="preserve">Add special assistance</t>
  </si>
  <si>
    <t xml:space="preserve">Reduced mobility</t>
  </si>
  <si>
    <t xml:space="preserve">My mother needs a wheelchair</t>
  </si>
  <si>
    <t xml:space="preserve">Requests assistance and confirms with the airline</t>
  </si>
  <si>
    <t xml:space="preserve">Always confirmed with the airline</t>
  </si>
  <si>
    <t xml:space="preserve">FL-04-014</t>
  </si>
  <si>
    <t xml:space="preserve">Travel with a pet</t>
  </si>
  <si>
    <t xml:space="preserve">Pet in cabin</t>
  </si>
  <si>
    <t xml:space="preserve">Can my dog come?</t>
  </si>
  <si>
    <t xml:space="preserve">Explains the airline's pet rules and hands over to book</t>
  </si>
  <si>
    <t xml:space="preserve">Answer, Handoff</t>
  </si>
  <si>
    <t xml:space="preserve">Pet rules from the airline</t>
  </si>
  <si>
    <t xml:space="preserve">Pet import rules differ strictly by country</t>
  </si>
  <si>
    <t xml:space="preserve">FL-04-015</t>
  </si>
  <si>
    <t xml:space="preserve">Add infant seat</t>
  </si>
  <si>
    <t xml:space="preserve">Baby</t>
  </si>
  <si>
    <t xml:space="preserve">Can I get a bassinet?</t>
  </si>
  <si>
    <t xml:space="preserve">Requests a bassinet seat</t>
  </si>
  <si>
    <t xml:space="preserve">SeatMap, Toast</t>
  </si>
  <si>
    <t xml:space="preserve">Bassinet rows are airline-controlled</t>
  </si>
  <si>
    <t xml:space="preserve">FL-04-016</t>
  </si>
  <si>
    <t xml:space="preserve">Bag price rose</t>
  </si>
  <si>
    <t xml:space="preserve">Shows the new bag price before adding</t>
  </si>
  <si>
    <t xml:space="preserve">BagPicker, StateCard (price)</t>
  </si>
  <si>
    <t xml:space="preserve">Re-price before charging</t>
  </si>
  <si>
    <t xml:space="preserve">FL-04-017</t>
  </si>
  <si>
    <t xml:space="preserve">Meal not available</t>
  </si>
  <si>
    <t xml:space="preserve">Vegan meal please</t>
  </si>
  <si>
    <t xml:space="preserve">Says the airline doesn't offer it on this flight and suggests bringing food</t>
  </si>
  <si>
    <t xml:space="preserve">StateCard</t>
  </si>
  <si>
    <t xml:space="preserve">Meal list from the airline</t>
  </si>
  <si>
    <t xml:space="preserve">FL-04-018</t>
  </si>
  <si>
    <t xml:space="preserve">Paid seat</t>
  </si>
  <si>
    <t xml:space="preserve">Seat charge failed</t>
  </si>
  <si>
    <t xml:space="preserve">(confirms seat)</t>
  </si>
  <si>
    <t xml:space="preserve">Says the seat wasn't charged or held, offers to try again</t>
  </si>
  <si>
    <t xml:space="preserve">StateCard (error), SeatMap</t>
  </si>
  <si>
    <t xml:space="preserve">No seat without payment</t>
  </si>
  <si>
    <t xml:space="preserve">FL-05-001</t>
  </si>
  <si>
    <t xml:space="preserve">Change the date</t>
  </si>
  <si>
    <t xml:space="preserve">Before travel</t>
  </si>
  <si>
    <t xml:space="preserve">Move my outbound to Saturday</t>
  </si>
  <si>
    <t xml:space="preserve">Shows old and new, fee and fare difference, asks to confirm</t>
  </si>
  <si>
    <t xml:space="preserve">ChangeFlight, ConfirmSheet</t>
  </si>
  <si>
    <t xml:space="preserve">Fees from fare rules</t>
  </si>
  <si>
    <t xml:space="preserve">FL-05-002</t>
  </si>
  <si>
    <t xml:space="preserve">Change the name</t>
  </si>
  <si>
    <t xml:space="preserve">Typo</t>
  </si>
  <si>
    <t xml:space="preserve">My name is spelt wrong</t>
  </si>
  <si>
    <t xml:space="preserve">Checks airline rules for name corrections, hands over if needed</t>
  </si>
  <si>
    <t xml:space="preserve">Name changes are airline decisions</t>
  </si>
  <si>
    <t xml:space="preserve">FL-05-003</t>
  </si>
  <si>
    <t xml:space="preserve">Cancel the booking</t>
  </si>
  <si>
    <t xml:space="preserve">Cancel my flight</t>
  </si>
  <si>
    <t xml:space="preserve">Shows what comes back and how, asks to confirm</t>
  </si>
  <si>
    <t xml:space="preserve">FareRules, ConfirmSheet, Receipt</t>
  </si>
  <si>
    <t xml:space="preserve">Refund amounts from fare rules only</t>
  </si>
  <si>
    <t xml:space="preserve">FL-05-004</t>
  </si>
  <si>
    <t xml:space="preserve">Non-changeable fare</t>
  </si>
  <si>
    <t xml:space="preserve">Change not allowed</t>
  </si>
  <si>
    <t xml:space="preserve">Move my flight to Monday</t>
  </si>
  <si>
    <t xml:space="preserve">Explains the fare doesn't allow changes and shows the options: cancel for taxes back, or keep</t>
  </si>
  <si>
    <t xml:space="preserve">FareRules, StateCard</t>
  </si>
  <si>
    <t xml:space="preserve">Never promise a change the fare rules forbid</t>
  </si>
  <si>
    <t xml:space="preserve">FL-05-005</t>
  </si>
  <si>
    <t xml:space="preserve">Fare difference is higher</t>
  </si>
  <si>
    <t xml:space="preserve">Move it to Saturday</t>
  </si>
  <si>
    <t xml:space="preserve">Shows fee plus fare difference; asks to confirm the total</t>
  </si>
  <si>
    <t xml:space="preserve">Re-price at confirm</t>
  </si>
  <si>
    <t xml:space="preserve">FL-05-006</t>
  </si>
  <si>
    <t xml:space="preserve">Change the time</t>
  </si>
  <si>
    <t xml:space="preserve">Same day</t>
  </si>
  <si>
    <t xml:space="preserve">Can I take the earlier flight?</t>
  </si>
  <si>
    <t xml:space="preserve">Checks same-day change rules and seats, confirms</t>
  </si>
  <si>
    <t xml:space="preserve">Same-day change rules from the airline</t>
  </si>
  <si>
    <t xml:space="preserve">FL-05-007</t>
  </si>
  <si>
    <t xml:space="preserve">Refundable fare</t>
  </si>
  <si>
    <t xml:space="preserve">Cancel and refund</t>
  </si>
  <si>
    <t xml:space="preserve">Shows refund amount, where it goes (card or points) and when</t>
  </si>
  <si>
    <t xml:space="preserve">Refund to the original method: points back as points</t>
  </si>
  <si>
    <t xml:space="preserve">FL-05-008</t>
  </si>
  <si>
    <t xml:space="preserve">Within 24 hours</t>
  </si>
  <si>
    <t xml:space="preserve">I booked the wrong day an hour ago</t>
  </si>
  <si>
    <t xml:space="preserve">Checks the free cancellation window and cancels in full</t>
  </si>
  <si>
    <t xml:space="preserve">ConfirmSheet, Receipt</t>
  </si>
  <si>
    <t xml:space="preserve">Free window depends on airline and market (to confirm)</t>
  </si>
  <si>
    <t xml:space="preserve">Some markets and airlines give 24-hour free cancellation (to confirm per airline)</t>
  </si>
  <si>
    <t xml:space="preserve">FL-05-009</t>
  </si>
  <si>
    <t xml:space="preserve">Travel credit</t>
  </si>
  <si>
    <t xml:space="preserve">Keep it as credit instead</t>
  </si>
  <si>
    <t xml:space="preserve">Converts to airline credit if allowed and shows expiry</t>
  </si>
  <si>
    <t xml:space="preserve">Receipt, Toast</t>
  </si>
  <si>
    <t xml:space="preserve">Credit terms from the airline</t>
  </si>
  <si>
    <t xml:space="preserve">FL-05-010</t>
  </si>
  <si>
    <t xml:space="preserve">Change request</t>
  </si>
  <si>
    <t xml:space="preserve">Change my flight</t>
  </si>
  <si>
    <t xml:space="preserve">Says the airline system is not answering, nothing changed, will retry and tell them</t>
  </si>
  <si>
    <t xml:space="preserve">StateCard (error), Toast</t>
  </si>
  <si>
    <t xml:space="preserve">No change without supplier confirmation</t>
  </si>
  <si>
    <t xml:space="preserve">FL-05-011</t>
  </si>
  <si>
    <t xml:space="preserve">Add a traveller</t>
  </si>
  <si>
    <t xml:space="preserve">Can my son join the same flight?</t>
  </si>
  <si>
    <t xml:space="preserve">Books a separate ticket on the same flight and links the bookings</t>
  </si>
  <si>
    <t xml:space="preserve">FlightCard, Travellers, ConfirmSheet</t>
  </si>
  <si>
    <t xml:space="preserve">Separate ticket; linked for seats</t>
  </si>
  <si>
    <t xml:space="preserve">FL-06-001</t>
  </si>
  <si>
    <t xml:space="preserve">Check in</t>
  </si>
  <si>
    <t xml:space="preserve">Online</t>
  </si>
  <si>
    <t xml:space="preserve">Checks in when it opens, sends boarding passes</t>
  </si>
  <si>
    <t xml:space="preserve">Toast, BoardingPass</t>
  </si>
  <si>
    <t xml:space="preserve">Consent to auto check-in</t>
  </si>
  <si>
    <t xml:space="preserve">India: web check-in expected for domestic flights</t>
  </si>
  <si>
    <t xml:space="preserve">FL-06-002</t>
  </si>
  <si>
    <t xml:space="preserve">Add passport details</t>
  </si>
  <si>
    <t xml:space="preserve">International</t>
  </si>
  <si>
    <t xml:space="preserve">(before check-in)</t>
  </si>
  <si>
    <t xml:space="preserve">Asks for passport details once, stores securely</t>
  </si>
  <si>
    <t xml:space="preserve">Document data held by the bank, tokenised</t>
  </si>
  <si>
    <t xml:space="preserve">FL-06-003</t>
  </si>
  <si>
    <t xml:space="preserve">Check visa needs</t>
  </si>
  <si>
    <t xml:space="preserve">Do I need a visa for Dubai?</t>
  </si>
  <si>
    <t xml:space="preserve">Gives the official source and the rule for their passport</t>
  </si>
  <si>
    <t xml:space="preserve">Answer</t>
  </si>
  <si>
    <t xml:space="preserve">Visa info from an official source only; always linked</t>
  </si>
  <si>
    <t xml:space="preserve">Rules differ by passport and destination; e-visas common for IN, AE</t>
  </si>
  <si>
    <t xml:space="preserve">FL-06-004</t>
  </si>
  <si>
    <t xml:space="preserve">Check ID needs</t>
  </si>
  <si>
    <t xml:space="preserve">Domestic</t>
  </si>
  <si>
    <t xml:space="preserve">What ID do I need?</t>
  </si>
  <si>
    <t xml:space="preserve">Says what the airline accepts</t>
  </si>
  <si>
    <t xml:space="preserve">From the airline</t>
  </si>
  <si>
    <t xml:space="preserve">India: photo ID, DigiYatra optional. Malaysia: MyKad for domestic; Sabah and Sarawak have their own entry rules</t>
  </si>
  <si>
    <t xml:space="preserve">FL-06-005</t>
  </si>
  <si>
    <t xml:space="preserve">Share the trip</t>
  </si>
  <si>
    <t xml:space="preserve">Family</t>
  </si>
  <si>
    <t xml:space="preserve">Send the plan to my wife</t>
  </si>
  <si>
    <t xml:space="preserve">Shares a read-only trip link</t>
  </si>
  <si>
    <t xml:space="preserve">SendTo, TripFolder</t>
  </si>
  <si>
    <t xml:space="preserve">Sharing needs the customer's yes</t>
  </si>
  <si>
    <t xml:space="preserve">FL-06-006</t>
  </si>
  <si>
    <t xml:space="preserve">Get reminded</t>
  </si>
  <si>
    <t xml:space="preserve">Leaving time</t>
  </si>
  <si>
    <t xml:space="preserve">Tells them when to leave for the airport</t>
  </si>
  <si>
    <t xml:space="preserve">StickyNote, Toast</t>
  </si>
  <si>
    <t xml:space="preserve">Traffic data</t>
  </si>
  <si>
    <t xml:space="preserve">FL-06-007</t>
  </si>
  <si>
    <t xml:space="preserve">Check the weather</t>
  </si>
  <si>
    <t xml:space="preserve">Packing</t>
  </si>
  <si>
    <t xml:space="preserve">What's the weather in Lisbon?</t>
  </si>
  <si>
    <t xml:space="preserve">Weather for the trip dates</t>
  </si>
  <si>
    <t xml:space="preserve">FL-06-008</t>
  </si>
  <si>
    <t xml:space="preserve">Currency and card abroad</t>
  </si>
  <si>
    <t xml:space="preserve">Spending</t>
  </si>
  <si>
    <t xml:space="preserve">Will my card work in Portugal?</t>
  </si>
  <si>
    <t xml:space="preserve">Explains foreign fees on this card</t>
  </si>
  <si>
    <t xml:space="preserve">BenefitRow, Answer</t>
  </si>
  <si>
    <t xml:space="preserve">Fees from the bank</t>
  </si>
  <si>
    <t xml:space="preserve">FL-06-009</t>
  </si>
  <si>
    <t xml:space="preserve">Add a frequent flyer number</t>
  </si>
  <si>
    <t xml:space="preserve">Earn miles</t>
  </si>
  <si>
    <t xml:space="preserve">Add my miles number</t>
  </si>
  <si>
    <t xml:space="preserve">Adds it to the booking</t>
  </si>
  <si>
    <t xml:space="preserve">Number checked by the airline</t>
  </si>
  <si>
    <t xml:space="preserve">FL-06-010</t>
  </si>
  <si>
    <t xml:space="preserve">Travelling during a religious period</t>
  </si>
  <si>
    <t xml:space="preserve">Ramadan</t>
  </si>
  <si>
    <t xml:space="preserve">Are there meals on my flight during Ramadan?</t>
  </si>
  <si>
    <t xml:space="preserve">Explains the airline's service and airport opening hours</t>
  </si>
  <si>
    <t xml:space="preserve">From airline and airport</t>
  </si>
  <si>
    <t xml:space="preserve">Relevant in AE, MY and IN; dates move each year</t>
  </si>
  <si>
    <t xml:space="preserve">FL-06-011</t>
  </si>
  <si>
    <t xml:space="preserve">Check-in failed</t>
  </si>
  <si>
    <t xml:space="preserve">Says online check-in didn't work and why, and what to do</t>
  </si>
  <si>
    <t xml:space="preserve">Airline check-in rules</t>
  </si>
  <si>
    <t xml:space="preserve">FL-06-012</t>
  </si>
  <si>
    <t xml:space="preserve">During</t>
  </si>
  <si>
    <t xml:space="preserve">Show boarding pass</t>
  </si>
  <si>
    <t xml:space="preserve">At the airport</t>
  </si>
  <si>
    <t xml:space="preserve">Boarding pass</t>
  </si>
  <si>
    <t xml:space="preserve">Shows it, bright and offline</t>
  </si>
  <si>
    <t xml:space="preserve">BoardingPass</t>
  </si>
  <si>
    <t xml:space="preserve">Available offline</t>
  </si>
  <si>
    <t xml:space="preserve">FL-06-013</t>
  </si>
  <si>
    <t xml:space="preserve">Track the flight</t>
  </si>
  <si>
    <t xml:space="preserve">Is my flight on time?</t>
  </si>
  <si>
    <t xml:space="preserve">Live status, gate, times</t>
  </si>
  <si>
    <t xml:space="preserve">FlightTracker, Status</t>
  </si>
  <si>
    <t xml:space="preserve">Status from the airline feed</t>
  </si>
  <si>
    <t xml:space="preserve">FL-06-014</t>
  </si>
  <si>
    <t xml:space="preserve">Gate change</t>
  </si>
  <si>
    <t xml:space="preserve">Gate moved</t>
  </si>
  <si>
    <t xml:space="preserve">Push and card with the new gate and walk time</t>
  </si>
  <si>
    <t xml:space="preserve">FlightTracker, Toast</t>
  </si>
  <si>
    <t xml:space="preserve">FL-06-015</t>
  </si>
  <si>
    <t xml:space="preserve">Find the lounge</t>
  </si>
  <si>
    <t xml:space="preserve">Where's the lounge?</t>
  </si>
  <si>
    <t xml:space="preserve">Lounge pass with directions</t>
  </si>
  <si>
    <t xml:space="preserve">LoungePass</t>
  </si>
  <si>
    <t xml:space="preserve">FL-06-016</t>
  </si>
  <si>
    <t xml:space="preserve">Pick up someone</t>
  </si>
  <si>
    <t xml:space="preserve">Arrivals</t>
  </si>
  <si>
    <t xml:space="preserve">When does Sam land?</t>
  </si>
  <si>
    <t xml:space="preserve">Tracks a shared flight</t>
  </si>
  <si>
    <t xml:space="preserve">FlightTracker</t>
  </si>
  <si>
    <t xml:space="preserve">Only flights shared with them</t>
  </si>
  <si>
    <t xml:space="preserve">FL-06-017</t>
  </si>
  <si>
    <t xml:space="preserve">Security wait times</t>
  </si>
  <si>
    <t xml:space="preserve">How long is security?</t>
  </si>
  <si>
    <t xml:space="preserve">Shows the airport's published wait if available</t>
  </si>
  <si>
    <t xml:space="preserve">Only published data</t>
  </si>
  <si>
    <t xml:space="preserve">FL-06-018</t>
  </si>
  <si>
    <t xml:space="preserve">Arrival: get into town</t>
  </si>
  <si>
    <t xml:space="preserve">Landed</t>
  </si>
  <si>
    <t xml:space="preserve">How do I get to the hotel?</t>
  </si>
  <si>
    <t xml:space="preserve">Offers ride, train, and time for each</t>
  </si>
  <si>
    <t xml:space="preserve">RideOption, Answer</t>
  </si>
  <si>
    <t xml:space="preserve">FL-06-019</t>
  </si>
  <si>
    <t xml:space="preserve">Boarding pass not issued</t>
  </si>
  <si>
    <t xml:space="preserve">My boarding pass won't load</t>
  </si>
  <si>
    <t xml:space="preserve">Explains why (document check, seat not assigned) and what to do at the desk</t>
  </si>
  <si>
    <t xml:space="preserve">Reason from the airline</t>
  </si>
  <si>
    <t xml:space="preserve">FL-06-020</t>
  </si>
  <si>
    <t xml:space="preserve">Feeds disagree</t>
  </si>
  <si>
    <t xml:space="preserve">Shows the airline's time and says the airport board may differ</t>
  </si>
  <si>
    <t xml:space="preserve">FlightTracker, StateCard</t>
  </si>
  <si>
    <t xml:space="preserve">Airline feed wins; later time shown when feeds disagree</t>
  </si>
  <si>
    <t xml:space="preserve">FL-06-021</t>
  </si>
  <si>
    <t xml:space="preserve">After</t>
  </si>
  <si>
    <t xml:space="preserve">Rate the trip</t>
  </si>
  <si>
    <t xml:space="preserve">Feedback</t>
  </si>
  <si>
    <t xml:space="preserve">(Gratifi asks)</t>
  </si>
  <si>
    <t xml:space="preserve">One-tap rating that improves suggestions</t>
  </si>
  <si>
    <t xml:space="preserve">Chips</t>
  </si>
  <si>
    <t xml:space="preserve">Optional, never required</t>
  </si>
  <si>
    <t xml:space="preserve">FL-06-022</t>
  </si>
  <si>
    <t xml:space="preserve">Book the same again</t>
  </si>
  <si>
    <t xml:space="preserve">Repeat</t>
  </si>
  <si>
    <t xml:space="preserve">Same trip in December</t>
  </si>
  <si>
    <t xml:space="preserve">Rebuilds the trip for new dates</t>
  </si>
  <si>
    <t xml:space="preserve">Answer, Rail</t>
  </si>
  <si>
    <t xml:space="preserve">FL-06-023</t>
  </si>
  <si>
    <t xml:space="preserve">Complain</t>
  </si>
  <si>
    <t xml:space="preserve">Unhappy</t>
  </si>
  <si>
    <t xml:space="preserve">This was terrible</t>
  </si>
  <si>
    <t xml:space="preserve">Listens, logs a complaint, hands to a person</t>
  </si>
  <si>
    <t xml:space="preserve">Handoff</t>
  </si>
  <si>
    <t xml:space="preserve">Complaints handling set by the bank</t>
  </si>
  <si>
    <t xml:space="preserve">Complaint timelines differ by regulator</t>
  </si>
  <si>
    <t xml:space="preserve">FL-07-001</t>
  </si>
  <si>
    <t xml:space="preserve">Schedule change</t>
  </si>
  <si>
    <t xml:space="preserve">Airline moved it</t>
  </si>
  <si>
    <t xml:space="preserve">Time changed</t>
  </si>
  <si>
    <t xml:space="preserve">Explains the change and options: accept, change, refund</t>
  </si>
  <si>
    <t xml:space="preserve">StateCard, ChangeFlight</t>
  </si>
  <si>
    <t xml:space="preserve">Options from airline policy and local rules</t>
  </si>
  <si>
    <t xml:space="preserve">Refund rights for big schedule changes differ by market</t>
  </si>
  <si>
    <t xml:space="preserve">FL-07-002</t>
  </si>
  <si>
    <t xml:space="preserve">Missed the flight</t>
  </si>
  <si>
    <t xml:space="preserve">Late</t>
  </si>
  <si>
    <t xml:space="preserve">No-show</t>
  </si>
  <si>
    <t xml:space="preserve">I've missed my flight</t>
  </si>
  <si>
    <t xml:space="preserve">Checks rules for no-shows and the next flights</t>
  </si>
  <si>
    <t xml:space="preserve">StateCard, FlightCard, Handoff</t>
  </si>
  <si>
    <t xml:space="preserve">No-show rules from fare</t>
  </si>
  <si>
    <t xml:space="preserve">FL-07-003</t>
  </si>
  <si>
    <t xml:space="preserve">Denied boarding</t>
  </si>
  <si>
    <t xml:space="preserve">Overbooked</t>
  </si>
  <si>
    <t xml:space="preserve">Bumped</t>
  </si>
  <si>
    <t xml:space="preserve">They've given my seat away</t>
  </si>
  <si>
    <t xml:space="preserve">Explains rights and next options</t>
  </si>
  <si>
    <t xml:space="preserve">Disruption, Handoff</t>
  </si>
  <si>
    <t xml:space="preserve">Compensation named by rule</t>
  </si>
  <si>
    <t xml:space="preserve">UK261 and EU261 set amounts; DGCA (IN) and the Malaysian Aviation Consumer Protection Code, enforced by CAAM (MY), have their own rules; SG and AE follow airline policy</t>
  </si>
  <si>
    <t xml:space="preserve">FL-07-004</t>
  </si>
  <si>
    <t xml:space="preserve">Lost bag</t>
  </si>
  <si>
    <t xml:space="preserve">On arrival</t>
  </si>
  <si>
    <t xml:space="preserve">Bag missing</t>
  </si>
  <si>
    <t xml:space="preserve">My bag didn't arrive</t>
  </si>
  <si>
    <t xml:space="preserve">Starts the report, tracks it</t>
  </si>
  <si>
    <t xml:space="preserve">Report goes to the airline</t>
  </si>
  <si>
    <t xml:space="preserve">FL-07-005</t>
  </si>
  <si>
    <t xml:space="preserve">Problem</t>
  </si>
  <si>
    <t xml:space="preserve">Flight delayed</t>
  </si>
  <si>
    <t xml:space="preserve">Short delay</t>
  </si>
  <si>
    <t xml:space="preserve">Heads-up with new times and what it means</t>
  </si>
  <si>
    <t xml:space="preserve">FL-07-006</t>
  </si>
  <si>
    <t xml:space="preserve">Long delay</t>
  </si>
  <si>
    <t xml:space="preserve">Over 3 hours</t>
  </si>
  <si>
    <t xml:space="preserve">Explains rights, food vouchers, rebooking</t>
  </si>
  <si>
    <t xml:space="preserve">Rights named by rule, amounts by legal team</t>
  </si>
  <si>
    <t xml:space="preserve">Amounts: UK £220 to £520, EU €250 to €600 by distance (EU reform agreed June 2026, adoption pending); India DGCA sets amounts (legal to confirm); others per local rule or airline</t>
  </si>
  <si>
    <t xml:space="preserve">FL-07-007</t>
  </si>
  <si>
    <t xml:space="preserve">Flight cancelled</t>
  </si>
  <si>
    <t xml:space="preserve">Options already worked out: next flight, other route, refund</t>
  </si>
  <si>
    <t xml:space="preserve">Disruption, ConfirmSheet, Receipt</t>
  </si>
  <si>
    <t xml:space="preserve">Refund always offered</t>
  </si>
  <si>
    <t xml:space="preserve">FL-07-008</t>
  </si>
  <si>
    <t xml:space="preserve">Queue</t>
  </si>
  <si>
    <t xml:space="preserve">Rebooks before the queue, holds seats together</t>
  </si>
  <si>
    <t xml:space="preserve">Disruption, Receipt</t>
  </si>
  <si>
    <t xml:space="preserve">Seat hold time from the airline</t>
  </si>
  <si>
    <t xml:space="preserve">FL-07-009</t>
  </si>
  <si>
    <t xml:space="preserve">Missed connection</t>
  </si>
  <si>
    <t xml:space="preserve">Same ticket</t>
  </si>
  <si>
    <t xml:space="preserve">Late first flight</t>
  </si>
  <si>
    <t xml:space="preserve">Rebooks the onward flight</t>
  </si>
  <si>
    <t xml:space="preserve">Disruption, Itinerary</t>
  </si>
  <si>
    <t xml:space="preserve">Protected only on one ticket</t>
  </si>
  <si>
    <t xml:space="preserve">FL-07-010</t>
  </si>
  <si>
    <t xml:space="preserve">Not protected</t>
  </si>
  <si>
    <t xml:space="preserve">Explains it is not protected, finds the next options</t>
  </si>
  <si>
    <t xml:space="preserve">FL-07-011</t>
  </si>
  <si>
    <t xml:space="preserve">Claim compensation</t>
  </si>
  <si>
    <t xml:space="preserve">After disruption</t>
  </si>
  <si>
    <t xml:space="preserve">Can I claim for the delay?</t>
  </si>
  <si>
    <t xml:space="preserve">Checks eligibility and files the claim</t>
  </si>
  <si>
    <t xml:space="preserve">Answer, StateCard, Receipt</t>
  </si>
  <si>
    <t xml:space="preserve">Eligibility by rule; never promises an amount outside UK/EU</t>
  </si>
  <si>
    <t xml:space="preserve">Claims routes differ per market</t>
  </si>
  <si>
    <t xml:space="preserve">FL-07-012</t>
  </si>
  <si>
    <t xml:space="preserve">Strike or weather</t>
  </si>
  <si>
    <t xml:space="preserve">Many flights</t>
  </si>
  <si>
    <t xml:space="preserve">Mass disruption</t>
  </si>
  <si>
    <t xml:space="preserve">Tells them early, offers free changes if the airline allows</t>
  </si>
  <si>
    <t xml:space="preserve">Waiver terms from the airline</t>
  </si>
  <si>
    <t xml:space="preserve">FL-07-013</t>
  </si>
  <si>
    <t xml:space="preserve">Hotel and ride affected</t>
  </si>
  <si>
    <t xml:space="preserve">Knock-on</t>
  </si>
  <si>
    <t xml:space="preserve">(after rebooking)</t>
  </si>
  <si>
    <t xml:space="preserve">Tells the hotel and moves the ride</t>
  </si>
  <si>
    <t xml:space="preserve">Needs customer's yes to contact the hotel</t>
  </si>
  <si>
    <t xml:space="preserve">FL-07-014</t>
  </si>
  <si>
    <t xml:space="preserve">Diverted flight</t>
  </si>
  <si>
    <t xml:space="preserve">In the air</t>
  </si>
  <si>
    <t xml:space="preserve">Landed elsewhere</t>
  </si>
  <si>
    <t xml:space="preserve">Explains what the airline is doing and the options</t>
  </si>
  <si>
    <t xml:space="preserve">FL-07-015</t>
  </si>
  <si>
    <t xml:space="preserve">Downgraded cabin</t>
  </si>
  <si>
    <t xml:space="preserve">At boarding</t>
  </si>
  <si>
    <t xml:space="preserve">Seat class lower</t>
  </si>
  <si>
    <t xml:space="preserve">They moved me to economy</t>
  </si>
  <si>
    <t xml:space="preserve">Explains refund rights for the difference</t>
  </si>
  <si>
    <t xml:space="preserve">Rule-based refund</t>
  </si>
  <si>
    <t xml:space="preserve">EU261 sets fixed percentages; others vary</t>
  </si>
  <si>
    <t xml:space="preserve">FL-08-001</t>
  </si>
  <si>
    <t xml:space="preserve">Pay with points</t>
  </si>
  <si>
    <t xml:space="preserve">Enough points</t>
  </si>
  <si>
    <t xml:space="preserve">Shows points total, confirm, done</t>
  </si>
  <si>
    <t xml:space="preserve">PayWith, ConfirmSheet, Receipt</t>
  </si>
  <si>
    <t xml:space="preserve">Points value from the bank; spend needs a button with the amount</t>
  </si>
  <si>
    <t xml:space="preserve">Confirm: Face ID (UK, EU, AE, SG), one-time code (IN), bank app approval (MY)</t>
  </si>
  <si>
    <t xml:space="preserve">FL-08-002</t>
  </si>
  <si>
    <t xml:space="preserve">Pay with points and card</t>
  </si>
  <si>
    <t xml:space="preserve">Not enough points</t>
  </si>
  <si>
    <t xml:space="preserve">Use my points and put the rest on my card</t>
  </si>
  <si>
    <t xml:space="preserve">Splits points and card, shows both totals</t>
  </si>
  <si>
    <t xml:space="preserve">PayWith, PointsSlider, ConfirmSheet</t>
  </si>
  <si>
    <t xml:space="preserve">Minimum card part set by the bank</t>
  </si>
  <si>
    <t xml:space="preserve">Card part follows local card authentication rules</t>
  </si>
  <si>
    <t xml:space="preserve">FL-08-003</t>
  </si>
  <si>
    <t xml:space="preserve">Pay by card only</t>
  </si>
  <si>
    <t xml:space="preserve">Save points</t>
  </si>
  <si>
    <t xml:space="preserve">Keep my points, pay by card</t>
  </si>
  <si>
    <t xml:space="preserve">Card only, shows points earned</t>
  </si>
  <si>
    <t xml:space="preserve">PayWith, ConfirmSheet, Back</t>
  </si>
  <si>
    <t xml:space="preserve">FL-08-004</t>
  </si>
  <si>
    <t xml:space="preserve">Choose the split</t>
  </si>
  <si>
    <t xml:space="preserve">Specific amount</t>
  </si>
  <si>
    <t xml:space="preserve">Use exactly 10,000 points</t>
  </si>
  <si>
    <t xml:space="preserve">Sets the slider, shows the card part</t>
  </si>
  <si>
    <t xml:space="preserve">PointsSlider</t>
  </si>
  <si>
    <t xml:space="preserve">Steps in the bank's minimum unit</t>
  </si>
  <si>
    <t xml:space="preserve">FL-08-005</t>
  </si>
  <si>
    <t xml:space="preserve">Points only asked</t>
  </si>
  <si>
    <t xml:space="preserve">Short of points</t>
  </si>
  <si>
    <t xml:space="preserve">Says how many short and offers points and card</t>
  </si>
  <si>
    <t xml:space="preserve">PayWith (disabled option), StateCard</t>
  </si>
  <si>
    <t xml:space="preserve">FL-08-006</t>
  </si>
  <si>
    <t xml:space="preserve">Payment declined</t>
  </si>
  <si>
    <t xml:space="preserve">Card issue</t>
  </si>
  <si>
    <t xml:space="preserve">Declined</t>
  </si>
  <si>
    <t xml:space="preserve">Says nothing was booked, offers another card or points</t>
  </si>
  <si>
    <t xml:space="preserve">No booking without payment success</t>
  </si>
  <si>
    <t xml:space="preserve">FL-08-007</t>
  </si>
  <si>
    <t xml:space="preserve">Authentication fails</t>
  </si>
  <si>
    <t xml:space="preserve">Face ID / code</t>
  </si>
  <si>
    <t xml:space="preserve">Failed or timed out</t>
  </si>
  <si>
    <t xml:space="preserve">Lets them retry; after 3 fails, hands to the bank's flow</t>
  </si>
  <si>
    <t xml:space="preserve">ConfirmSheet, StateCard</t>
  </si>
  <si>
    <t xml:space="preserve">Lockout rules from the bank</t>
  </si>
  <si>
    <t xml:space="preserve">OTP retry limits set by the bank (IN)</t>
  </si>
  <si>
    <t xml:space="preserve">FL-08-008</t>
  </si>
  <si>
    <t xml:space="preserve">Price changed at pay</t>
  </si>
  <si>
    <t xml:space="preserve">Final check</t>
  </si>
  <si>
    <t xml:space="preserve">Stops, shows new price, asks again</t>
  </si>
  <si>
    <t xml:space="preserve">Re-price before every payment</t>
  </si>
  <si>
    <t xml:space="preserve">FL-08-009</t>
  </si>
  <si>
    <t xml:space="preserve">Get an invoice</t>
  </si>
  <si>
    <t xml:space="preserve">Business trip</t>
  </si>
  <si>
    <t xml:space="preserve">I need a tax invoice for my company</t>
  </si>
  <si>
    <t xml:space="preserve">Captures company details, sends invoice</t>
  </si>
  <si>
    <t xml:space="preserve">Receipt, Handoff</t>
  </si>
  <si>
    <t xml:space="preserve">Invoice issued by the supplier</t>
  </si>
  <si>
    <t xml:space="preserve">India: GST invoice needs the company GSTIN at booking. UK/EU: VAT shown only where charged (to confirm)</t>
  </si>
  <si>
    <t xml:space="preserve">FL-08-010</t>
  </si>
  <si>
    <t xml:space="preserve">Pay in instalments</t>
  </si>
  <si>
    <t xml:space="preserve">Large spend</t>
  </si>
  <si>
    <t xml:space="preserve">Can I split this over 3 months?</t>
  </si>
  <si>
    <t xml:space="preserve">Explains the bank's instalment plan if eligible</t>
  </si>
  <si>
    <t xml:space="preserve">Eligibility and rates from the bank only</t>
  </si>
  <si>
    <t xml:space="preserve">EMI (IN); instalment plans (MY and others); credit rules differ per market</t>
  </si>
  <si>
    <t xml:space="preserve">FL-08-011</t>
  </si>
  <si>
    <t xml:space="preserve">Use a voucher</t>
  </si>
  <si>
    <t xml:space="preserve">Has a code</t>
  </si>
  <si>
    <t xml:space="preserve">I have a £50 travel voucher</t>
  </si>
  <si>
    <t xml:space="preserve">Applies it and shows the new total</t>
  </si>
  <si>
    <t xml:space="preserve">PriceLines</t>
  </si>
  <si>
    <t xml:space="preserve">Voucher validity checked by the issuer</t>
  </si>
  <si>
    <t xml:space="preserve">FL-08-012</t>
  </si>
  <si>
    <t xml:space="preserve">Booking confirmed</t>
  </si>
  <si>
    <t xml:space="preserve">Success</t>
  </si>
  <si>
    <t xml:space="preserve">(after pay)</t>
  </si>
  <si>
    <t xml:space="preserve">Receipt with reference, what happens next</t>
  </si>
  <si>
    <t xml:space="preserve">CheckPop, Receipt</t>
  </si>
  <si>
    <t xml:space="preserve">FL-08-013</t>
  </si>
  <si>
    <t xml:space="preserve">Booking pending</t>
  </si>
  <si>
    <t xml:space="preserve">Supplier slow</t>
  </si>
  <si>
    <t xml:space="preserve">No ticket yet</t>
  </si>
  <si>
    <t xml:space="preserve">Says it is paid and being ticketed, will confirm in minutes</t>
  </si>
  <si>
    <t xml:space="preserve">Refund automatically if not ticketed in the set time</t>
  </si>
  <si>
    <t xml:space="preserve">FL-08-014</t>
  </si>
  <si>
    <t xml:space="preserve">Pay in another currency</t>
  </si>
  <si>
    <t xml:space="preserve">Foreign airline</t>
  </si>
  <si>
    <t xml:space="preserve">Why is this in euros?</t>
  </si>
  <si>
    <t xml:space="preserve">Explains currency and any card fee</t>
  </si>
  <si>
    <t xml:space="preserve">PriceLines, BenefitRow</t>
  </si>
  <si>
    <t xml:space="preserve">FX rate from the bank</t>
  </si>
  <si>
    <t xml:space="preserve">FL-08-015</t>
  </si>
  <si>
    <t xml:space="preserve">Split payment with a friend</t>
  </si>
  <si>
    <t xml:space="preserve">Shared trip</t>
  </si>
  <si>
    <t xml:space="preserve">Split this with Sam</t>
  </si>
  <si>
    <t xml:space="preserve">Sends a request for their half</t>
  </si>
  <si>
    <t xml:space="preserve">SendTo, PriceLines</t>
  </si>
  <si>
    <t xml:space="preserve">Only if the bank supports requests</t>
  </si>
  <si>
    <t xml:space="preserve">Payment request rails differ: Faster Payments (UK), UPI (IN), PayNow (SG), DuitNow (MY)</t>
  </si>
  <si>
    <t xml:space="preserve">FL-08-016</t>
  </si>
  <si>
    <t xml:space="preserve">Get points back</t>
  </si>
  <si>
    <t xml:space="preserve">Earned</t>
  </si>
  <si>
    <t xml:space="preserve">Did I get my points?</t>
  </si>
  <si>
    <t xml:space="preserve">Shows points earned from the trip</t>
  </si>
  <si>
    <t xml:space="preserve">TransactionRow, Back</t>
  </si>
  <si>
    <t xml:space="preserve">Points from the bank ledger</t>
  </si>
  <si>
    <t xml:space="preserve">FL-08-017</t>
  </si>
  <si>
    <t xml:space="preserve">Refund status</t>
  </si>
  <si>
    <t xml:space="preserve">Cancelled trip</t>
  </si>
  <si>
    <t xml:space="preserve">Where's my refund?</t>
  </si>
  <si>
    <t xml:space="preserve">Shows refund state and date</t>
  </si>
  <si>
    <t xml:space="preserve">StateCard, TransactionRow</t>
  </si>
  <si>
    <t xml:space="preserve">Status from supplier and bank</t>
  </si>
  <si>
    <t xml:space="preserve">FL-08-018</t>
  </si>
  <si>
    <t xml:space="preserve">Get a receipt</t>
  </si>
  <si>
    <t xml:space="preserve">Expenses</t>
  </si>
  <si>
    <t xml:space="preserve">Send me the receipt</t>
  </si>
  <si>
    <t xml:space="preserve">Emails the receipt and invoice</t>
  </si>
  <si>
    <t xml:space="preserve">India: GST invoice from the airline</t>
  </si>
  <si>
    <t xml:space="preserve">FL-08-019</t>
  </si>
  <si>
    <t xml:space="preserve">Account</t>
  </si>
  <si>
    <t xml:space="preserve">See points value</t>
  </si>
  <si>
    <t xml:space="preserve">Balance</t>
  </si>
  <si>
    <t xml:space="preserve">What are my points worth?</t>
  </si>
  <si>
    <t xml:space="preserve">Balance and what it buys in flights</t>
  </si>
  <si>
    <t xml:space="preserve">Dial, Answer</t>
  </si>
  <si>
    <t xml:space="preserve">FL-08-020</t>
  </si>
  <si>
    <t xml:space="preserve">Transfer points</t>
  </si>
  <si>
    <t xml:space="preserve">Airline scheme</t>
  </si>
  <si>
    <t xml:space="preserve">Move points to my airline miles</t>
  </si>
  <si>
    <t xml:space="preserve">Shows transfer rate and time, confirms</t>
  </si>
  <si>
    <t xml:space="preserve">Answer, ConfirmSheet</t>
  </si>
  <si>
    <t xml:space="preserve">Rates and partners from the bank</t>
  </si>
  <si>
    <t xml:space="preserve">Partners differ per bank and market</t>
  </si>
  <si>
    <t xml:space="preserve">FL-08-021</t>
  </si>
  <si>
    <t xml:space="preserve">Earn more</t>
  </si>
  <si>
    <t xml:space="preserve">Upcoming trip</t>
  </si>
  <si>
    <t xml:space="preserve">How can I earn more before the trip?</t>
  </si>
  <si>
    <t xml:space="preserve">Shows offers and multipliers on the trip</t>
  </si>
  <si>
    <t xml:space="preserve">OfferCard, Rail</t>
  </si>
  <si>
    <t xml:space="preserve">FL-08-022</t>
  </si>
  <si>
    <t xml:space="preserve">Points expiring</t>
  </si>
  <si>
    <t xml:space="preserve">Warns and suggests a use</t>
  </si>
  <si>
    <t xml:space="preserve">StickyNote</t>
  </si>
  <si>
    <t xml:space="preserve">Expiry rules from the bank</t>
  </si>
  <si>
    <t xml:space="preserve">FL-08-023</t>
  </si>
  <si>
    <t xml:space="preserve">Card benefits for travel</t>
  </si>
  <si>
    <t xml:space="preserve">Before booking</t>
  </si>
  <si>
    <t xml:space="preserve">What does my card give me when I fly?</t>
  </si>
  <si>
    <t xml:space="preserve">Lists travel benefits and what's left</t>
  </si>
  <si>
    <t xml:space="preserve">BenefitRow</t>
  </si>
  <si>
    <t xml:space="preserve">Benefits from the bank</t>
  </si>
  <si>
    <t xml:space="preserve">FL-08-024</t>
  </si>
  <si>
    <t xml:space="preserve">Pay the card bill</t>
  </si>
  <si>
    <t xml:space="preserve">Statement</t>
  </si>
  <si>
    <t xml:space="preserve">How much do I owe?</t>
  </si>
  <si>
    <t xml:space="preserve">Shows amount due and pay options</t>
  </si>
  <si>
    <t xml:space="preserve">PaymentDue</t>
  </si>
  <si>
    <t xml:space="preserve">From the bank</t>
  </si>
  <si>
    <t xml:space="preserve">Direct Debit (UK), direct debit (EU, AE), auto-debit (IN, MY), GIRO (SG)</t>
  </si>
  <si>
    <t xml:space="preserve">FL-08-025</t>
  </si>
  <si>
    <t xml:space="preserve">Dispute a charge</t>
  </si>
  <si>
    <t xml:space="preserve">Airline charge</t>
  </si>
  <si>
    <t xml:space="preserve">I was charged twice</t>
  </si>
  <si>
    <t xml:space="preserve">Shows both charges, starts a dispute with the bank</t>
  </si>
  <si>
    <t xml:space="preserve">TransactionRow, Handoff</t>
  </si>
  <si>
    <t xml:space="preserve">Disputes run by the bank</t>
  </si>
  <si>
    <t xml:space="preserve">FL-08-026</t>
  </si>
  <si>
    <t xml:space="preserve">Buy points to finish a booking</t>
  </si>
  <si>
    <t xml:space="preserve">Short</t>
  </si>
  <si>
    <t xml:space="preserve">I'm 2,000 points short</t>
  </si>
  <si>
    <t xml:space="preserve">Offers to buy points if the bank allows, or points and card</t>
  </si>
  <si>
    <t xml:space="preserve">PayWith, StateCard</t>
  </si>
  <si>
    <t xml:space="preserve">Point purchase price from the bank</t>
  </si>
  <si>
    <t xml:space="preserve">ST-01-001</t>
  </si>
  <si>
    <t xml:space="preserve">Find somewhere to stay</t>
  </si>
  <si>
    <t xml:space="preserve">Somewhere nice in Edinburgh for two nights, 30,000 points max</t>
  </si>
  <si>
    <t xml:space="preserve">Shows three hotels the points fully cover, with the total and why each one fits</t>
  </si>
  <si>
    <t xml:space="preserve">Answer, Rail, HotelCard, Dial</t>
  </si>
  <si>
    <t xml:space="preserve">Live supplier rates only; points value from the bank</t>
  </si>
  <si>
    <t xml:space="preserve">ST-01-002</t>
  </si>
  <si>
    <t xml:space="preserve">Get told about a hotel deal</t>
  </si>
  <si>
    <t xml:space="preserve">Flight booked, no hotel</t>
  </si>
  <si>
    <t xml:space="preserve">Moment: flight to Lisbon is booked but there is no hotel, so it offers three near the plan</t>
  </si>
  <si>
    <t xml:space="preserve">Moment, HotelCard, Rail</t>
  </si>
  <si>
    <t xml:space="preserve">Only with marketing consent; live rates only</t>
  </si>
  <si>
    <t xml:space="preserve">ST-01-003</t>
  </si>
  <si>
    <t xml:space="preserve">Book a hotel</t>
  </si>
  <si>
    <t xml:space="preserve">A hotel in Lisbon for 16 to 18 Oct, near the river</t>
  </si>
  <si>
    <t xml:space="preserve">YouSaid, Answer, Rail, HotelCard, Suggestions</t>
  </si>
  <si>
    <t xml:space="preserve">Supplier rates only; recommendation reason must be a stated fact</t>
  </si>
  <si>
    <t xml:space="preserve">ST-01-004</t>
  </si>
  <si>
    <t xml:space="preserve">Cheapest two nights in Rome in November</t>
  </si>
  <si>
    <t xml:space="preserve">Price calendar of two-night totals with the cheapest dates marked</t>
  </si>
  <si>
    <t xml:space="preserve">PriceCalendar, HotelCard</t>
  </si>
  <si>
    <t xml:space="preserve">Calendar prices are cached; live price checked before pay</t>
  </si>
  <si>
    <t xml:space="preserve">Week starts Sunday in IN and SG, Monday elsewhere; UAE weekend is Saturday and Sunday</t>
  </si>
  <si>
    <t xml:space="preserve">ST-01-005</t>
  </si>
  <si>
    <t xml:space="preserve">Near a place</t>
  </si>
  <si>
    <t xml:space="preserve">Walking distance to the conference centre</t>
  </si>
  <si>
    <t xml:space="preserve">Shows hotels on a map with walking time, closest first</t>
  </si>
  <si>
    <t xml:space="preserve">NEW: Map, HotelCard, FilterBar</t>
  </si>
  <si>
    <t xml:space="preserve">Distances from the supplier's coordinates, never estimated by the model</t>
  </si>
  <si>
    <t xml:space="preserve">ST-01-006</t>
  </si>
  <si>
    <t xml:space="preserve">Two adults and kids aged 4 and 9, we need a family room</t>
  </si>
  <si>
    <t xml:space="preserve">Only rooms that fit all four, with the children's ages sent to the hotel</t>
  </si>
  <si>
    <t xml:space="preserve">Travellers, RoomOption, HotelCard</t>
  </si>
  <si>
    <t xml:space="preserve">Occupancy and child age bands from the supplier; never book a room over its capacity</t>
  </si>
  <si>
    <t xml:space="preserve">ST-01-007</t>
  </si>
  <si>
    <t xml:space="preserve">Group, several rooms</t>
  </si>
  <si>
    <t xml:space="preserve">Five rooms at one hotel for a family wedding in Jaipur</t>
  </si>
  <si>
    <t xml:space="preserve">Checks five rooms at one hotel, shows a split if needed, and offers the group desk for more</t>
  </si>
  <si>
    <t xml:space="preserve">NEW: RoomsAndGuests, RoomOption, Handoff</t>
  </si>
  <si>
    <t xml:space="preserve">Group bookings above the supplier's room limit go to the group desk</t>
  </si>
  <si>
    <t xml:space="preserve">ST-01-008</t>
  </si>
  <si>
    <t xml:space="preserve">Hotel near Canary Wharf, Monday to Thursday, invoice to my company</t>
  </si>
  <si>
    <t xml:space="preserve">Filters to hotels with a desk and wifi and captures the company invoice details</t>
  </si>
  <si>
    <t xml:space="preserve">HotelCard, FilterBar, Receipt</t>
  </si>
  <si>
    <t xml:space="preserve">Invoice issued by the supplier or hotel</t>
  </si>
  <si>
    <t xml:space="preserve">IN: GST invoice needs the company GSTIN at booking. UK/EU: VAT invoice from the hotel or supplier</t>
  </si>
  <si>
    <t xml:space="preserve">ST-01-009</t>
  </si>
  <si>
    <t xml:space="preserve">Accessibility</t>
  </si>
  <si>
    <t xml:space="preserve">I use a wheelchair and need a roll-in shower</t>
  </si>
  <si>
    <t xml:space="preserve">Shows only rooms the hotel lists as accessible and asks the hotel to confirm the feature before booking</t>
  </si>
  <si>
    <t xml:space="preserve">HotelCard, RoomOption, StateCard, Handoff</t>
  </si>
  <si>
    <t xml:space="preserve">Accessibility features only from the hotel's own listing; specific needs confirmed in writing</t>
  </si>
  <si>
    <t xml:space="preserve">ST-01-010</t>
  </si>
  <si>
    <t xml:space="preserve">Premium</t>
  </si>
  <si>
    <t xml:space="preserve">The best five-star in Dubai with a sea-view suite</t>
  </si>
  <si>
    <t xml:space="preserve">Shows top suites with view and inclusions, plus card benefits that apply</t>
  </si>
  <si>
    <t xml:space="preserve">HotelCard, RoomOption, BenefitRow</t>
  </si>
  <si>
    <t xml:space="preserve">Room view only as the hotel describes it</t>
  </si>
  <si>
    <t xml:space="preserve">AE: Dubai adds a per-night Tourism Dirham fee, usually paid at the hotel; shown before pay</t>
  </si>
  <si>
    <t xml:space="preserve">ST-01-011</t>
  </si>
  <si>
    <t xml:space="preserve">Last minute</t>
  </si>
  <si>
    <t xml:space="preserve">I need a room tonight near Heathrow</t>
  </si>
  <si>
    <t xml:space="preserve">Shows rooms free tonight with distance and latest check-in time</t>
  </si>
  <si>
    <t xml:space="preserve">HotelCard, Status, NEW: Map</t>
  </si>
  <si>
    <t xml:space="preserve">Live availability only; same-day rate rules from the supplier</t>
  </si>
  <si>
    <t xml:space="preserve">ST-01-012</t>
  </si>
  <si>
    <t xml:space="preserve">In Arabic</t>
  </si>
  <si>
    <t xml:space="preserve">(in Arabic) A hotel near the Dubai Mall for the weekend</t>
  </si>
  <si>
    <t xml:space="preserve">Replies in Arabic with the same cards, right to left</t>
  </si>
  <si>
    <t xml:space="preserve">HotelCard, ArabicScreens</t>
  </si>
  <si>
    <t xml:space="preserve">Hotel text in Arabic only where the supplier provides it; otherwise English with a note</t>
  </si>
  <si>
    <t xml:space="preserve">AE: Arabic content needs native review</t>
  </si>
  <si>
    <t xml:space="preserve">ST-01-013</t>
  </si>
  <si>
    <t xml:space="preserve">Book a day room</t>
  </si>
  <si>
    <t xml:space="preserve">Long layover</t>
  </si>
  <si>
    <t xml:space="preserve">Somewhere to sleep for six hours in Singapore between flights</t>
  </si>
  <si>
    <t xml:space="preserve">Finds day-use rooms at or near the airport and the hours each covers</t>
  </si>
  <si>
    <t xml:space="preserve">HotelCard, TimeSlots</t>
  </si>
  <si>
    <t xml:space="preserve">Day-use hours from the supplier; landside rooms need the traveller to pass immigration</t>
  </si>
  <si>
    <t xml:space="preserve">Transit and entry rules depend on the passport (to confirm per airport)</t>
  </si>
  <si>
    <t xml:space="preserve">ST-01-014</t>
  </si>
  <si>
    <t xml:space="preserve">Must-haves</t>
  </si>
  <si>
    <t xml:space="preserve">Pool, free breakfast and free cancellation</t>
  </si>
  <si>
    <t xml:space="preserve">Filters use supplier fields only</t>
  </si>
  <si>
    <t xml:space="preserve">ST-01-015</t>
  </si>
  <si>
    <t xml:space="preserve">Food or faith needs</t>
  </si>
  <si>
    <t xml:space="preserve">Hotels with a halal breakfast</t>
  </si>
  <si>
    <t xml:space="preserve">Filters on the hotel's stated facilities and says where it isn't stated</t>
  </si>
  <si>
    <t xml:space="preserve">FilterBar, HotelCard</t>
  </si>
  <si>
    <t xml:space="preserve">Only stated facilities; unknown shown as unknown</t>
  </si>
  <si>
    <t xml:space="preserve">Common asks: halal (AE, MY), vegetarian and Jain food (IN)</t>
  </si>
  <si>
    <t xml:space="preserve">ST-01-016</t>
  </si>
  <si>
    <t xml:space="preserve">Gift stay</t>
  </si>
  <si>
    <t xml:space="preserve">Book a night somewhere lovely for my parents' anniversary</t>
  </si>
  <si>
    <t xml:space="preserve">Books with them as guests, pays from my points and sends them the details</t>
  </si>
  <si>
    <t xml:space="preserve">Travellers, PayWith, SendTo</t>
  </si>
  <si>
    <t xml:space="preserve">Lead guest name must match ID at check-in; sharing needs the customer's yes</t>
  </si>
  <si>
    <t xml:space="preserve">ST-01-017</t>
  </si>
  <si>
    <t xml:space="preserve">Five-star, under £100, central Paris, this Saturday</t>
  </si>
  <si>
    <t xml:space="preserve">StateCard, Chips</t>
  </si>
  <si>
    <t xml:space="preserve">Never invents a hotel</t>
  </si>
  <si>
    <t xml:space="preserve">ST-01-018</t>
  </si>
  <si>
    <t xml:space="preserve">Says the hotel supplier isn't answering, nothing was booked, and tries another supplier</t>
  </si>
  <si>
    <t xml:space="preserve">Retry, then switch to another supplier selling the same hotel</t>
  </si>
  <si>
    <t xml:space="preserve">ST-01-019</t>
  </si>
  <si>
    <t xml:space="preserve">Compare hotels</t>
  </si>
  <si>
    <t xml:space="preserve">Which is better, the one by the station or the one in the old town?</t>
  </si>
  <si>
    <t xml:space="preserve">Compares on what differs: price, location, breakfast, cancellation, points back</t>
  </si>
  <si>
    <t xml:space="preserve">Only facts from the listings</t>
  </si>
  <si>
    <t xml:space="preserve">ST-01-020</t>
  </si>
  <si>
    <t xml:space="preserve">See reviews and photos</t>
  </si>
  <si>
    <t xml:space="preserve">Unsure</t>
  </si>
  <si>
    <t xml:space="preserve">What do people say about it? Is it noisy?</t>
  </si>
  <si>
    <t xml:space="preserve">Summarises guest reviews with source and count, and shows the photos</t>
  </si>
  <si>
    <t xml:space="preserve">NEW: ReviewSummary, NEW: PhotoGallery</t>
  </si>
  <si>
    <t xml:space="preserve">Summary names its source; never invents a review</t>
  </si>
  <si>
    <t xml:space="preserve">ST-01-021</t>
  </si>
  <si>
    <t xml:space="preserve">Choose a room</t>
  </si>
  <si>
    <t xml:space="preserve">Room types</t>
  </si>
  <si>
    <t xml:space="preserve">What's the difference between Deluxe and Superior?</t>
  </si>
  <si>
    <t xml:space="preserve">Room options side by side: size, bed, view, breakfast, cancellation</t>
  </si>
  <si>
    <t xml:space="preserve">RoomOption, Compare, Cancellation</t>
  </si>
  <si>
    <t xml:space="preserve">Room details from the supplier</t>
  </si>
  <si>
    <t xml:space="preserve">ST-01-022</t>
  </si>
  <si>
    <t xml:space="preserve">Understand the rate</t>
  </si>
  <si>
    <t xml:space="preserve">Refundable or not</t>
  </si>
  <si>
    <t xml:space="preserve">Is this one refundable?</t>
  </si>
  <si>
    <t xml:space="preserve">Plain-words cancellation terms with the deadline in the hotel's local time</t>
  </si>
  <si>
    <t xml:space="preserve">Cancellation</t>
  </si>
  <si>
    <t xml:space="preserve">Terms from the supplier; deadline in the hotel's time zone</t>
  </si>
  <si>
    <t xml:space="preserve">ST-01-023</t>
  </si>
  <si>
    <t xml:space="preserve">Understand the total</t>
  </si>
  <si>
    <t xml:space="preserve">Taxes and fees</t>
  </si>
  <si>
    <t xml:space="preserve">Is that the full price?</t>
  </si>
  <si>
    <t xml:space="preserve">Shows room, taxes, fees and anything paid at the hotel, line by line</t>
  </si>
  <si>
    <t xml:space="preserve">Total includes taxes; pay-at-hotel fees shown before pay</t>
  </si>
  <si>
    <t xml:space="preserve">City or tourist taxes are paid at the hotel in many EU cities; Dubai Tourism Dirham (AE); tourism tax for foreign guests (MY); rates often quoted plus service charge and GST (SG); GST band depends on room rate (IN)</t>
  </si>
  <si>
    <t xml:space="preserve">ST-01-024</t>
  </si>
  <si>
    <t xml:space="preserve">Price rose</t>
  </si>
  <si>
    <t xml:space="preserve">(taps a hotel)</t>
  </si>
  <si>
    <t xml:space="preserve">Shows old and new price and asks whether to carry on</t>
  </si>
  <si>
    <t xml:space="preserve">ST-01-025</t>
  </si>
  <si>
    <t xml:space="preserve">Last rooms</t>
  </si>
  <si>
    <t xml:space="preserve">(taps a room)</t>
  </si>
  <si>
    <t xml:space="preserve">Says it has gone and shows the nearest similar room or hotel</t>
  </si>
  <si>
    <t xml:space="preserve">StateCard, RoomOption</t>
  </si>
  <si>
    <t xml:space="preserve">Availability rechecked live</t>
  </si>
  <si>
    <t xml:space="preserve">ST-01-026</t>
  </si>
  <si>
    <t xml:space="preserve">Shows the points total, confirms and gives the booking reference</t>
  </si>
  <si>
    <t xml:space="preserve">PayWith, ConfirmSheet, Receipt, CheckPop</t>
  </si>
  <si>
    <t xml:space="preserve">Points value from the bank; spend needs a button with the amount; re-price before pay</t>
  </si>
  <si>
    <t xml:space="preserve">Confirm: Face ID (UK, EU, AE, SG), one-time code (IN), bank-app approval (MY)</t>
  </si>
  <si>
    <t xml:space="preserve">ST-01-027</t>
  </si>
  <si>
    <t xml:space="preserve">Splits points and card and shows both totals</t>
  </si>
  <si>
    <t xml:space="preserve">ST-01-028</t>
  </si>
  <si>
    <t xml:space="preserve">Pay at the hotel</t>
  </si>
  <si>
    <t xml:space="preserve">Pay-later rate</t>
  </si>
  <si>
    <t xml:space="preserve">Can I pay when I get there?</t>
  </si>
  <si>
    <t xml:space="preserve">Explains the pay-at-hotel rate, the card guarantee and when a no-show charge applies</t>
  </si>
  <si>
    <t xml:space="preserve">PayWith, Cancellation, ConfirmSheet</t>
  </si>
  <si>
    <t xml:space="preserve">Guarantee and no-show rules from the hotel; points on pay-later only if the bank allows</t>
  </si>
  <si>
    <t xml:space="preserve">Card guarantee may need card authentication under local rules</t>
  </si>
  <si>
    <t xml:space="preserve">ST-01-029</t>
  </si>
  <si>
    <t xml:space="preserve">Can I spread the cost of this suite over three months?</t>
  </si>
  <si>
    <t xml:space="preserve">Explains the bank's instalment plan if the customer is eligible</t>
  </si>
  <si>
    <t xml:space="preserve">Instalments (EMI) common in IN and MY; credit rules differ per market</t>
  </si>
  <si>
    <t xml:space="preserve">ST-01-030</t>
  </si>
  <si>
    <t xml:space="preserve">Says nothing was booked and offers another card or points</t>
  </si>
  <si>
    <t xml:space="preserve">ST-01-031</t>
  </si>
  <si>
    <t xml:space="preserve">Stops, shows the new total and asks again</t>
  </si>
  <si>
    <t xml:space="preserve">ST-01-032</t>
  </si>
  <si>
    <t xml:space="preserve">No confirmation yet</t>
  </si>
  <si>
    <t xml:space="preserve">Says it is paid and waiting for the hotel, and will confirm or refund within the set time</t>
  </si>
  <si>
    <t xml:space="preserve">Automatic refund if not confirmed in the set time</t>
  </si>
  <si>
    <t xml:space="preserve">ST-01-033</t>
  </si>
  <si>
    <t xml:space="preserve">Receipt with the hotel's confirmation number, address and check-in time, saved to the trip</t>
  </si>
  <si>
    <t xml:space="preserve">CheckPop, Receipt, TripFolder</t>
  </si>
  <si>
    <t xml:space="preserve">Confirmation number from the supplier</t>
  </si>
  <si>
    <t xml:space="preserve">ST-01-034</t>
  </si>
  <si>
    <t xml:space="preserve">Cancel a booking just made</t>
  </si>
  <si>
    <t xml:space="preserve">Booked by mistake</t>
  </si>
  <si>
    <t xml:space="preserve">Oops, wrong dates, cancel that</t>
  </si>
  <si>
    <t xml:space="preserve">Cancels free if the rate allows and rebooks the right dates on a yes</t>
  </si>
  <si>
    <t xml:space="preserve">Cancellation, ConfirmSheet, Receipt</t>
  </si>
  <si>
    <t xml:space="preserve">Refund from the rate's terms; no grace period unless the supplier gives one</t>
  </si>
  <si>
    <t xml:space="preserve">ST-01-035</t>
  </si>
  <si>
    <t xml:space="preserve">Price drop after booking</t>
  </si>
  <si>
    <t xml:space="preserve">Free cancellation rate</t>
  </si>
  <si>
    <t xml:space="preserve">Spots the same room cheaper and offers to rebook and cancel the old one free</t>
  </si>
  <si>
    <t xml:space="preserve">StateCard, Compare, ConfirmSheet</t>
  </si>
  <si>
    <t xml:space="preserve">Only while the old booking is still free to cancel; new booking confirmed before the old one is cancelled</t>
  </si>
  <si>
    <t xml:space="preserve">ST-01-036</t>
  </si>
  <si>
    <t xml:space="preserve">Save hotel preferences</t>
  </si>
  <si>
    <t xml:space="preserve">Repeat traveller</t>
  </si>
  <si>
    <t xml:space="preserve">I always want a high floor, away from the lift</t>
  </si>
  <si>
    <t xml:space="preserve">Saves it and adds it as a request on future bookings</t>
  </si>
  <si>
    <t xml:space="preserve">StickyNote, Toggle, Toast</t>
  </si>
  <si>
    <t xml:space="preserve">Requests are never guaranteed; saved with consent</t>
  </si>
  <si>
    <t xml:space="preserve">ST-02-001</t>
  </si>
  <si>
    <t xml:space="preserve">Rent an apartment</t>
  </si>
  <si>
    <t xml:space="preserve">Longer stay</t>
  </si>
  <si>
    <t xml:space="preserve">A two-bed flat in Barcelona for a month</t>
  </si>
  <si>
    <t xml:space="preserve">Shows apartments with the monthly total, what's included and the house rules</t>
  </si>
  <si>
    <t xml:space="preserve">HotelCard, NEW: HouseRules, PriceLines</t>
  </si>
  <si>
    <t xml:space="preserve">Supplier rates; cleaning fees and deposit shown in the total</t>
  </si>
  <si>
    <t xml:space="preserve">Some EU cities require a licence or registration number on the listing (to confirm per city)</t>
  </si>
  <si>
    <t xml:space="preserve">ST-02-002</t>
  </si>
  <si>
    <t xml:space="preserve">Rent a villa</t>
  </si>
  <si>
    <t xml:space="preserve">Group</t>
  </si>
  <si>
    <t xml:space="preserve">A villa with a pool for ten in Goa over New Year</t>
  </si>
  <si>
    <t xml:space="preserve">Shows villas that sleep ten with bedrooms and bed types</t>
  </si>
  <si>
    <t xml:space="preserve">HotelCard, NEW: RoomsAndGuests, NEW: PhotoGallery</t>
  </si>
  <si>
    <t xml:space="preserve">Maximum guests from the listing is a hard limit</t>
  </si>
  <si>
    <t xml:space="preserve">ST-02-003</t>
  </si>
  <si>
    <t xml:space="preserve">We have toddlers, it needs a fenced pool</t>
  </si>
  <si>
    <t xml:space="preserve">Filters on stated safety features and asks the host to confirm in writing</t>
  </si>
  <si>
    <t xml:space="preserve">FilterBar, StateCard, Handoff</t>
  </si>
  <si>
    <t xml:space="preserve">Only stated features; safety claims confirmed in writing</t>
  </si>
  <si>
    <t xml:space="preserve">ST-02-004</t>
  </si>
  <si>
    <t xml:space="preserve">Pets</t>
  </si>
  <si>
    <t xml:space="preserve">Can we bring our dog?</t>
  </si>
  <si>
    <t xml:space="preserve">Filters to pet-friendly places and shows any pet fee</t>
  </si>
  <si>
    <t xml:space="preserve">FilterBar, PriceLines</t>
  </si>
  <si>
    <t xml:space="preserve">Pet rules from the listing</t>
  </si>
  <si>
    <t xml:space="preserve">ST-02-005</t>
  </si>
  <si>
    <t xml:space="preserve">Local short-let rules</t>
  </si>
  <si>
    <t xml:space="preserve">A condo in Singapore for five nights</t>
  </si>
  <si>
    <t xml:space="preserve">Explains short private lets aren't allowed there and offers serviced apartments and hotels</t>
  </si>
  <si>
    <t xml:space="preserve">Answer, HotelCard</t>
  </si>
  <si>
    <t xml:space="preserve">Only listings licensed for the stay length</t>
  </si>
  <si>
    <t xml:space="preserve">SG: private homes can't be let for under three months. AE: Dubai holiday homes need a permit. UK: whole-home short lets in London capped at 90 nights a year</t>
  </si>
  <si>
    <t xml:space="preserve">ST-02-006</t>
  </si>
  <si>
    <t xml:space="preserve">No supplier here</t>
  </si>
  <si>
    <t xml:space="preserve">No supply</t>
  </si>
  <si>
    <t xml:space="preserve">A villa in Langkawi</t>
  </si>
  <si>
    <t xml:space="preserve">Says it can't book villas there yet and offers hotels or a concierge</t>
  </si>
  <si>
    <t xml:space="preserve">Capability register: only markets with a live supplier</t>
  </si>
  <si>
    <t xml:space="preserve">ST-02-007</t>
  </si>
  <si>
    <t xml:space="preserve">Understand house rules</t>
  </si>
  <si>
    <t xml:space="preserve">What time is check-in and how do I get the keys?</t>
  </si>
  <si>
    <t xml:space="preserve">Shows the check-in window, how keys are collected and quiet hours</t>
  </si>
  <si>
    <t xml:space="preserve">NEW: HouseRules, NEW: CheckInInstructions</t>
  </si>
  <si>
    <t xml:space="preserve">Instructions from the host; exact codes only after booking</t>
  </si>
  <si>
    <t xml:space="preserve">ST-02-008</t>
  </si>
  <si>
    <t xml:space="preserve">Pay a security deposit</t>
  </si>
  <si>
    <t xml:space="preserve">Deposit</t>
  </si>
  <si>
    <t xml:space="preserve">Why is there a deposit?</t>
  </si>
  <si>
    <t xml:space="preserve">Explains the amount, whether it's a hold or a charge, and when it comes back</t>
  </si>
  <si>
    <t xml:space="preserve">PriceLines, NEW: DepositHold</t>
  </si>
  <si>
    <t xml:space="preserve">Deposit amount and return terms from the host</t>
  </si>
  <si>
    <t xml:space="preserve">ST-02-009</t>
  </si>
  <si>
    <t xml:space="preserve">Pay in stages</t>
  </si>
  <si>
    <t xml:space="preserve">Balance due later</t>
  </si>
  <si>
    <t xml:space="preserve">Do I pay it all now?</t>
  </si>
  <si>
    <t xml:space="preserve">Shows what's due now and the balance date, and sets a reminder or automatic charge with consent</t>
  </si>
  <si>
    <t xml:space="preserve">PriceLines, PaymentDue, Toggle</t>
  </si>
  <si>
    <t xml:space="preserve">Schedule from the supplier's terms; a later charge needs stored consent</t>
  </si>
  <si>
    <t xml:space="preserve">ST-02-010</t>
  </si>
  <si>
    <t xml:space="preserve">Put 50,000 points towards the villa and the rest on my card</t>
  </si>
  <si>
    <t xml:space="preserve">Re-price before pay; minimum card part set by the bank</t>
  </si>
  <si>
    <t xml:space="preserve">ST-02-011</t>
  </si>
  <si>
    <t xml:space="preserve">Get check-in details</t>
  </si>
  <si>
    <t xml:space="preserve">Arriving tomorrow</t>
  </si>
  <si>
    <t xml:space="preserve">Sends the address, key code or collection point and the host's contact</t>
  </si>
  <si>
    <t xml:space="preserve">NEW: CheckInInstructions, TripFolder</t>
  </si>
  <si>
    <t xml:space="preserve">Codes shown only close to arrival; host contact masked where the supplier provides it</t>
  </si>
  <si>
    <t xml:space="preserve">ST-02-012</t>
  </si>
  <si>
    <t xml:space="preserve">Cancel an apartment</t>
  </si>
  <si>
    <t xml:space="preserve">Cancel the Barcelona flat</t>
  </si>
  <si>
    <t xml:space="preserve">Shows what comes back under the host's policy and asks to confirm</t>
  </si>
  <si>
    <t xml:space="preserve">Refund from the host's cancellation policy only</t>
  </si>
  <si>
    <t xml:space="preserve">ST-02-013</t>
  </si>
  <si>
    <t xml:space="preserve">Booking cancelled by host</t>
  </si>
  <si>
    <t xml:space="preserve">Before arrival</t>
  </si>
  <si>
    <t xml:space="preserve">Cancelled by supplier</t>
  </si>
  <si>
    <t xml:space="preserve">Tells them straight away, refunds in full and shows similar places for the same dates</t>
  </si>
  <si>
    <t xml:space="preserve">StateCard, Rail, Receipt</t>
  </si>
  <si>
    <t xml:space="preserve">Full refund when the supplier cancels; replacement needs a new yes</t>
  </si>
  <si>
    <t xml:space="preserve">ST-02-014</t>
  </si>
  <si>
    <t xml:space="preserve">Can't get in</t>
  </si>
  <si>
    <t xml:space="preserve">Arrived</t>
  </si>
  <si>
    <t xml:space="preserve">Keys don't work</t>
  </si>
  <si>
    <t xml:space="preserve">The key code doesn't work and the host isn't answering</t>
  </si>
  <si>
    <t xml:space="preserve">Tries host and supplier, shares both numbers, and finds a hotel nearby if no answer in the set time</t>
  </si>
  <si>
    <t xml:space="preserve">StateCard, Handoff, HotelCard</t>
  </si>
  <si>
    <t xml:space="preserve">Emergency rehousing under supplier terms; escalation time set by ops</t>
  </si>
  <si>
    <t xml:space="preserve">ST-02-015</t>
  </si>
  <si>
    <t xml:space="preserve">Property not as described</t>
  </si>
  <si>
    <t xml:space="preserve">Checked in</t>
  </si>
  <si>
    <t xml:space="preserve">Not as listed</t>
  </si>
  <si>
    <t xml:space="preserve">The flat is dirty and the hot tub doesn't work</t>
  </si>
  <si>
    <t xml:space="preserve">Takes time-stamped photos, contacts the supplier and offers fix, move or a claim; hands to a person</t>
  </si>
  <si>
    <t xml:space="preserve">Refunds from supplier terms and the complaint outcome</t>
  </si>
  <si>
    <t xml:space="preserve">ST-02-016</t>
  </si>
  <si>
    <t xml:space="preserve">Get the deposit back</t>
  </si>
  <si>
    <t xml:space="preserve">After checkout</t>
  </si>
  <si>
    <t xml:space="preserve">Deposit not returned</t>
  </si>
  <si>
    <t xml:space="preserve">The host still hasn't returned my deposit</t>
  </si>
  <si>
    <t xml:space="preserve">Shows the return deadline, chases the supplier and hands to a person if overdue</t>
  </si>
  <si>
    <t xml:space="preserve">StateCard, TransactionRow, Handoff</t>
  </si>
  <si>
    <t xml:space="preserve">Return deadline from the terms</t>
  </si>
  <si>
    <t xml:space="preserve">ST-02-017</t>
  </si>
  <si>
    <t xml:space="preserve">Answer a damage claim</t>
  </si>
  <si>
    <t xml:space="preserve">Host claims damage</t>
  </si>
  <si>
    <t xml:space="preserve">They say we broke a lamp and want £200</t>
  </si>
  <si>
    <t xml:space="preserve">Shows the claim and evidence, never agrees on the customer's behalf, and hands to a person</t>
  </si>
  <si>
    <t xml:space="preserve">Only the customer accepts or disputes; claims run through the supplier's process</t>
  </si>
  <si>
    <t xml:space="preserve">ST-03-001</t>
  </si>
  <si>
    <t xml:space="preserve">Find a holiday</t>
  </si>
  <si>
    <t xml:space="preserve">A week somewhere with a beach for the family, 150,000 points</t>
  </si>
  <si>
    <t xml:space="preserve">Three packages the points cover, flights and hotel together, with what's included</t>
  </si>
  <si>
    <t xml:space="preserve">Answer, Rail, HotelCard, FlightCard, Dial</t>
  </si>
  <si>
    <t xml:space="preserve">Live prices from the supplier</t>
  </si>
  <si>
    <t xml:space="preserve">ST-03-002</t>
  </si>
  <si>
    <t xml:space="preserve">Plan a special trip</t>
  </si>
  <si>
    <t xml:space="preserve">Honeymoon or anniversary</t>
  </si>
  <si>
    <t xml:space="preserve">Honeymoon in Santorini, something special</t>
  </si>
  <si>
    <t xml:space="preserve">Suggests packages and asks the resort for occasion touches as a request</t>
  </si>
  <si>
    <t xml:space="preserve">Answer, Rail, HotelCard, StickyNote</t>
  </si>
  <si>
    <t xml:space="preserve">Occasion extras are requests unless paid for</t>
  </si>
  <si>
    <t xml:space="preserve">ST-03-003</t>
  </si>
  <si>
    <t xml:space="preserve">Book a flight and hotel together</t>
  </si>
  <si>
    <t xml:space="preserve">Flights and a hotel in Bali, 10 to 17 Dec, for two</t>
  </si>
  <si>
    <t xml:space="preserve">Builds a package with one total and the saving against booking separately</t>
  </si>
  <si>
    <t xml:space="preserve">NEW: PackageBuilder, FlightCard, HotelCard, PriceLines</t>
  </si>
  <si>
    <t xml:space="preserve">Package price from the supplier; saving shown only if both are priced live</t>
  </si>
  <si>
    <t xml:space="preserve">UK: flight-inclusive packages need ATOL protection; UK Package Travel Regulations and the EU Package Travel Directive give extra rights. IN: TCS applies to overseas tour packages (rate to confirm)</t>
  </si>
  <si>
    <t xml:space="preserve">ST-03-004</t>
  </si>
  <si>
    <t xml:space="preserve">Kids club and a family room over half term</t>
  </si>
  <si>
    <t xml:space="preserve">Filters resorts by kids club ages and family rooms</t>
  </si>
  <si>
    <t xml:space="preserve">FilterBar, HotelCard, Travellers</t>
  </si>
  <si>
    <t xml:space="preserve">Kids club age limits from the resort</t>
  </si>
  <si>
    <t xml:space="preserve">School holidays differ per market</t>
  </si>
  <si>
    <t xml:space="preserve">ST-03-005</t>
  </si>
  <si>
    <t xml:space="preserve">Book an all-inclusive resort</t>
  </si>
  <si>
    <t xml:space="preserve">All-inclusive in the Maldives, overwater villa</t>
  </si>
  <si>
    <t xml:space="preserve">Shows resorts with board type, how you get there (boat or seaplane) and its cost</t>
  </si>
  <si>
    <t xml:space="preserve">HotelCard, RoomOption, PriceLines</t>
  </si>
  <si>
    <t xml:space="preserve">Compulsory transfer costs included in the total</t>
  </si>
  <si>
    <t xml:space="preserve">ST-03-006</t>
  </si>
  <si>
    <t xml:space="preserve">Book a religious trip</t>
  </si>
  <si>
    <t xml:space="preserve">Pilgrimage</t>
  </si>
  <si>
    <t xml:space="preserve">An Umrah package for my parents in March</t>
  </si>
  <si>
    <t xml:space="preserve">Explains it must go through a licensed operator and hands to a concierge</t>
  </si>
  <si>
    <t xml:space="preserve">Only licensed operators; not self-serve</t>
  </si>
  <si>
    <t xml:space="preserve">Relevant in MY, AE and IN; operator licensing and visa rules per market (to confirm)</t>
  </si>
  <si>
    <t xml:space="preserve">ST-03-007</t>
  </si>
  <si>
    <t xml:space="preserve">Understand what's included</t>
  </si>
  <si>
    <t xml:space="preserve">Board basis</t>
  </si>
  <si>
    <t xml:space="preserve">Are drinks included?</t>
  </si>
  <si>
    <t xml:space="preserve">Plain words: meals, drinks, activities, transfers, ticked and greyed</t>
  </si>
  <si>
    <t xml:space="preserve">NEW: Inclusions</t>
  </si>
  <si>
    <t xml:space="preserve">Inclusions from the resort, word for word in the source</t>
  </si>
  <si>
    <t xml:space="preserve">ST-03-008</t>
  </si>
  <si>
    <t xml:space="preserve">Pay for a package</t>
  </si>
  <si>
    <t xml:space="preserve">Points and card</t>
  </si>
  <si>
    <t xml:space="preserve">Splits points and card, notes the package protection, confirms both parts at once</t>
  </si>
  <si>
    <t xml:space="preserve">PayWith, PointsSlider, ConfirmSheet, Receipt</t>
  </si>
  <si>
    <t xml:space="preserve">Re-price both parts before pay; one confirmation for the whole package</t>
  </si>
  <si>
    <t xml:space="preserve">ST-03-009</t>
  </si>
  <si>
    <t xml:space="preserve">Can I spread the cost of this holiday?</t>
  </si>
  <si>
    <t xml:space="preserve">ST-03-010</t>
  </si>
  <si>
    <t xml:space="preserve">Package partly fails</t>
  </si>
  <si>
    <t xml:space="preserve">At booking</t>
  </si>
  <si>
    <t xml:space="preserve">Flight booked, hotel failed</t>
  </si>
  <si>
    <t xml:space="preserve">Says what worked and what didn't; rebooks the hotel or cancels everything with a full refund, customer's choice</t>
  </si>
  <si>
    <t xml:space="preserve">StateCard, ConfirmSheet, Handoff</t>
  </si>
  <si>
    <t xml:space="preserve">Package sold as one: never leave the customer with half a package without a free way out</t>
  </si>
  <si>
    <t xml:space="preserve">ST-03-011</t>
  </si>
  <si>
    <t xml:space="preserve">Add a resort extra</t>
  </si>
  <si>
    <t xml:space="preserve">Treats</t>
  </si>
  <si>
    <t xml:space="preserve">Add a couples' spa treatment and a sunset dinner</t>
  </si>
  <si>
    <t xml:space="preserve">Adds extras with times and prices in the total</t>
  </si>
  <si>
    <t xml:space="preserve">ExperienceCard, TimeSlots, PriceLines</t>
  </si>
  <si>
    <t xml:space="preserve">Extras priced by the resort; request or confirmed shown clearly</t>
  </si>
  <si>
    <t xml:space="preserve">ST-03-012</t>
  </si>
  <si>
    <t xml:space="preserve">Add transfers</t>
  </si>
  <si>
    <t xml:space="preserve">Arrival</t>
  </si>
  <si>
    <t xml:space="preserve">How do we get from the airport to the resort?</t>
  </si>
  <si>
    <t xml:space="preserve">Adds the resort transfer or a car timed to the flight</t>
  </si>
  <si>
    <t xml:space="preserve">RideOption, Itinerary</t>
  </si>
  <si>
    <t xml:space="preserve">Transfer times from the resort and the flight</t>
  </si>
  <si>
    <t xml:space="preserve">ST-03-013</t>
  </si>
  <si>
    <t xml:space="preserve">Cancel a package</t>
  </si>
  <si>
    <t xml:space="preserve">Cancel our Bali holiday</t>
  </si>
  <si>
    <t xml:space="preserve">Shows what comes back for the package and asks to confirm</t>
  </si>
  <si>
    <t xml:space="preserve">Cancellation, PriceLines, ConfirmSheet</t>
  </si>
  <si>
    <t xml:space="preserve">Refund from the package terms, not from the separate parts</t>
  </si>
  <si>
    <t xml:space="preserve">ST-03-014</t>
  </si>
  <si>
    <t xml:space="preserve">Resort changed</t>
  </si>
  <si>
    <t xml:space="preserve">Supplier changed hotel</t>
  </si>
  <si>
    <t xml:space="preserve">Explains the change and the options: accept, swap or cancel with a full refund</t>
  </si>
  <si>
    <t xml:space="preserve">StateCard, Compare, Handoff</t>
  </si>
  <si>
    <t xml:space="preserve">Options from package rules</t>
  </si>
  <si>
    <t xml:space="preserve">UK and EU: a significant change to a package lets the customer cancel with a full refund</t>
  </si>
  <si>
    <t xml:space="preserve">ST-03-015</t>
  </si>
  <si>
    <t xml:space="preserve">Flight cancelled on a package</t>
  </si>
  <si>
    <t xml:space="preserve">Rebooks the flight and tells the resort about the new arrival</t>
  </si>
  <si>
    <t xml:space="preserve">Disruption, Toast</t>
  </si>
  <si>
    <t xml:space="preserve">The resort is told only with the customer's yes</t>
  </si>
  <si>
    <t xml:space="preserve">ST-04-001</t>
  </si>
  <si>
    <t xml:space="preserve">Pay the difference</t>
  </si>
  <si>
    <t xml:space="preserve">New dates cost more</t>
  </si>
  <si>
    <t xml:space="preserve">Fine, I'll pay the extra</t>
  </si>
  <si>
    <t xml:space="preserve">Charges the difference in points or card and sends the new confirmation</t>
  </si>
  <si>
    <t xml:space="preserve">PriceLines, PayWith, ConfirmSheet, Receipt</t>
  </si>
  <si>
    <t xml:space="preserve">Difference from the supplier's live price; re-price before pay</t>
  </si>
  <si>
    <t xml:space="preserve">ST-04-002</t>
  </si>
  <si>
    <t xml:space="preserve">Change the dates</t>
  </si>
  <si>
    <t xml:space="preserve">Move my Lisbon stay to 20 to 22 Oct</t>
  </si>
  <si>
    <t xml:space="preserve">Checks the same room for the new dates, shows the price difference and new terms, confirms</t>
  </si>
  <si>
    <t xml:space="preserve">Cancellation, Compare, ConfirmSheet</t>
  </si>
  <si>
    <t xml:space="preserve">Change rules from the supplier; many rates need cancel and rebook</t>
  </si>
  <si>
    <t xml:space="preserve">ST-04-003</t>
  </si>
  <si>
    <t xml:space="preserve">Non-refundable rate</t>
  </si>
  <si>
    <t xml:space="preserve">Can I move my non-refundable booking?</t>
  </si>
  <si>
    <t xml:space="preserve">Says the rate can't be changed, offers to ask the hotel as a favour and shows what cancelling would cost</t>
  </si>
  <si>
    <t xml:space="preserve">Cancellation, StateCard, Handoff</t>
  </si>
  <si>
    <t xml:space="preserve">Never promise the hotel will agree</t>
  </si>
  <si>
    <t xml:space="preserve">ST-04-004</t>
  </si>
  <si>
    <t xml:space="preserve">Add a night</t>
  </si>
  <si>
    <t xml:space="preserve">Extend</t>
  </si>
  <si>
    <t xml:space="preserve">Can I stay one more night?</t>
  </si>
  <si>
    <t xml:space="preserve">Checks the same room for the extra night and links it so there's no room move where possible</t>
  </si>
  <si>
    <t xml:space="preserve">RoomOption, PriceLines, ConfirmSheet</t>
  </si>
  <si>
    <t xml:space="preserve">Room continuity not guaranteed and said plainly</t>
  </si>
  <si>
    <t xml:space="preserve">ST-04-005</t>
  </si>
  <si>
    <t xml:space="preserve">Change the room</t>
  </si>
  <si>
    <t xml:space="preserve">Upgrade</t>
  </si>
  <si>
    <t xml:space="preserve">Can we upgrade to a sea view?</t>
  </si>
  <si>
    <t xml:space="preserve">Shows upgrade options and the price difference</t>
  </si>
  <si>
    <t xml:space="preserve">Upgrade price from the supplier</t>
  </si>
  <si>
    <t xml:space="preserve">ST-04-006</t>
  </si>
  <si>
    <t xml:space="preserve">Change guests</t>
  </si>
  <si>
    <t xml:space="preserve">Name change</t>
  </si>
  <si>
    <t xml:space="preserve">My colleague is going instead of me</t>
  </si>
  <si>
    <t xml:space="preserve">Checks whether the hotel allows a lead guest change and hands over if needed</t>
  </si>
  <si>
    <t xml:space="preserve">Name changes are the hotel's decision</t>
  </si>
  <si>
    <t xml:space="preserve">ST-04-007</t>
  </si>
  <si>
    <t xml:space="preserve">Add a guest</t>
  </si>
  <si>
    <t xml:space="preserve">Extra person</t>
  </si>
  <si>
    <t xml:space="preserve">My sister is joining, can she share our room?</t>
  </si>
  <si>
    <t xml:space="preserve">Checks room capacity and any extra-person charge</t>
  </si>
  <si>
    <t xml:space="preserve">Travellers, PriceLines</t>
  </si>
  <si>
    <t xml:space="preserve">Capacity is a hard limit</t>
  </si>
  <si>
    <t xml:space="preserve">ST-04-008</t>
  </si>
  <si>
    <t xml:space="preserve">Free cancellation</t>
  </si>
  <si>
    <t xml:space="preserve">Cancel my hotel</t>
  </si>
  <si>
    <t xml:space="preserve">Says it's free before the deadline, confirms and refunds points to points and card to card</t>
  </si>
  <si>
    <t xml:space="preserve">Refund amounts from terms only; paid-with split refunded the same way</t>
  </si>
  <si>
    <t xml:space="preserve">ST-04-009</t>
  </si>
  <si>
    <t xml:space="preserve">Past the free deadline</t>
  </si>
  <si>
    <t xml:space="preserve">Cancellation fee</t>
  </si>
  <si>
    <t xml:space="preserve">Shows the fee and what comes back, and asks to confirm or keep the booking</t>
  </si>
  <si>
    <t xml:space="preserve">Fee from terms only</t>
  </si>
  <si>
    <t xml:space="preserve">ST-04-010</t>
  </si>
  <si>
    <t xml:space="preserve">Non-refundable</t>
  </si>
  <si>
    <t xml:space="preserve">No refund</t>
  </si>
  <si>
    <t xml:space="preserve">Can I get anything back?</t>
  </si>
  <si>
    <t xml:space="preserve">Says nothing comes back under the terms, offers to ask the hotel or change instead, and mentions card travel cover if the card has it</t>
  </si>
  <si>
    <t xml:space="preserve">Cancellation, BenefitRow, Handoff</t>
  </si>
  <si>
    <t xml:space="preserve">Card cover terms from the bank; not advice</t>
  </si>
  <si>
    <t xml:space="preserve">ST-04-011</t>
  </si>
  <si>
    <t xml:space="preserve">Cancel for a serious reason</t>
  </si>
  <si>
    <t xml:space="preserve">Bereavement or illness</t>
  </si>
  <si>
    <t xml:space="preserve">My father has died and I can't travel</t>
  </si>
  <si>
    <t xml:space="preserve">Acknowledges it, asks the hotel for a waiver and hands to a person trained for bereavement</t>
  </si>
  <si>
    <t xml:space="preserve">Handoff, StateCard</t>
  </si>
  <si>
    <t xml:space="preserve">Waivers are the hotel's decision; case flagged to the care team</t>
  </si>
  <si>
    <t xml:space="preserve">ST-04-012</t>
  </si>
  <si>
    <t xml:space="preserve">Get reminded before the deadline</t>
  </si>
  <si>
    <t xml:space="preserve">Reminds them before free cancellation ends and asks if the plan still stands</t>
  </si>
  <si>
    <t xml:space="preserve">StickyNote, Cancellation</t>
  </si>
  <si>
    <t xml:space="preserve">Deadline from the terms, in the hotel's time zone</t>
  </si>
  <si>
    <t xml:space="preserve">ST-04-013</t>
  </si>
  <si>
    <t xml:space="preserve">Leave early</t>
  </si>
  <si>
    <t xml:space="preserve">Shorten</t>
  </si>
  <si>
    <t xml:space="preserve">We need to leave a day early</t>
  </si>
  <si>
    <t xml:space="preserve">Checks if the unused night is refundable under the terms and asks the hotel if not</t>
  </si>
  <si>
    <t xml:space="preserve">Cancellation, Handoff</t>
  </si>
  <si>
    <t xml:space="preserve">Early departure charges from hotel terms</t>
  </si>
  <si>
    <t xml:space="preserve">ST-04-014</t>
  </si>
  <si>
    <t xml:space="preserve">Hotel cancelled my booking</t>
  </si>
  <si>
    <t xml:space="preserve">Refunds in full and shows similar hotels at the same price or better for the customer to pick</t>
  </si>
  <si>
    <t xml:space="preserve">StateCard, Rail, HotelCard, Receipt</t>
  </si>
  <si>
    <t xml:space="preserve">ST-04-015</t>
  </si>
  <si>
    <t xml:space="preserve">Undo a cancellation</t>
  </si>
  <si>
    <t xml:space="preserve">Wrong booking cancelled</t>
  </si>
  <si>
    <t xml:space="preserve">Cancelled by mistake</t>
  </si>
  <si>
    <t xml:space="preserve">I cancelled the wrong hotel!</t>
  </si>
  <si>
    <t xml:space="preserve">Tries to reinstate at the same rate; if not, shows today's price</t>
  </si>
  <si>
    <t xml:space="preserve">Reinstatement is the supplier's decision</t>
  </si>
  <si>
    <t xml:space="preserve">ST-04-016</t>
  </si>
  <si>
    <t xml:space="preserve">Sort out a duplicate</t>
  </si>
  <si>
    <t xml:space="preserve">Booked twice</t>
  </si>
  <si>
    <t xml:space="preserve">Duplicate booking</t>
  </si>
  <si>
    <t xml:space="preserve">I think I've booked the same hotel twice</t>
  </si>
  <si>
    <t xml:space="preserve">Finds both, cancels the duplicate free where terms allow and hands over if not</t>
  </si>
  <si>
    <t xml:space="preserve">Receipt, Cancellation, Handoff</t>
  </si>
  <si>
    <t xml:space="preserve">Duplicate check at booking; supplier waiver needed after the deadline</t>
  </si>
  <si>
    <t xml:space="preserve">ST-04-017</t>
  </si>
  <si>
    <t xml:space="preserve">Cancelled stay</t>
  </si>
  <si>
    <t xml:space="preserve">Shows the refund state and expected date</t>
  </si>
  <si>
    <t xml:space="preserve">Status from the supplier and the bank</t>
  </si>
  <si>
    <t xml:space="preserve">ST-04-018</t>
  </si>
  <si>
    <t xml:space="preserve">Refund late</t>
  </si>
  <si>
    <t xml:space="preserve">It's been two weeks and no refund</t>
  </si>
  <si>
    <t xml:space="preserve">Checks with the supplier and the bank, gives a date or hands to a person</t>
  </si>
  <si>
    <t xml:space="preserve">Refund timelines from the supplier and the bank</t>
  </si>
  <si>
    <t xml:space="preserve">ST-05-001</t>
  </si>
  <si>
    <t xml:space="preserve">Settle the hotel bill</t>
  </si>
  <si>
    <t xml:space="preserve">Extras</t>
  </si>
  <si>
    <t xml:space="preserve">Can I pay my bar bill with points?</t>
  </si>
  <si>
    <t xml:space="preserve">Says whether points can cover extras on this card and shows points earned if paid by card</t>
  </si>
  <si>
    <t xml:space="preserve">PayWith, BenefitRow</t>
  </si>
  <si>
    <t xml:space="preserve">Points against hotel extras only under the bank's rules</t>
  </si>
  <si>
    <t xml:space="preserve">ST-05-002</t>
  </si>
  <si>
    <t xml:space="preserve">Share arrival time</t>
  </si>
  <si>
    <t xml:space="preserve">Day before</t>
  </si>
  <si>
    <t xml:space="preserve">Sends check-in details and asks the arrival time to pass to the hotel</t>
  </si>
  <si>
    <t xml:space="preserve">StickyNote, TripFolder, TimeSlots</t>
  </si>
  <si>
    <t xml:space="preserve">Passed to the hotel only with the customer's yes</t>
  </si>
  <si>
    <t xml:space="preserve">ST-05-003</t>
  </si>
  <si>
    <t xml:space="preserve">Check in early</t>
  </si>
  <si>
    <t xml:space="preserve">Early flight</t>
  </si>
  <si>
    <t xml:space="preserve">We land at 6am, can we check in early?</t>
  </si>
  <si>
    <t xml:space="preserve">Asks the hotel; offers paid early check-in or the night before if they want it guaranteed</t>
  </si>
  <si>
    <t xml:space="preserve">Early check-in is a request unless paid for</t>
  </si>
  <si>
    <t xml:space="preserve">ST-05-004</t>
  </si>
  <si>
    <t xml:space="preserve">Check out late</t>
  </si>
  <si>
    <t xml:space="preserve">Late flight</t>
  </si>
  <si>
    <t xml:space="preserve">Our flight is at 11pm, can we keep the room?</t>
  </si>
  <si>
    <t xml:space="preserve">Asks the hotel for late check-out and shows any charge</t>
  </si>
  <si>
    <t xml:space="preserve">StateCard, PriceLines</t>
  </si>
  <si>
    <t xml:space="preserve">Late check-out is a request unless paid for</t>
  </si>
  <si>
    <t xml:space="preserve">ST-05-005</t>
  </si>
  <si>
    <t xml:space="preserve">Know what ID to bring</t>
  </si>
  <si>
    <t xml:space="preserve">International guest</t>
  </si>
  <si>
    <t xml:space="preserve">What do I need at check-in?</t>
  </si>
  <si>
    <t xml:space="preserve">Says what ID the hotel needs for each guest</t>
  </si>
  <si>
    <t xml:space="preserve">From the hotel</t>
  </si>
  <si>
    <t xml:space="preserve">IN: foreign guests show passport and visa and are registered by the hotel (Form C); every adult needs photo ID. AE: ID or passport for every guest</t>
  </si>
  <si>
    <t xml:space="preserve">ST-05-006</t>
  </si>
  <si>
    <t xml:space="preserve">Ask about the hotel</t>
  </si>
  <si>
    <t xml:space="preserve">Information</t>
  </si>
  <si>
    <t xml:space="preserve">What time is breakfast? Is there parking?</t>
  </si>
  <si>
    <t xml:space="preserve">Answers from the hotel's own facts and names the source</t>
  </si>
  <si>
    <t xml:space="preserve">From hotel content; says when it doesn't know</t>
  </si>
  <si>
    <t xml:space="preserve">ST-05-007</t>
  </si>
  <si>
    <t xml:space="preserve">Make a request</t>
  </si>
  <si>
    <t xml:space="preserve">Room needs</t>
  </si>
  <si>
    <t xml:space="preserve">Can I get extra pillows and a kettle?</t>
  </si>
  <si>
    <t xml:space="preserve">Sends the request to the hotel and tracks it</t>
  </si>
  <si>
    <t xml:space="preserve">NEW: ClaimTracker, Toast</t>
  </si>
  <si>
    <t xml:space="preserve">Only hotels with a request channel; otherwise gives the front desk number</t>
  </si>
  <si>
    <t xml:space="preserve">ST-05-008</t>
  </si>
  <si>
    <t xml:space="preserve">Book something at the hotel</t>
  </si>
  <si>
    <t xml:space="preserve">Spa or dinner</t>
  </si>
  <si>
    <t xml:space="preserve">Book the hotel spa tomorrow at 4</t>
  </si>
  <si>
    <t xml:space="preserve">Checks times and books or requests it, charged to the room or card</t>
  </si>
  <si>
    <t xml:space="preserve">TimeSlots, ExperienceCard, ConfirmSheet</t>
  </si>
  <si>
    <t xml:space="preserve">Bookable only where the hotel is connected; otherwise concierge</t>
  </si>
  <si>
    <t xml:space="preserve">ST-05-009</t>
  </si>
  <si>
    <t xml:space="preserve">Cancel a hotel booking made in-stay</t>
  </si>
  <si>
    <t xml:space="preserve">Changed mind</t>
  </si>
  <si>
    <t xml:space="preserve">Cancel the spa tomorrow</t>
  </si>
  <si>
    <t xml:space="preserve">Cancels if the hotel's terms allow and says if there is a charge</t>
  </si>
  <si>
    <t xml:space="preserve">Cancellation, ConfirmSheet</t>
  </si>
  <si>
    <t xml:space="preserve">Charge from the hotel's terms</t>
  </si>
  <si>
    <t xml:space="preserve">ST-05-010</t>
  </si>
  <si>
    <t xml:space="preserve">Understand a hold on my card</t>
  </si>
  <si>
    <t xml:space="preserve">Incidentals</t>
  </si>
  <si>
    <t xml:space="preserve">Why did they block money on my card?</t>
  </si>
  <si>
    <t xml:space="preserve">Explains the incidentals hold, the amount and when it drops off</t>
  </si>
  <si>
    <t xml:space="preserve">TransactionRow, Answer</t>
  </si>
  <si>
    <t xml:space="preserve">Hold release timing from the bank</t>
  </si>
  <si>
    <t xml:space="preserve">ST-05-011</t>
  </si>
  <si>
    <t xml:space="preserve">Use a digital key</t>
  </si>
  <si>
    <t xml:space="preserve">Hotel offers mobile key</t>
  </si>
  <si>
    <t xml:space="preserve">Can I use my phone as the key?</t>
  </si>
  <si>
    <t xml:space="preserve">Shows the key where the hotel supports it</t>
  </si>
  <si>
    <t xml:space="preserve">NEW: DigitalKey</t>
  </si>
  <si>
    <t xml:space="preserve">Only hotels with a mobile key link</t>
  </si>
  <si>
    <t xml:space="preserve">ST-05-012</t>
  </si>
  <si>
    <t xml:space="preserve">Show the booking at check-in</t>
  </si>
  <si>
    <t xml:space="preserve">At reception</t>
  </si>
  <si>
    <t xml:space="preserve">Booking not found</t>
  </si>
  <si>
    <t xml:space="preserve">They can't find my booking</t>
  </si>
  <si>
    <t xml:space="preserve">Shows the confirmation number and supplier voucher, calls the supplier and shares that number</t>
  </si>
  <si>
    <t xml:space="preserve">Receipt, StateCard, Handoff</t>
  </si>
  <si>
    <t xml:space="preserve">Supplier confirmation is the proof; escalation contacts shared with the customer</t>
  </si>
  <si>
    <t xml:space="preserve">ST-05-013</t>
  </si>
  <si>
    <t xml:space="preserve">Get moved to another hotel</t>
  </si>
  <si>
    <t xml:space="preserve">Hotel overbooked</t>
  </si>
  <si>
    <t xml:space="preserve">They say they're full and are sending me elsewhere</t>
  </si>
  <si>
    <t xml:space="preserve">Checks the offered hotel is equal or better with transport paid, logs a claim and hands to a person</t>
  </si>
  <si>
    <t xml:space="preserve">StateCard, HotelCard, Handoff</t>
  </si>
  <si>
    <t xml:space="preserve">Relocation terms from the supplier; costs claimed back</t>
  </si>
  <si>
    <t xml:space="preserve">ST-05-014</t>
  </si>
  <si>
    <t xml:space="preserve">Report a room problem</t>
  </si>
  <si>
    <t xml:space="preserve">In the room</t>
  </si>
  <si>
    <t xml:space="preserve">Something broken</t>
  </si>
  <si>
    <t xml:space="preserve">The air con isn't working</t>
  </si>
  <si>
    <t xml:space="preserve">Reports it to the hotel, asks for a fix or a room move and follows up</t>
  </si>
  <si>
    <t xml:space="preserve">NEW: ClaimTracker, StateCard</t>
  </si>
  <si>
    <t xml:space="preserve">Follow-up time set by ops</t>
  </si>
  <si>
    <t xml:space="preserve">ST-05-015</t>
  </si>
  <si>
    <t xml:space="preserve">Get the room I booked</t>
  </si>
  <si>
    <t xml:space="preserve">At check-in</t>
  </si>
  <si>
    <t xml:space="preserve">Wrong room type</t>
  </si>
  <si>
    <t xml:space="preserve">We booked a twin and got a double</t>
  </si>
  <si>
    <t xml:space="preserve">Shows what was booked, asks the hotel to fix it and records it for a refund if not</t>
  </si>
  <si>
    <t xml:space="preserve">RoomOption, StateCard, Handoff</t>
  </si>
  <si>
    <t xml:space="preserve">Refund for the difference from supplier terms</t>
  </si>
  <si>
    <t xml:space="preserve">ST-05-016</t>
  </si>
  <si>
    <t xml:space="preserve">Query a charge at checkout</t>
  </si>
  <si>
    <t xml:space="preserve">Checking out</t>
  </si>
  <si>
    <t xml:space="preserve">Charged extra</t>
  </si>
  <si>
    <t xml:space="preserve">They're charging a resort fee I didn't know about</t>
  </si>
  <si>
    <t xml:space="preserve">Shows what was shown at booking; if it wasn't disclosed, logs a claim</t>
  </si>
  <si>
    <t xml:space="preserve">PriceLines, StateCard, Handoff</t>
  </si>
  <si>
    <t xml:space="preserve">Record of what was shown at booking is kept</t>
  </si>
  <si>
    <t xml:space="preserve">ST-05-017</t>
  </si>
  <si>
    <t xml:space="preserve">Get help in an emergency</t>
  </si>
  <si>
    <t xml:space="preserve">At the property</t>
  </si>
  <si>
    <t xml:space="preserve">Unsafe</t>
  </si>
  <si>
    <t xml:space="preserve">There's a fire alarm and nobody is telling us anything</t>
  </si>
  <si>
    <t xml:space="preserve">Gives the local emergency number first, then contacts the hotel and hands to a person</t>
  </si>
  <si>
    <t xml:space="preserve">Safety first; a person takes over</t>
  </si>
  <si>
    <t xml:space="preserve">Emergency numbers: 999 or 112 (UK), 112 (EU), 112 (IN), 999 police and 998 ambulance (AE), 999 police and 995 ambulance (SG), 999 (MY)</t>
  </si>
  <si>
    <t xml:space="preserve">ST-05-018</t>
  </si>
  <si>
    <t xml:space="preserve">Find something I left</t>
  </si>
  <si>
    <t xml:space="preserve">Item left behind</t>
  </si>
  <si>
    <t xml:space="preserve">I left my charger in the room</t>
  </si>
  <si>
    <t xml:space="preserve">Asks the hotel's lost property and arranges a courier if it's found</t>
  </si>
  <si>
    <t xml:space="preserve">NEW: ClaimTracker, Handoff</t>
  </si>
  <si>
    <t xml:space="preserve">Courier cost confirmed with the customer first</t>
  </si>
  <si>
    <t xml:space="preserve">ST-05-019</t>
  </si>
  <si>
    <t xml:space="preserve">Get the invoice</t>
  </si>
  <si>
    <t xml:space="preserve">Send me the hotel invoice</t>
  </si>
  <si>
    <t xml:space="preserve">Asks the hotel for the bill and sends it</t>
  </si>
  <si>
    <t xml:space="preserve">Bill issued by the hotel</t>
  </si>
  <si>
    <t xml:space="preserve">ST-05-020</t>
  </si>
  <si>
    <t xml:space="preserve">Rate the stay</t>
  </si>
  <si>
    <t xml:space="preserve">One-tap rating that improves future suggestions</t>
  </si>
  <si>
    <t xml:space="preserve">ST-05-021</t>
  </si>
  <si>
    <t xml:space="preserve">Complain about the stay</t>
  </si>
  <si>
    <t xml:space="preserve">That hotel was awful and I want something done</t>
  </si>
  <si>
    <t xml:space="preserve">Listens, logs a complaint with the booking attached and hands to a person</t>
  </si>
  <si>
    <t xml:space="preserve">ST-06-001</t>
  </si>
  <si>
    <t xml:space="preserve">Use a free night before it expires</t>
  </si>
  <si>
    <t xml:space="preserve">Benefit expiring</t>
  </si>
  <si>
    <t xml:space="preserve">Reminds them and suggests hotels where it applies</t>
  </si>
  <si>
    <t xml:space="preserve">Moment, BenefitRow, HotelCard</t>
  </si>
  <si>
    <t xml:space="preserve">Expiry from the bank; marketing consent checked</t>
  </si>
  <si>
    <t xml:space="preserve">ST-06-002</t>
  </si>
  <si>
    <t xml:space="preserve">See member rates</t>
  </si>
  <si>
    <t xml:space="preserve">Does my card get me a better rate?</t>
  </si>
  <si>
    <t xml:space="preserve">Shows the bank's member rates with the saving against the public rate</t>
  </si>
  <si>
    <t xml:space="preserve">HotelCard, Badge, BenefitRow</t>
  </si>
  <si>
    <t xml:space="preserve">Eligibility from the bank; saving compared on the same room and terms only</t>
  </si>
  <si>
    <t xml:space="preserve">ST-06-003</t>
  </si>
  <si>
    <t xml:space="preserve">Compare where I earn more</t>
  </si>
  <si>
    <t xml:space="preserve">Hotel points or card points</t>
  </si>
  <si>
    <t xml:space="preserve">Would I earn more booking with the hotel direct?</t>
  </si>
  <si>
    <t xml:space="preserve">Compares what each way earns using stated facts only</t>
  </si>
  <si>
    <t xml:space="preserve">Earn rates from the bank and the hotel programme</t>
  </si>
  <si>
    <t xml:space="preserve">ST-06-004</t>
  </si>
  <si>
    <t xml:space="preserve">Use a card hotel benefit</t>
  </si>
  <si>
    <t xml:space="preserve">Free night included</t>
  </si>
  <si>
    <t xml:space="preserve">My card gives me a free night, use it</t>
  </si>
  <si>
    <t xml:space="preserve">Applies the benefit where eligible and shows what's left</t>
  </si>
  <si>
    <t xml:space="preserve">BenefitRow, PriceLines, ConfirmSheet</t>
  </si>
  <si>
    <t xml:space="preserve">Benefit rules and counts from the bank</t>
  </si>
  <si>
    <t xml:space="preserve">ST-06-005</t>
  </si>
  <si>
    <t xml:space="preserve">Spend hotel programme points</t>
  </si>
  <si>
    <t xml:space="preserve">Has hotel points</t>
  </si>
  <si>
    <t xml:space="preserve">Not supported here</t>
  </si>
  <si>
    <t xml:space="preserve">Can I use my hotel points for this?</t>
  </si>
  <si>
    <t xml:space="preserve">Explains hotel programme points can't be spent here and offers a transfer from bank points if the bank supports it</t>
  </si>
  <si>
    <t xml:space="preserve">Transfers only to bank-listed partners and can't be undone</t>
  </si>
  <si>
    <t xml:space="preserve">ST-06-006</t>
  </si>
  <si>
    <t xml:space="preserve">Member rate not applied</t>
  </si>
  <si>
    <t xml:space="preserve">After booking</t>
  </si>
  <si>
    <t xml:space="preserve">Charged the public rate</t>
  </si>
  <si>
    <t xml:space="preserve">It said member rate but I was charged the full price</t>
  </si>
  <si>
    <t xml:space="preserve">Compares the booked rate with the receipt and fixes it or hands over</t>
  </si>
  <si>
    <t xml:space="preserve">PriceLines, Receipt, Handoff</t>
  </si>
  <si>
    <t xml:space="preserve">Charge record from the bank and the supplier</t>
  </si>
  <si>
    <t xml:space="preserve">ST-06-007</t>
  </si>
  <si>
    <t xml:space="preserve">Member rate not available</t>
  </si>
  <si>
    <t xml:space="preserve">Card changed</t>
  </si>
  <si>
    <t xml:space="preserve">Not eligible</t>
  </si>
  <si>
    <t xml:space="preserve">Why can't I see the member rate any more?</t>
  </si>
  <si>
    <t xml:space="preserve">Explains the rate is for eligible cards only and shows the public price</t>
  </si>
  <si>
    <t xml:space="preserve">StateCard, BenefitRow</t>
  </si>
  <si>
    <t xml:space="preserve">Eligibility checked at booking and at pay</t>
  </si>
  <si>
    <t xml:space="preserve">ST-06-008</t>
  </si>
  <si>
    <t xml:space="preserve">Hotel points missing</t>
  </si>
  <si>
    <t xml:space="preserve">After the stay</t>
  </si>
  <si>
    <t xml:space="preserve">Points didn't post</t>
  </si>
  <si>
    <t xml:space="preserve">My stay points never arrived</t>
  </si>
  <si>
    <t xml:space="preserve">Shows the stay details and number used, and the claim route with the programme</t>
  </si>
  <si>
    <t xml:space="preserve">StateCard, NEW: LoyaltyNumber</t>
  </si>
  <si>
    <t xml:space="preserve">Posting is the programme's decision</t>
  </si>
  <si>
    <t xml:space="preserve">ST-06-009</t>
  </si>
  <si>
    <t xml:space="preserve">See benefits used</t>
  </si>
  <si>
    <t xml:space="preserve">This year</t>
  </si>
  <si>
    <t xml:space="preserve">How many free nights have I used this year?</t>
  </si>
  <si>
    <t xml:space="preserve">Shows used and left, and when they renew</t>
  </si>
  <si>
    <t xml:space="preserve">BenefitRow, Dial</t>
  </si>
  <si>
    <t xml:space="preserve">Counts from the bank</t>
  </si>
  <si>
    <t xml:space="preserve">ST-06-010</t>
  </si>
  <si>
    <t xml:space="preserve">Add my hotel loyalty number</t>
  </si>
  <si>
    <t xml:space="preserve">Earn hotel points</t>
  </si>
  <si>
    <t xml:space="preserve">Add my hotel points number</t>
  </si>
  <si>
    <t xml:space="preserve">Adds it to the booking and warns that some rates don't earn</t>
  </si>
  <si>
    <t xml:space="preserve">NEW: LoyaltyNumber, Toast</t>
  </si>
  <si>
    <t xml:space="preserve">Earning rules from the hotel programme; many third-party rates don't earn</t>
  </si>
  <si>
    <t xml:space="preserve">ST-06-011</t>
  </si>
  <si>
    <t xml:space="preserve">Change the loyalty number</t>
  </si>
  <si>
    <t xml:space="preserve">Wrong number</t>
  </si>
  <si>
    <t xml:space="preserve">I put my old membership number on that booking</t>
  </si>
  <si>
    <t xml:space="preserve">Updates it with the hotel before arrival where allowed</t>
  </si>
  <si>
    <t xml:space="preserve">Change accepted by the hotel</t>
  </si>
  <si>
    <t xml:space="preserve">ST-06-012</t>
  </si>
  <si>
    <t xml:space="preserve">Get status benefits</t>
  </si>
  <si>
    <t xml:space="preserve">Elite status</t>
  </si>
  <si>
    <t xml:space="preserve">I'm gold with that chain, will they honour it?</t>
  </si>
  <si>
    <t xml:space="preserve">Says status benefits on third-party bookings are up to the hotel, adds the number and asks as a request</t>
  </si>
  <si>
    <t xml:space="preserve">Answer, NEW: LoyaltyNumber, StickyNote</t>
  </si>
  <si>
    <t xml:space="preserve">Never promise status benefits on third-party rates</t>
  </si>
  <si>
    <t xml:space="preserve">AP-01-001</t>
  </si>
  <si>
    <t xml:space="preserve">Find airport services</t>
  </si>
  <si>
    <t xml:space="preserve">Trip booked</t>
  </si>
  <si>
    <t xml:space="preserve">What can you do for me at the airport?</t>
  </si>
  <si>
    <t xml:space="preserve">Lists services at that airport for this trip, with what the card covers</t>
  </si>
  <si>
    <t xml:space="preserve">Answer, BenefitRow, NEW: ServiceCard, Rail</t>
  </si>
  <si>
    <t xml:space="preserve">Only services live at that airport in the service matrix</t>
  </si>
  <si>
    <t xml:space="preserve">AP-01-002</t>
  </si>
  <si>
    <t xml:space="preserve">Get offered help on arrival</t>
  </si>
  <si>
    <t xml:space="preserve">Flight booked</t>
  </si>
  <si>
    <t xml:space="preserve">Moment: offers meet and greet at the arrival airport for the booked flight</t>
  </si>
  <si>
    <t xml:space="preserve">Moment, NEW: ServiceCard</t>
  </si>
  <si>
    <t xml:space="preserve">Only where it's sold; marketing consent checked</t>
  </si>
  <si>
    <t xml:space="preserve">AP-01-003</t>
  </si>
  <si>
    <t xml:space="preserve">Book meet and greet</t>
  </si>
  <si>
    <t xml:space="preserve">Someone to meet me when I land in Dubai on Friday</t>
  </si>
  <si>
    <t xml:space="preserve">Shows arrival meet and greet: what it covers, meeting point and price or card cover</t>
  </si>
  <si>
    <t xml:space="preserve">NEW: ServiceCard, FlightCard, PriceLines</t>
  </si>
  <si>
    <t xml:space="preserve">Availability per airport from the service matrix; confirmed or on request shown clearly</t>
  </si>
  <si>
    <t xml:space="preserve">AP-01-004</t>
  </si>
  <si>
    <t xml:space="preserve">Departure</t>
  </si>
  <si>
    <t xml:space="preserve">Help me through the airport when I fly out of Mumbai</t>
  </si>
  <si>
    <t xml:space="preserve">Departure meet and greet: kerbside pickup, check-in help, escort to security</t>
  </si>
  <si>
    <t xml:space="preserve">Availability per airport from the service matrix</t>
  </si>
  <si>
    <t xml:space="preserve">AP-01-005</t>
  </si>
  <si>
    <t xml:space="preserve">Parents travelling alone</t>
  </si>
  <si>
    <t xml:space="preserve">My parents fly into Delhi alone next week, can someone help them?</t>
  </si>
  <si>
    <t xml:space="preserve">Books in their names and sends the greeter details to them and to the customer</t>
  </si>
  <si>
    <t xml:space="preserve">Travellers, NEW: ServiceCard, SendTo</t>
  </si>
  <si>
    <t xml:space="preserve">Names must match passports; their contact details used with their consent</t>
  </si>
  <si>
    <t xml:space="preserve">AP-01-006</t>
  </si>
  <si>
    <t xml:space="preserve">Business guest</t>
  </si>
  <si>
    <t xml:space="preserve">Arrange a VIP arrival for a client landing at Heathrow</t>
  </si>
  <si>
    <t xml:space="preserve">Books in the client's name, sends the client a bank-branded message and a receipt for expenses</t>
  </si>
  <si>
    <t xml:space="preserve">Travellers, SendTo, Receipt</t>
  </si>
  <si>
    <t xml:space="preserve">Messages go out bank-branded, sent by us</t>
  </si>
  <si>
    <t xml:space="preserve">AP-01-007</t>
  </si>
  <si>
    <t xml:space="preserve">There are six of us and a lot of bags</t>
  </si>
  <si>
    <t xml:space="preserve">Checks group limits, adds porters and prices per person or per group as the airport sells it</t>
  </si>
  <si>
    <t xml:space="preserve">Travellers, NEW: ServiceCard, PriceLines</t>
  </si>
  <si>
    <t xml:space="preserve">Group limits and pricing unit from the provider</t>
  </si>
  <si>
    <t xml:space="preserve">AP-01-008</t>
  </si>
  <si>
    <t xml:space="preserve">My father uses a wheelchair</t>
  </si>
  <si>
    <t xml:space="preserve">Explains the free airport help booked through the airline, and adds meet and greet on top if wanted</t>
  </si>
  <si>
    <t xml:space="preserve">Answer, NEW: ServiceCard, Handoff</t>
  </si>
  <si>
    <t xml:space="preserve">Free assistance is requested through the airline; never sold as a paid swap</t>
  </si>
  <si>
    <t xml:space="preserve">UK and EU: airports must give free help to disabled and reduced-mobility passengers, booked through the airline; elsewhere per airport and airline policy (to confirm)</t>
  </si>
  <si>
    <t xml:space="preserve">AP-01-009</t>
  </si>
  <si>
    <t xml:space="preserve">Child flying alone</t>
  </si>
  <si>
    <t xml:space="preserve">My 15-year-old is flying alone, can someone meet her?</t>
  </si>
  <si>
    <t xml:space="preserve">Explains the airline's unaccompanied minor service and hands to a person; meet and greet only alongside it</t>
  </si>
  <si>
    <t xml:space="preserve">Children flying alone always go to a person; airline rules come first</t>
  </si>
  <si>
    <t xml:space="preserve">AP-01-010</t>
  </si>
  <si>
    <t xml:space="preserve">Language</t>
  </si>
  <si>
    <t xml:space="preserve">Can the greeter speak Hindi for my mum?</t>
  </si>
  <si>
    <t xml:space="preserve">Asks for a greeter who speaks it and says if that isn't guaranteed</t>
  </si>
  <si>
    <t xml:space="preserve">NEW: ServiceCard, StickyNote</t>
  </si>
  <si>
    <t xml:space="preserve">Language is a request unless the provider guarantees it</t>
  </si>
  <si>
    <t xml:space="preserve">Common asks: Arabic (AE), Hindi and regional languages (IN), Malay and Mandarin (MY, SG); Arabic content needs native review</t>
  </si>
  <si>
    <t xml:space="preserve">AP-01-011</t>
  </si>
  <si>
    <t xml:space="preserve">Airport not covered</t>
  </si>
  <si>
    <t xml:space="preserve">Not available here</t>
  </si>
  <si>
    <t xml:space="preserve">Meet and greet in Porto</t>
  </si>
  <si>
    <t xml:space="preserve">Says it isn't offered there yet and shows what is</t>
  </si>
  <si>
    <t xml:space="preserve">StateCard, Rail</t>
  </si>
  <si>
    <t xml:space="preserve">Only what's in the service matrix</t>
  </si>
  <si>
    <t xml:space="preserve">AP-01-012</t>
  </si>
  <si>
    <t xml:space="preserve">Short notice</t>
  </si>
  <si>
    <t xml:space="preserve">Too late to book</t>
  </si>
  <si>
    <t xml:space="preserve">Can someone meet me? I land in two hours</t>
  </si>
  <si>
    <t xml:space="preserve">Checks the provider's minimum notice; books if possible or says plainly it can't</t>
  </si>
  <si>
    <t xml:space="preserve">StateCard, NEW: ServiceCard</t>
  </si>
  <si>
    <t xml:space="preserve">Minimum notice per provider and airport</t>
  </si>
  <si>
    <t xml:space="preserve">AP-01-013</t>
  </si>
  <si>
    <t xml:space="preserve">Choose a package</t>
  </si>
  <si>
    <t xml:space="preserve">Standard or plus</t>
  </si>
  <si>
    <t xml:space="preserve">What's the difference between the two options?</t>
  </si>
  <si>
    <t xml:space="preserve">Compares the standard and plus packages at this airport: what's included, time, price</t>
  </si>
  <si>
    <t xml:space="preserve">Compare, NEW: ServiceCard</t>
  </si>
  <si>
    <t xml:space="preserve">Package contents per airport from the catalogue</t>
  </si>
  <si>
    <t xml:space="preserve">AP-01-014</t>
  </si>
  <si>
    <t xml:space="preserve">Use a card benefit</t>
  </si>
  <si>
    <t xml:space="preserve">Visits included</t>
  </si>
  <si>
    <t xml:space="preserve">Use my free meet and greet</t>
  </si>
  <si>
    <t xml:space="preserve">Checks visits left, books it and shows the count after</t>
  </si>
  <si>
    <t xml:space="preserve">BenefitRow, ConfirmSheet, CheckPop</t>
  </si>
  <si>
    <t xml:space="preserve">Visits left from the bank; blocked when used up until renewal</t>
  </si>
  <si>
    <t xml:space="preserve">AP-01-015</t>
  </si>
  <si>
    <t xml:space="preserve">Visits used up</t>
  </si>
  <si>
    <t xml:space="preserve">No visits left</t>
  </si>
  <si>
    <t xml:space="preserve">Says the free visits are used, shows when they renew and offers to pay</t>
  </si>
  <si>
    <t xml:space="preserve">BenefitRow, StateCard, PayWith</t>
  </si>
  <si>
    <t xml:space="preserve">Entitlement blocked once used; renewal date from the bank</t>
  </si>
  <si>
    <t xml:space="preserve">AP-01-016</t>
  </si>
  <si>
    <t xml:space="preserve">Pay for meet and greet</t>
  </si>
  <si>
    <t xml:space="preserve">Points</t>
  </si>
  <si>
    <t xml:space="preserve">Shows the price in points, confirms and issues the booking</t>
  </si>
  <si>
    <t xml:space="preserve">Priced per use, per service; re-price before pay</t>
  </si>
  <si>
    <t xml:space="preserve">AP-01-017</t>
  </si>
  <si>
    <t xml:space="preserve">On-request airport</t>
  </si>
  <si>
    <t xml:space="preserve">Not confirmed instantly</t>
  </si>
  <si>
    <t xml:space="preserve">(after booking)</t>
  </si>
  <si>
    <t xml:space="preserve">Says it's a request, when the partner will confirm, and that nothing is kept if they can't</t>
  </si>
  <si>
    <t xml:space="preserve">StateCard, Status</t>
  </si>
  <si>
    <t xml:space="preserve">On-request airports: charge only on confirmation, or refund automatically</t>
  </si>
  <si>
    <t xml:space="preserve">AP-01-018</t>
  </si>
  <si>
    <t xml:space="preserve">Check the service is on</t>
  </si>
  <si>
    <t xml:space="preserve">Confirms the service, flight number and name-board spelling, and asks the customer to check</t>
  </si>
  <si>
    <t xml:space="preserve">NEW: GreeterCard, Toast</t>
  </si>
  <si>
    <t xml:space="preserve">Reconfirmation with the partner is a required step</t>
  </si>
  <si>
    <t xml:space="preserve">AP-01-019</t>
  </si>
  <si>
    <t xml:space="preserve">Get the meeting details</t>
  </si>
  <si>
    <t xml:space="preserve">About to land</t>
  </si>
  <si>
    <t xml:space="preserve">Sends greeter name, meeting point and a masked number, timed to show when the phone comes on after landing</t>
  </si>
  <si>
    <t xml:space="preserve">NEW: GreeterCard, NEW: Map</t>
  </si>
  <si>
    <t xml:space="preserve">Partner reconfirms the name on file and pickup spot before landing</t>
  </si>
  <si>
    <t xml:space="preserve">AP-01-020</t>
  </si>
  <si>
    <t xml:space="preserve">Change meet and greet</t>
  </si>
  <si>
    <t xml:space="preserve">Different flight</t>
  </si>
  <si>
    <t xml:space="preserve">I'm on a later flight now</t>
  </si>
  <si>
    <t xml:space="preserve">Moves the service to the new flight if the partner can and shows any fee</t>
  </si>
  <si>
    <t xml:space="preserve">NEW: ServiceCard, ConfirmSheet</t>
  </si>
  <si>
    <t xml:space="preserve">Change rules from the provider's terms</t>
  </si>
  <si>
    <t xml:space="preserve">AP-01-021</t>
  </si>
  <si>
    <t xml:space="preserve">Cancel meet and greet</t>
  </si>
  <si>
    <t xml:space="preserve">Cancel the meet and greet</t>
  </si>
  <si>
    <t xml:space="preserve">Shows the refund under provider terms, or returns the card visit</t>
  </si>
  <si>
    <t xml:space="preserve">Provider terms decide; card visit returned if cancelled in time</t>
  </si>
  <si>
    <t xml:space="preserve">AP-01-022</t>
  </si>
  <si>
    <t xml:space="preserve">Find my greeter</t>
  </si>
  <si>
    <t xml:space="preserve">Where do I meet them?</t>
  </si>
  <si>
    <t xml:space="preserve">Shows the meeting point with a photo and directions, and the greeter's masked number</t>
  </si>
  <si>
    <t xml:space="preserve">Masked number, one per country</t>
  </si>
  <si>
    <t xml:space="preserve">AP-01-023</t>
  </si>
  <si>
    <t xml:space="preserve">Follow the service</t>
  </si>
  <si>
    <t xml:space="preserve">In progress</t>
  </si>
  <si>
    <t xml:space="preserve">Live updates: greeter at the gate with the name board, through immigration, at the car</t>
  </si>
  <si>
    <t xml:space="preserve">Status, NEW: GreeterCard</t>
  </si>
  <si>
    <t xml:space="preserve">Status from the provider; proof of delivery captured</t>
  </si>
  <si>
    <t xml:space="preserve">AP-01-024</t>
  </si>
  <si>
    <t xml:space="preserve">Rate the service</t>
  </si>
  <si>
    <t xml:space="preserve">One-tap rating that feeds the provider's scorecard</t>
  </si>
  <si>
    <t xml:space="preserve">AP-01-025</t>
  </si>
  <si>
    <t xml:space="preserve">Business</t>
  </si>
  <si>
    <t xml:space="preserve">Send me the receipt for the meet and greet</t>
  </si>
  <si>
    <t xml:space="preserve">Sends the receipt and invoice</t>
  </si>
  <si>
    <t xml:space="preserve">Invoice from R360 or the provider as contracted</t>
  </si>
  <si>
    <t xml:space="preserve">AP-02-001</t>
  </si>
  <si>
    <t xml:space="preserve">Get warned about queues</t>
  </si>
  <si>
    <t xml:space="preserve">Busy day</t>
  </si>
  <si>
    <t xml:space="preserve">Moment: long security queues expected for this flight, offers fast track</t>
  </si>
  <si>
    <t xml:space="preserve">Only published or partner queue data; marketing consent checked</t>
  </si>
  <si>
    <t xml:space="preserve">AP-02-002</t>
  </si>
  <si>
    <t xml:space="preserve">Book fast track security</t>
  </si>
  <si>
    <t xml:space="preserve">Fast track through security at Gatwick on Saturday</t>
  </si>
  <si>
    <t xml:space="preserve">Shows fast track with its time-slot rules and price</t>
  </si>
  <si>
    <t xml:space="preserve">NEW: ServiceCard, TimeSlots, PriceLines</t>
  </si>
  <si>
    <t xml:space="preserve">Slot and entry rules from the airport</t>
  </si>
  <si>
    <t xml:space="preserve">AP-02-003</t>
  </si>
  <si>
    <t xml:space="preserve">Book fast track immigration</t>
  </si>
  <si>
    <t xml:space="preserve">Skip the immigration queue when I land in Dubai</t>
  </si>
  <si>
    <t xml:space="preserve">Shows arrival fast track where the airport sells it</t>
  </si>
  <si>
    <t xml:space="preserve">NEW: ServiceCard, PriceLines</t>
  </si>
  <si>
    <t xml:space="preserve">Immigration fast track only where the authority allows it</t>
  </si>
  <si>
    <t xml:space="preserve">Availability differs by airport and country (to confirm per airport)</t>
  </si>
  <si>
    <t xml:space="preserve">AP-02-004</t>
  </si>
  <si>
    <t xml:space="preserve">Book fast track</t>
  </si>
  <si>
    <t xml:space="preserve">Fast track for two adults and two kids</t>
  </si>
  <si>
    <t xml:space="preserve">Prices each person and says whether children need a pass</t>
  </si>
  <si>
    <t xml:space="preserve">Child rules from the airport</t>
  </si>
  <si>
    <t xml:space="preserve">AP-02-005</t>
  </si>
  <si>
    <t xml:space="preserve">Check if it's worth it</t>
  </si>
  <si>
    <t xml:space="preserve">Is fast track worth it at 7am on a Tuesday?</t>
  </si>
  <si>
    <t xml:space="preserve">Gives the airport's published waits if there are any and what fast track saves; no guessing</t>
  </si>
  <si>
    <t xml:space="preserve">AP-02-006</t>
  </si>
  <si>
    <t xml:space="preserve">Fast track included</t>
  </si>
  <si>
    <t xml:space="preserve">Use my card's fast track</t>
  </si>
  <si>
    <t xml:space="preserve">Checks what's left and books it</t>
  </si>
  <si>
    <t xml:space="preserve">Counts from the bank; blocked when used up</t>
  </si>
  <si>
    <t xml:space="preserve">AP-02-007</t>
  </si>
  <si>
    <t xml:space="preserve">Pay for fast track</t>
  </si>
  <si>
    <t xml:space="preserve">Put it on points and the rest on my card</t>
  </si>
  <si>
    <t xml:space="preserve">Splits and confirms</t>
  </si>
  <si>
    <t xml:space="preserve">Re-price before pay</t>
  </si>
  <si>
    <t xml:space="preserve">AP-02-008</t>
  </si>
  <si>
    <t xml:space="preserve">Change or cancel fast track</t>
  </si>
  <si>
    <t xml:space="preserve">Flight moved</t>
  </si>
  <si>
    <t xml:space="preserve">My flight's now at 3pm</t>
  </si>
  <si>
    <t xml:space="preserve">Moves the slot or refunds under the terms</t>
  </si>
  <si>
    <t xml:space="preserve">TimeSlots, Cancellation, ConfirmSheet</t>
  </si>
  <si>
    <t xml:space="preserve">Terms from the provider</t>
  </si>
  <si>
    <t xml:space="preserve">AP-02-009</t>
  </si>
  <si>
    <t xml:space="preserve">Show the pass</t>
  </si>
  <si>
    <t xml:space="preserve">At security</t>
  </si>
  <si>
    <t xml:space="preserve">Show my fast track pass</t>
  </si>
  <si>
    <t xml:space="preserve">Pass with a QR code, works offline</t>
  </si>
  <si>
    <t xml:space="preserve">NEW: TicketWallet</t>
  </si>
  <si>
    <t xml:space="preserve">Pass from the provider; available offline</t>
  </si>
  <si>
    <t xml:space="preserve">AP-02-010</t>
  </si>
  <si>
    <t xml:space="preserve">Pass refused</t>
  </si>
  <si>
    <t xml:space="preserve">Not accepted</t>
  </si>
  <si>
    <t xml:space="preserve">The staff won't accept my fast track pass</t>
  </si>
  <si>
    <t xml:space="preserve">Shows the pass details and the provider's desk number, calls the provider; refunds in full if not delivered</t>
  </si>
  <si>
    <t xml:space="preserve">NEW: TicketWallet, StateCard, Handoff</t>
  </si>
  <si>
    <t xml:space="preserve">Service not delivered = full refund straight away, automatically, or card visit returned; provider's terms rule everything else; Whenever we contact the provider desk, its number is shared with the customer too</t>
  </si>
  <si>
    <t xml:space="preserve">AP-02-011</t>
  </si>
  <si>
    <t xml:space="preserve">Fast track closed</t>
  </si>
  <si>
    <t xml:space="preserve">Lane closed</t>
  </si>
  <si>
    <t xml:space="preserve">The fast track lane is shut</t>
  </si>
  <si>
    <t xml:space="preserve">Refunds automatically and tells them straight away</t>
  </si>
  <si>
    <t xml:space="preserve">StateCard, Receipt</t>
  </si>
  <si>
    <t xml:space="preserve">Service not delivered = full refund straight away, automatically, or card visit returned; provider's terms rule everything else</t>
  </si>
  <si>
    <t xml:space="preserve">AP-02-012</t>
  </si>
  <si>
    <t xml:space="preserve">Missed my slot</t>
  </si>
  <si>
    <t xml:space="preserve">Running late</t>
  </si>
  <si>
    <t xml:space="preserve">Late for slot</t>
  </si>
  <si>
    <t xml:space="preserve">I'm late for my fast track time</t>
  </si>
  <si>
    <t xml:space="preserve">Checks the provider's grace rules and says if the pass still works</t>
  </si>
  <si>
    <t xml:space="preserve">StateCard, NEW: TicketWallet</t>
  </si>
  <si>
    <t xml:space="preserve">Slot tolerance from provider terms</t>
  </si>
  <si>
    <t xml:space="preserve">AP-03-001</t>
  </si>
  <si>
    <t xml:space="preserve">Find a lounge</t>
  </si>
  <si>
    <t xml:space="preserve">Which lounges can I use at Heathrow Terminal 5?</t>
  </si>
  <si>
    <t xml:space="preserve">Lists lounges the card gets into, visits left and walking time from the gate</t>
  </si>
  <si>
    <t xml:space="preserve">BenefitRow, LoungePass, Rail</t>
  </si>
  <si>
    <t xml:space="preserve">Access rules from the bank and the lounge</t>
  </si>
  <si>
    <t xml:space="preserve">AP-03-002</t>
  </si>
  <si>
    <t xml:space="preserve">Book a lounge visit</t>
  </si>
  <si>
    <t xml:space="preserve">Card visit</t>
  </si>
  <si>
    <t xml:space="preserve">Book me into a lounge for Friday</t>
  </si>
  <si>
    <t xml:space="preserve">Books it and issues the pass</t>
  </si>
  <si>
    <t xml:space="preserve">LoungePass, ConfirmSheet, CheckPop</t>
  </si>
  <si>
    <t xml:space="preserve">Visit counted only when used, per bank rules</t>
  </si>
  <si>
    <t xml:space="preserve">AP-03-003</t>
  </si>
  <si>
    <t xml:space="preserve">Bring a guest</t>
  </si>
  <si>
    <t xml:space="preserve">Guest</t>
  </si>
  <si>
    <t xml:space="preserve">Can my wife come in with me?</t>
  </si>
  <si>
    <t xml:space="preserve">Says the guest rules on this card and any guest fee</t>
  </si>
  <si>
    <t xml:space="preserve">BenefitRow, PriceLines</t>
  </si>
  <si>
    <t xml:space="preserve">Guest allowance and fees from the bank and the lounge</t>
  </si>
  <si>
    <t xml:space="preserve">AP-03-004</t>
  </si>
  <si>
    <t xml:space="preserve">Buy a lounge pass</t>
  </si>
  <si>
    <t xml:space="preserve">No card access</t>
  </si>
  <si>
    <t xml:space="preserve">I don't have lounge access, can I buy a pass?</t>
  </si>
  <si>
    <t xml:space="preserve">Shows paid passes with price and what's included</t>
  </si>
  <si>
    <t xml:space="preserve">LoungePass, PriceLines, PayWith</t>
  </si>
  <si>
    <t xml:space="preserve">Price from the lounge operator</t>
  </si>
  <si>
    <t xml:space="preserve">AP-03-005</t>
  </si>
  <si>
    <t xml:space="preserve">Is there somewhere to shower when I land?</t>
  </si>
  <si>
    <t xml:space="preserve">Shows arrival lounges and shower facilities</t>
  </si>
  <si>
    <t xml:space="preserve">LoungePass, Answer</t>
  </si>
  <si>
    <t xml:space="preserve">From lounge data</t>
  </si>
  <si>
    <t xml:space="preserve">AP-03-006</t>
  </si>
  <si>
    <t xml:space="preserve">Domestic flight</t>
  </si>
  <si>
    <t xml:space="preserve">A lounge for my domestic flight from Bengaluru</t>
  </si>
  <si>
    <t xml:space="preserve">Only lounges in the right part of the airport</t>
  </si>
  <si>
    <t xml:space="preserve">Terminal and zone from lounge data</t>
  </si>
  <si>
    <t xml:space="preserve">IN: domestic and international lounges are separate; many cards tie lounge visits to spend in the previous quarter (rule from the bank)</t>
  </si>
  <si>
    <t xml:space="preserve">AP-03-007</t>
  </si>
  <si>
    <t xml:space="preserve">Compare lounges</t>
  </si>
  <si>
    <t xml:space="preserve">Several options</t>
  </si>
  <si>
    <t xml:space="preserve">Which lounge is best near gate B?</t>
  </si>
  <si>
    <t xml:space="preserve">Compares walking time, food, showers, quiet areas and crowding where published</t>
  </si>
  <si>
    <t xml:space="preserve">Compare, LoungePass</t>
  </si>
  <si>
    <t xml:space="preserve">Only published facts</t>
  </si>
  <si>
    <t xml:space="preserve">AP-03-008</t>
  </si>
  <si>
    <t xml:space="preserve">Use a card visit</t>
  </si>
  <si>
    <t xml:space="preserve">Spend rule on the card</t>
  </si>
  <si>
    <t xml:space="preserve">Spend condition not met</t>
  </si>
  <si>
    <t xml:space="preserve">Why can't I use the lounge this time?</t>
  </si>
  <si>
    <t xml:space="preserve">Explains the card's spend rule, how much more and by when, and offers a paid pass</t>
  </si>
  <si>
    <t xml:space="preserve">Eligibility from the bank only</t>
  </si>
  <si>
    <t xml:space="preserve">IN: spend-based lounge access is common (to confirm per card)</t>
  </si>
  <si>
    <t xml:space="preserve">AP-03-009</t>
  </si>
  <si>
    <t xml:space="preserve">Book me a lounge</t>
  </si>
  <si>
    <t xml:space="preserve">Says the free visits are used, shows the renewal date and offers a paid pass</t>
  </si>
  <si>
    <t xml:space="preserve">Entitlement blocked once used up until renewal</t>
  </si>
  <si>
    <t xml:space="preserve">AP-03-010</t>
  </si>
  <si>
    <t xml:space="preserve">Pay for a lounge pass</t>
  </si>
  <si>
    <t xml:space="preserve">Pay for the lounge with points</t>
  </si>
  <si>
    <t xml:space="preserve">Shows the price in points and confirms</t>
  </si>
  <si>
    <t xml:space="preserve">AP-03-011</t>
  </si>
  <si>
    <t xml:space="preserve">Get a lounge suggestion</t>
  </si>
  <si>
    <t xml:space="preserve">Suggests a lounge near the gate with visits left</t>
  </si>
  <si>
    <t xml:space="preserve">Moment, LoungePass</t>
  </si>
  <si>
    <t xml:space="preserve">Only lounges the customer can use</t>
  </si>
  <si>
    <t xml:space="preserve">AP-03-012</t>
  </si>
  <si>
    <t xml:space="preserve">Cancel a lounge booking</t>
  </si>
  <si>
    <t xml:space="preserve">Cancel the lounge booking</t>
  </si>
  <si>
    <t xml:space="preserve">Cancels and returns the visit or refunds under the terms</t>
  </si>
  <si>
    <t xml:space="preserve">Terms from the lounge operator</t>
  </si>
  <si>
    <t xml:space="preserve">AP-03-013</t>
  </si>
  <si>
    <t xml:space="preserve">Find another lounge</t>
  </si>
  <si>
    <t xml:space="preserve">Lounge closed</t>
  </si>
  <si>
    <t xml:space="preserve">Warns before travel that the lounge is closed and offers another</t>
  </si>
  <si>
    <t xml:space="preserve">Opening status from the lounge operator</t>
  </si>
  <si>
    <t xml:space="preserve">AP-03-014</t>
  </si>
  <si>
    <t xml:space="preserve">Get into the lounge</t>
  </si>
  <si>
    <t xml:space="preserve">At the door</t>
  </si>
  <si>
    <t xml:space="preserve">Show my lounge pass</t>
  </si>
  <si>
    <t xml:space="preserve">AP-03-015</t>
  </si>
  <si>
    <t xml:space="preserve">Know the lounge rules</t>
  </si>
  <si>
    <t xml:space="preserve">Kids, dress, time limit</t>
  </si>
  <si>
    <t xml:space="preserve">Can I bring my kids? How long can I stay?</t>
  </si>
  <si>
    <t xml:space="preserve">Answers from the lounge's own rules</t>
  </si>
  <si>
    <t xml:space="preserve">From lounge data; says when it doesn't know</t>
  </si>
  <si>
    <t xml:space="preserve">AP-03-016</t>
  </si>
  <si>
    <t xml:space="preserve">Get in when refused</t>
  </si>
  <si>
    <t xml:space="preserve">Refused entry</t>
  </si>
  <si>
    <t xml:space="preserve">They won't let me in with my card</t>
  </si>
  <si>
    <t xml:space="preserve">Shows the entitlement, calls the lounge and shares its number, offers a paid pass; refunds a paid pass that wasn't honoured</t>
  </si>
  <si>
    <t xml:space="preserve">LoungePass, StateCard, Handoff</t>
  </si>
  <si>
    <t xml:space="preserve">Whenever we contact the provider desk, its number is shared with the customer too; paid pass not honoured = automatic refund</t>
  </si>
  <si>
    <t xml:space="preserve">AP-03-017</t>
  </si>
  <si>
    <t xml:space="preserve">Lounge full</t>
  </si>
  <si>
    <t xml:space="preserve">The lounge is at capacity</t>
  </si>
  <si>
    <t xml:space="preserve">Says so and offers the nearest other lounge; the visit isn't used if refused</t>
  </si>
  <si>
    <t xml:space="preserve">Visit counted only when used</t>
  </si>
  <si>
    <t xml:space="preserve">AP-03-018</t>
  </si>
  <si>
    <t xml:space="preserve">Stay longer</t>
  </si>
  <si>
    <t xml:space="preserve">Time limit reached</t>
  </si>
  <si>
    <t xml:space="preserve">My flight's delayed four hours and my lounge time is up</t>
  </si>
  <si>
    <t xml:space="preserve">Checks if the lounge extends for delays and offers another visit or paid extension</t>
  </si>
  <si>
    <t xml:space="preserve">StateCard, LoungePass</t>
  </si>
  <si>
    <t xml:space="preserve">Extension rules from the lounge</t>
  </si>
  <si>
    <t xml:space="preserve">AP-03-019</t>
  </si>
  <si>
    <t xml:space="preserve">Query a lounge charge</t>
  </si>
  <si>
    <t xml:space="preserve">After the visit</t>
  </si>
  <si>
    <t xml:space="preserve">Charged unexpectedly</t>
  </si>
  <si>
    <t xml:space="preserve">I was charged for my guest</t>
  </si>
  <si>
    <t xml:space="preserve">Shows the guest rules and the charge, and raises a dispute if it's wrong</t>
  </si>
  <si>
    <t xml:space="preserve">TransactionRow, BenefitRow, Handoff</t>
  </si>
  <si>
    <t xml:space="preserve">Charges from the lounge operator; disputes run by the bank</t>
  </si>
  <si>
    <t xml:space="preserve">AP-03-020</t>
  </si>
  <si>
    <t xml:space="preserve">Fix my visit count</t>
  </si>
  <si>
    <t xml:space="preserve">Visits counted wrongly</t>
  </si>
  <si>
    <t xml:space="preserve">It says I used three visits, I only used two</t>
  </si>
  <si>
    <t xml:space="preserve">Shows the visit log and raises it with the bank</t>
  </si>
  <si>
    <t xml:space="preserve">Visit log from the bank and the lounge</t>
  </si>
  <si>
    <t xml:space="preserve">AP-03-021</t>
  </si>
  <si>
    <t xml:space="preserve">Check lounge visits left</t>
  </si>
  <si>
    <t xml:space="preserve">How many lounge visits do I have left?</t>
  </si>
  <si>
    <t xml:space="preserve">Shows visits used and left, and the renewal date</t>
  </si>
  <si>
    <t xml:space="preserve">AP-04-001</t>
  </si>
  <si>
    <t xml:space="preserve">Get offered a transfer</t>
  </si>
  <si>
    <t xml:space="preserve">Tight connection spotted</t>
  </si>
  <si>
    <t xml:space="preserve">Spots a tight terminal change on the trip and offers an escorted transfer</t>
  </si>
  <si>
    <t xml:space="preserve">Moment, Itinerary, NEW: ServiceCard</t>
  </si>
  <si>
    <t xml:space="preserve">Connection time from the airport's minimums</t>
  </si>
  <si>
    <t xml:space="preserve">AP-04-002</t>
  </si>
  <si>
    <t xml:space="preserve">Book a porter</t>
  </si>
  <si>
    <t xml:space="preserve">Lots of bags</t>
  </si>
  <si>
    <t xml:space="preserve">I've got four suitcases arriving at Mumbai</t>
  </si>
  <si>
    <t xml:space="preserve">Books a porter to meet at the belt, priced per bag or per trip as sold</t>
  </si>
  <si>
    <t xml:space="preserve">Pricing unit from the provider</t>
  </si>
  <si>
    <t xml:space="preserve">AP-04-003</t>
  </si>
  <si>
    <t xml:space="preserve">Book a buggy</t>
  </si>
  <si>
    <t xml:space="preserve">Long walk</t>
  </si>
  <si>
    <t xml:space="preserve">My mother can't walk far to the gate</t>
  </si>
  <si>
    <t xml:space="preserve">Books a buggy where sold and mentions the free airport help booked through the airline</t>
  </si>
  <si>
    <t xml:space="preserve">NEW: ServiceCard, Answer</t>
  </si>
  <si>
    <t xml:space="preserve">Free assistance requests go through the airline</t>
  </si>
  <si>
    <t xml:space="preserve">AP-04-004</t>
  </si>
  <si>
    <t xml:space="preserve">Change terminals</t>
  </si>
  <si>
    <t xml:space="preserve">I land at T3 and leave from T1 two hours later</t>
  </si>
  <si>
    <t xml:space="preserve">Books an escorted terminal transfer and shows how long it takes</t>
  </si>
  <si>
    <t xml:space="preserve">NEW: ServiceCard, Itinerary, NEW: Map</t>
  </si>
  <si>
    <t xml:space="preserve">Minimum connection times from the airport</t>
  </si>
  <si>
    <t xml:space="preserve">AP-04-005</t>
  </si>
  <si>
    <t xml:space="preserve">Get help in transit</t>
  </si>
  <si>
    <t xml:space="preserve">Can someone help me with my connection in Dubai?</t>
  </si>
  <si>
    <t xml:space="preserve">Books transit help from the arrival gate to the next gate, including the transfer desk</t>
  </si>
  <si>
    <t xml:space="preserve">NEW: ServiceCard, Itinerary</t>
  </si>
  <si>
    <t xml:space="preserve">Transit services only where airside help is sold</t>
  </si>
  <si>
    <t xml:space="preserve">AP-04-006</t>
  </si>
  <si>
    <t xml:space="preserve">Transfer between airports</t>
  </si>
  <si>
    <t xml:space="preserve">Different airports</t>
  </si>
  <si>
    <t xml:space="preserve">I land at Heathrow and fly out of Gatwick</t>
  </si>
  <si>
    <t xml:space="preserve">Offers a car between airports timed to both flights with a buffer, and warns if it's too tight</t>
  </si>
  <si>
    <t xml:space="preserve">Transfer time from traffic data</t>
  </si>
  <si>
    <t xml:space="preserve">AP-04-007</t>
  </si>
  <si>
    <t xml:space="preserve">Pay for a porter</t>
  </si>
  <si>
    <t xml:space="preserve">Card</t>
  </si>
  <si>
    <t xml:space="preserve">Put the porter on my card</t>
  </si>
  <si>
    <t xml:space="preserve">Confirms the price and takes payment</t>
  </si>
  <si>
    <t xml:space="preserve">Priced per use, per service</t>
  </si>
  <si>
    <t xml:space="preserve">AP-04-008</t>
  </si>
  <si>
    <t xml:space="preserve">Add a porter</t>
  </si>
  <si>
    <t xml:space="preserve">Meet and greet booked</t>
  </si>
  <si>
    <t xml:space="preserve">Add a porter to my meet and greet</t>
  </si>
  <si>
    <t xml:space="preserve">Adds the porter to the booked service and shows the new total</t>
  </si>
  <si>
    <t xml:space="preserve">NEW: ServiceCard, PriceLines, ConfirmSheet</t>
  </si>
  <si>
    <t xml:space="preserve">Price from the provider</t>
  </si>
  <si>
    <t xml:space="preserve">AP-04-009</t>
  </si>
  <si>
    <t xml:space="preserve">Cancel a porter or buggy</t>
  </si>
  <si>
    <t xml:space="preserve">I don't need the buggy now</t>
  </si>
  <si>
    <t xml:space="preserve">Cancels and refunds under the terms</t>
  </si>
  <si>
    <t xml:space="preserve">AP-04-010</t>
  </si>
  <si>
    <t xml:space="preserve">Find the porter</t>
  </si>
  <si>
    <t xml:space="preserve">Where's the porter?</t>
  </si>
  <si>
    <t xml:space="preserve">Shows the meeting point and the porter's masked number</t>
  </si>
  <si>
    <t xml:space="preserve">Masked number</t>
  </si>
  <si>
    <t xml:space="preserve">AP-04-011</t>
  </si>
  <si>
    <t xml:space="preserve">Porter didn't come</t>
  </si>
  <si>
    <t xml:space="preserve">At the belt</t>
  </si>
  <si>
    <t xml:space="preserve">No one's here to help with the bags</t>
  </si>
  <si>
    <t xml:space="preserve">Calls the provider, shares the number and refunds automatically if not delivered</t>
  </si>
  <si>
    <t xml:space="preserve">StateCard, Handoff, Receipt</t>
  </si>
  <si>
    <t xml:space="preserve">AP-04-012</t>
  </si>
  <si>
    <t xml:space="preserve">More bags than booked</t>
  </si>
  <si>
    <t xml:space="preserve">Extra bags</t>
  </si>
  <si>
    <t xml:space="preserve">We've actually got seven bags</t>
  </si>
  <si>
    <t xml:space="preserve">Asks the provider for another porter and shows the extra cost for a yes</t>
  </si>
  <si>
    <t xml:space="preserve">PriceLines, ConfirmSheet</t>
  </si>
  <si>
    <t xml:space="preserve">Extra charges need a new yes</t>
  </si>
  <si>
    <t xml:space="preserve">AP-04-013</t>
  </si>
  <si>
    <t xml:space="preserve">Transfer at risk</t>
  </si>
  <si>
    <t xml:space="preserve">First flight late</t>
  </si>
  <si>
    <t xml:space="preserve">Tight connection</t>
  </si>
  <si>
    <t xml:space="preserve">My first flight is late, I'll miss the transfer</t>
  </si>
  <si>
    <t xml:space="preserve">Tells the transit team, moves the service and hands to the airline for rebooking</t>
  </si>
  <si>
    <t xml:space="preserve">Rebooking is the airline's decision</t>
  </si>
  <si>
    <t xml:space="preserve">AP-05-001</t>
  </si>
  <si>
    <t xml:space="preserve">Pass the time at the airport</t>
  </si>
  <si>
    <t xml:space="preserve">Flight is delayed three hours; suggests spa, lounge or sleep pods at that terminal with times and card cover</t>
  </si>
  <si>
    <t xml:space="preserve">Moment, Rail, NEW: ServiceCard</t>
  </si>
  <si>
    <t xml:space="preserve">Only services open in that window</t>
  </si>
  <si>
    <t xml:space="preserve">AP-05-002</t>
  </si>
  <si>
    <t xml:space="preserve">Book a sleep pod</t>
  </si>
  <si>
    <t xml:space="preserve">Somewhere to sleep for five hours at Singapore airport</t>
  </si>
  <si>
    <t xml:space="preserve">Shows airside pods and transit rooms with price per block of hours</t>
  </si>
  <si>
    <t xml:space="preserve">Hours sold in blocks by the provider</t>
  </si>
  <si>
    <t xml:space="preserve">AP-05-003</t>
  </si>
  <si>
    <t xml:space="preserve">Book a spa treatment</t>
  </si>
  <si>
    <t xml:space="preserve">Before a flight</t>
  </si>
  <si>
    <t xml:space="preserve">A massage before my flight, I've got two hours</t>
  </si>
  <si>
    <t xml:space="preserve">Shows treatments that finish in time, with walking time to the gate</t>
  </si>
  <si>
    <t xml:space="preserve">ExperienceCard, TimeSlots</t>
  </si>
  <si>
    <t xml:space="preserve">Must finish a set time before boarding</t>
  </si>
  <si>
    <t xml:space="preserve">AP-05-004</t>
  </si>
  <si>
    <t xml:space="preserve">Book a shower</t>
  </si>
  <si>
    <t xml:space="preserve">Arrival or transit</t>
  </si>
  <si>
    <t xml:space="preserve">Somewhere to shower between flights</t>
  </si>
  <si>
    <t xml:space="preserve">Shows shower rooms with price and time</t>
  </si>
  <si>
    <t xml:space="preserve">NEW: ServiceCard, TimeSlots</t>
  </si>
  <si>
    <t xml:space="preserve">From the provider</t>
  </si>
  <si>
    <t xml:space="preserve">AP-05-005</t>
  </si>
  <si>
    <t xml:space="preserve">Wrap my bags</t>
  </si>
  <si>
    <t xml:space="preserve">Bag protection</t>
  </si>
  <si>
    <t xml:space="preserve">Can I get my suitcase wrapped?</t>
  </si>
  <si>
    <t xml:space="preserve">Shows where the wrapping desk is and the price per bag, and prebooks if sold</t>
  </si>
  <si>
    <t xml:space="preserve">NEW: ServiceCard, NEW: Map</t>
  </si>
  <si>
    <t xml:space="preserve">AP-05-006</t>
  </si>
  <si>
    <t xml:space="preserve">Store my bags</t>
  </si>
  <si>
    <t xml:space="preserve">Left luggage</t>
  </si>
  <si>
    <t xml:space="preserve">Can I leave my bags at the airport for the day?</t>
  </si>
  <si>
    <t xml:space="preserve">Books storage with opening hours and price per bag per day</t>
  </si>
  <si>
    <t xml:space="preserve">Item and size rules from the provider</t>
  </si>
  <si>
    <t xml:space="preserve">AP-05-007</t>
  </si>
  <si>
    <t xml:space="preserve">Book airport valet parking</t>
  </si>
  <si>
    <t xml:space="preserve">Driving to the airport</t>
  </si>
  <si>
    <t xml:space="preserve">Can someone park my car at the terminal?</t>
  </si>
  <si>
    <t xml:space="preserve">Offers valet where it's in the catalogue; otherwise says it isn't available</t>
  </si>
  <si>
    <t xml:space="preserve">Only if in the catalogue for that airport (to confirm)</t>
  </si>
  <si>
    <t xml:space="preserve">AP-05-008</t>
  </si>
  <si>
    <t xml:space="preserve">Book a VIP terminal</t>
  </si>
  <si>
    <t xml:space="preserve">Can I use a private terminal at Heathrow?</t>
  </si>
  <si>
    <t xml:space="preserve">Says it isn't bookable here and passes the request to a concierge</t>
  </si>
  <si>
    <t xml:space="preserve">Private terminal package not sold; on request through a concierge only</t>
  </si>
  <si>
    <t xml:space="preserve">AP-05-009</t>
  </si>
  <si>
    <t xml:space="preserve">Book a full arrival bundle</t>
  </si>
  <si>
    <t xml:space="preserve">Everything done for me</t>
  </si>
  <si>
    <t xml:space="preserve">Do everything when I land: fast track, porter and a car</t>
  </si>
  <si>
    <t xml:space="preserve">Builds a bundle from that airport's services with one total</t>
  </si>
  <si>
    <t xml:space="preserve">NEW: PackageBuilder, NEW: ServiceCard, PriceLines</t>
  </si>
  <si>
    <t xml:space="preserve">Provider's bundle price where offered; otherwise the sum of per-use prices</t>
  </si>
  <si>
    <t xml:space="preserve">AP-05-010</t>
  </si>
  <si>
    <t xml:space="preserve">Book an airport service</t>
  </si>
  <si>
    <t xml:space="preserve">A sleep pod at Porto</t>
  </si>
  <si>
    <t xml:space="preserve">Says it isn't offered there and shows what is</t>
  </si>
  <si>
    <t xml:space="preserve">AP-05-011</t>
  </si>
  <si>
    <t xml:space="preserve">Pay for a service</t>
  </si>
  <si>
    <t xml:space="preserve">Pay for the spa with points</t>
  </si>
  <si>
    <t xml:space="preserve">AP-05-012</t>
  </si>
  <si>
    <t xml:space="preserve">AP-05-013</t>
  </si>
  <si>
    <t xml:space="preserve">Cancel a service</t>
  </si>
  <si>
    <t xml:space="preserve">Cancel the spa booking</t>
  </si>
  <si>
    <t xml:space="preserve">AP-05-014</t>
  </si>
  <si>
    <t xml:space="preserve">Service closed</t>
  </si>
  <si>
    <t xml:space="preserve">On arrival at the desk</t>
  </si>
  <si>
    <t xml:space="preserve">Closed</t>
  </si>
  <si>
    <t xml:space="preserve">The spa was closed when I got there</t>
  </si>
  <si>
    <t xml:space="preserve">Refunds in full straight away and shows what's open now</t>
  </si>
  <si>
    <t xml:space="preserve">StateCard, Receipt, Rail</t>
  </si>
  <si>
    <t xml:space="preserve">AP-05-015</t>
  </si>
  <si>
    <t xml:space="preserve">Running out of time</t>
  </si>
  <si>
    <t xml:space="preserve">Treatment ran late</t>
  </si>
  <si>
    <t xml:space="preserve">Boarding soon</t>
  </si>
  <si>
    <t xml:space="preserve">The treatment ran over, will I miss boarding?</t>
  </si>
  <si>
    <t xml:space="preserve">Shows time left and the fastest route, and tells them to leave now</t>
  </si>
  <si>
    <t xml:space="preserve">FlightTracker, NEW: Map</t>
  </si>
  <si>
    <t xml:space="preserve">Boarding time from the airline feed</t>
  </si>
  <si>
    <t xml:space="preserve">AP-05-016</t>
  </si>
  <si>
    <t xml:space="preserve">Bag damaged in storage</t>
  </si>
  <si>
    <t xml:space="preserve">Collecting bags</t>
  </si>
  <si>
    <t xml:space="preserve">Damaged</t>
  </si>
  <si>
    <t xml:space="preserve">My bag came back damaged</t>
  </si>
  <si>
    <t xml:space="preserve">Records photos, gives the provider's claim route and hands to a person</t>
  </si>
  <si>
    <t xml:space="preserve">Liability from provider terms</t>
  </si>
  <si>
    <t xml:space="preserve">AP-06-001</t>
  </si>
  <si>
    <t xml:space="preserve">Pay for an extra traveller</t>
  </si>
  <si>
    <t xml:space="preserve">At the service</t>
  </si>
  <si>
    <t xml:space="preserve">My brother is with me too</t>
  </si>
  <si>
    <t xml:space="preserve">Asks the provider to add him and shows the extra cost for a yes</t>
  </si>
  <si>
    <t xml:space="preserve">Travellers, PriceLines, ConfirmSheet</t>
  </si>
  <si>
    <t xml:space="preserve">AP-06-002</t>
  </si>
  <si>
    <t xml:space="preserve">Service booked</t>
  </si>
  <si>
    <t xml:space="preserve">Delayed arrival</t>
  </si>
  <si>
    <t xml:space="preserve">Moves the greeter to the new landing time automatically and tells the customer</t>
  </si>
  <si>
    <t xml:space="preserve">FlightTracker, NEW: GreeterCard, Toast</t>
  </si>
  <si>
    <t xml:space="preserve">Two flight feeds, the later time wins; partner reconfirmed on the new time</t>
  </si>
  <si>
    <t xml:space="preserve">AP-06-003</t>
  </si>
  <si>
    <t xml:space="preserve">Flight early</t>
  </si>
  <si>
    <t xml:space="preserve">Early arrival</t>
  </si>
  <si>
    <t xml:space="preserve">Alerts the partner and tells the customer where to wait if the greeter is a few minutes behind</t>
  </si>
  <si>
    <t xml:space="preserve">FlightTracker, NEW: GreeterCard</t>
  </si>
  <si>
    <t xml:space="preserve">Partner alerted on any time change</t>
  </si>
  <si>
    <t xml:space="preserve">AP-06-004</t>
  </si>
  <si>
    <t xml:space="preserve">Flight changed</t>
  </si>
  <si>
    <t xml:space="preserve">New flight</t>
  </si>
  <si>
    <t xml:space="preserve">I've been moved to another flight</t>
  </si>
  <si>
    <t xml:space="preserve">Moves the service to the new flight; if it can't be served, refunds in full</t>
  </si>
  <si>
    <t xml:space="preserve">NEW: ServiceCard, StateCard, Receipt</t>
  </si>
  <si>
    <t xml:space="preserve">AP-06-005</t>
  </si>
  <si>
    <t xml:space="preserve">Moves the service to the rebooked flight or cancels it and returns the visit or money</t>
  </si>
  <si>
    <t xml:space="preserve">StateCard, NEW: ServiceCard, Receipt</t>
  </si>
  <si>
    <t xml:space="preserve">AP-06-006</t>
  </si>
  <si>
    <t xml:space="preserve">Flight diverted</t>
  </si>
  <si>
    <t xml:space="preserve">Cancels the service with a refund and offers what's available at the new airport</t>
  </si>
  <si>
    <t xml:space="preserve">AP-06-007</t>
  </si>
  <si>
    <t xml:space="preserve">Terminal changed</t>
  </si>
  <si>
    <t xml:space="preserve">Terminal changed by airline</t>
  </si>
  <si>
    <t xml:space="preserve">Sends the service to the new terminal and tells the customer</t>
  </si>
  <si>
    <t xml:space="preserve">Terminal from the flight feed; partner reconfirmed</t>
  </si>
  <si>
    <t xml:space="preserve">AP-06-008</t>
  </si>
  <si>
    <t xml:space="preserve">Greeter not there</t>
  </si>
  <si>
    <t xml:space="preserve">No-show agent</t>
  </si>
  <si>
    <t xml:space="preserve">No one's here to meet me</t>
  </si>
  <si>
    <t xml:space="preserve">Calls the partner and any backup, shares the partner's number, gives a wait time; refunds in full straight away if not delivered</t>
  </si>
  <si>
    <t xml:space="preserve">NEW: GreeterCard, StateCard, Handoff</t>
  </si>
  <si>
    <t xml:space="preserve">Service not delivered = full refund straight away, automatically, or card visit returned; provider's terms rule everything else; backup handler called where one exists; Whenever we contact the provider desk, its number is shared with the customer too</t>
  </si>
  <si>
    <t xml:space="preserve">AP-06-009</t>
  </si>
  <si>
    <t xml:space="preserve">Can't find the greeter</t>
  </si>
  <si>
    <t xml:space="preserve">Missed each other</t>
  </si>
  <si>
    <t xml:space="preserve">I'm at arrivals but I can't see my name</t>
  </si>
  <si>
    <t xml:space="preserve">Shows the meeting point photo and connects them by masked number</t>
  </si>
  <si>
    <t xml:space="preserve">AP-06-010</t>
  </si>
  <si>
    <t xml:space="preserve">Greeter at the wrong terminal</t>
  </si>
  <si>
    <t xml:space="preserve">Wrong terminal</t>
  </si>
  <si>
    <t xml:space="preserve">The greeter's at Terminal 2 and I'm at 3</t>
  </si>
  <si>
    <t xml:space="preserve">Redirects the greeter, tells the customer the wait, refunds if the service can't happen</t>
  </si>
  <si>
    <t xml:space="preserve">NEW: GreeterCard, StateCard, Receipt</t>
  </si>
  <si>
    <t xml:space="preserve">AP-06-011</t>
  </si>
  <si>
    <t xml:space="preserve">I'm at the wrong terminal</t>
  </si>
  <si>
    <t xml:space="preserve">Departing</t>
  </si>
  <si>
    <t xml:space="preserve">I'm at the wrong terminal for my flight</t>
  </si>
  <si>
    <t xml:space="preserve">Shows the route and time to the right one, offers a buggy or car and warns about check-in cut-off</t>
  </si>
  <si>
    <t xml:space="preserve">NEW: Map, RideOption, StateCard</t>
  </si>
  <si>
    <t xml:space="preserve">Cut-off from the airline</t>
  </si>
  <si>
    <t xml:space="preserve">AP-06-012</t>
  </si>
  <si>
    <t xml:space="preserve">Customer running late</t>
  </si>
  <si>
    <t xml:space="preserve">Greeter waiting</t>
  </si>
  <si>
    <t xml:space="preserve">Customer no-show</t>
  </si>
  <si>
    <t xml:space="preserve">Tells the customer how long the greeter will wait and what happens after</t>
  </si>
  <si>
    <t xml:space="preserve">StateCard, NEW: GreeterCard</t>
  </si>
  <si>
    <t xml:space="preserve">Wait time and no-show charge from provider terms</t>
  </si>
  <si>
    <t xml:space="preserve">AP-06-013</t>
  </si>
  <si>
    <t xml:space="preserve">Customer can't be reached</t>
  </si>
  <si>
    <t xml:space="preserve">Phone off</t>
  </si>
  <si>
    <t xml:space="preserve">Tries the next channel in order, one at a time, until the customer is reached</t>
  </si>
  <si>
    <t xml:space="preserve">Status, Toast</t>
  </si>
  <si>
    <t xml:space="preserve">One channel per message, escalating in a fixed order</t>
  </si>
  <si>
    <t xml:space="preserve">AP-06-014</t>
  </si>
  <si>
    <t xml:space="preserve">Name wrong on booking</t>
  </si>
  <si>
    <t xml:space="preserve">Name mismatch</t>
  </si>
  <si>
    <t xml:space="preserve">The name board has my name spelt wrong</t>
  </si>
  <si>
    <t xml:space="preserve">Corrects the name with the partner and reissues any pass that needs the passport name</t>
  </si>
  <si>
    <t xml:space="preserve">NEW: GreeterCard, NEW: TicketWallet, Toast</t>
  </si>
  <si>
    <t xml:space="preserve">Pass names must match the passport</t>
  </si>
  <si>
    <t xml:space="preserve">AP-06-015</t>
  </si>
  <si>
    <t xml:space="preserve">Service denied by the airport</t>
  </si>
  <si>
    <t xml:space="preserve">Airport refused</t>
  </si>
  <si>
    <t xml:space="preserve">Security wouldn't let the greeter take me through</t>
  </si>
  <si>
    <t xml:space="preserve">Explains the airport's rule and refunds the part not delivered</t>
  </si>
  <si>
    <t xml:space="preserve">AP-06-016</t>
  </si>
  <si>
    <t xml:space="preserve">Partner cancelled</t>
  </si>
  <si>
    <t xml:space="preserve">Tries a backup partner; if none, tells the customer early and refunds in full</t>
  </si>
  <si>
    <t xml:space="preserve">AP-06-017</t>
  </si>
  <si>
    <t xml:space="preserve">Wrong service delivered</t>
  </si>
  <si>
    <t xml:space="preserve">Not what was booked</t>
  </si>
  <si>
    <t xml:space="preserve">They only helped with bags, there was no fast track</t>
  </si>
  <si>
    <t xml:space="preserve">Checks the proof of delivery and refunds the part not delivered</t>
  </si>
  <si>
    <t xml:space="preserve">StateCard, Receipt, Handoff</t>
  </si>
  <si>
    <t xml:space="preserve">Proof of delivery from the partner and the customer's account both heard</t>
  </si>
  <si>
    <t xml:space="preserve">AP-06-018</t>
  </si>
  <si>
    <t xml:space="preserve">Charged for a service I didn't get</t>
  </si>
  <si>
    <t xml:space="preserve">After travel</t>
  </si>
  <si>
    <t xml:space="preserve">Provider says delivered</t>
  </si>
  <si>
    <t xml:space="preserve">I never got the service but I was charged</t>
  </si>
  <si>
    <t xml:space="preserve">Shows the proof-of-delivery record, refunds if it's missing and hands to a person otherwise</t>
  </si>
  <si>
    <t xml:space="preserve">TransactionRow, StateCard, Handoff</t>
  </si>
  <si>
    <t xml:space="preserve">Proof of delivery decides; disputes then run by the bank</t>
  </si>
  <si>
    <t xml:space="preserve">AP-06-019</t>
  </si>
  <si>
    <t xml:space="preserve">Missed connection in transit</t>
  </si>
  <si>
    <t xml:space="preserve">Transit help booked</t>
  </si>
  <si>
    <t xml:space="preserve">We've missed our connection</t>
  </si>
  <si>
    <t xml:space="preserve">Alerts the airline's transfer desk and keeps the transit greeter with the customer until rebooked where offered</t>
  </si>
  <si>
    <t xml:space="preserve">AP-06-020</t>
  </si>
  <si>
    <t xml:space="preserve">Medical emergency</t>
  </si>
  <si>
    <t xml:space="preserve">Unwell</t>
  </si>
  <si>
    <t xml:space="preserve">My father has collapsed at the gate</t>
  </si>
  <si>
    <t xml:space="preserve">Gives the emergency number and airport medical help first, alerts the greeter and hands to a person</t>
  </si>
  <si>
    <t xml:space="preserve">AP-06-021</t>
  </si>
  <si>
    <t xml:space="preserve">Left something behind</t>
  </si>
  <si>
    <t xml:space="preserve">After the service</t>
  </si>
  <si>
    <t xml:space="preserve">Lost item</t>
  </si>
  <si>
    <t xml:space="preserve">I left my bag in the buggy</t>
  </si>
  <si>
    <t xml:space="preserve">Contacts the provider's lost property and shares their number</t>
  </si>
  <si>
    <t xml:space="preserve">Whenever we contact the provider desk, its number is shared with the customer too</t>
  </si>
  <si>
    <t xml:space="preserve">AP-06-022</t>
  </si>
  <si>
    <t xml:space="preserve">Refund for a failed service</t>
  </si>
  <si>
    <t xml:space="preserve">Did I get my refund for the no-show?</t>
  </si>
  <si>
    <t xml:space="preserve">Shows the refund issued at the time and when it lands</t>
  </si>
  <si>
    <t xml:space="preserve">TransactionRow, Receipt</t>
  </si>
  <si>
    <t xml:space="preserve">AP-06-023</t>
  </si>
  <si>
    <t xml:space="preserve">Complain about a service</t>
  </si>
  <si>
    <t xml:space="preserve">The meet and greet was a shambles</t>
  </si>
  <si>
    <t xml:space="preserve">Listens, logs a complaint with the service record and hands to a person</t>
  </si>
  <si>
    <t xml:space="preserve">GT-01-001</t>
  </si>
  <si>
    <t xml:space="preserve">Book a ride now</t>
  </si>
  <si>
    <t xml:space="preserve">In town</t>
  </si>
  <si>
    <t xml:space="preserve">Get me a car to Covent Garden</t>
  </si>
  <si>
    <t xml:space="preserve">Shows Uber options with price and pickup time and books the one chosen</t>
  </si>
  <si>
    <t xml:space="preserve">RideOption, ConfirmSheet</t>
  </si>
  <si>
    <t xml:space="preserve">Price and time from Uber; fixed price or estimate shown clearly</t>
  </si>
  <si>
    <t xml:space="preserve">Uber does not operate in SG or MY, so a local ride partner is needed there (to confirm); availability varies by city in the EU</t>
  </si>
  <si>
    <t xml:space="preserve">GT-01-002</t>
  </si>
  <si>
    <t xml:space="preserve">Book a ride for later</t>
  </si>
  <si>
    <t xml:space="preserve">Scheduled</t>
  </si>
  <si>
    <t xml:space="preserve">A car at 7am tomorrow to the office</t>
  </si>
  <si>
    <t xml:space="preserve">Schedules the ride and reminds them before</t>
  </si>
  <si>
    <t xml:space="preserve">RideOption, TimeSlots, Toast</t>
  </si>
  <si>
    <t xml:space="preserve">Scheduling where Uber allows; price may change at pickup</t>
  </si>
  <si>
    <t xml:space="preserve">GT-01-003</t>
  </si>
  <si>
    <t xml:space="preserve">Bigger car</t>
  </si>
  <si>
    <t xml:space="preserve">A car for five with luggage</t>
  </si>
  <si>
    <t xml:space="preserve">Shows larger vehicles</t>
  </si>
  <si>
    <t xml:space="preserve">RideOption, Travellers</t>
  </si>
  <si>
    <t xml:space="preserve">Seat limits from the ride type</t>
  </si>
  <si>
    <t xml:space="preserve">GT-01-004</t>
  </si>
  <si>
    <t xml:space="preserve">Something nicer, a black car</t>
  </si>
  <si>
    <t xml:space="preserve">Shows premium options with price</t>
  </si>
  <si>
    <t xml:space="preserve">Price from Uber</t>
  </si>
  <si>
    <t xml:space="preserve">GT-01-005</t>
  </si>
  <si>
    <t xml:space="preserve">Child seat</t>
  </si>
  <si>
    <t xml:space="preserve">I need a car seat for my baby</t>
  </si>
  <si>
    <t xml:space="preserve">Shows ride types with child seats where offered, and says so if none</t>
  </si>
  <si>
    <t xml:space="preserve">RideOption, StateCard</t>
  </si>
  <si>
    <t xml:space="preserve">Child seats only where the ride type provides them</t>
  </si>
  <si>
    <t xml:space="preserve">Child seat laws differ per market (to confirm)</t>
  </si>
  <si>
    <t xml:space="preserve">GT-01-006</t>
  </si>
  <si>
    <t xml:space="preserve">A wheelchair-accessible car please</t>
  </si>
  <si>
    <t xml:space="preserve">Shows accessible vehicles where offered</t>
  </si>
  <si>
    <t xml:space="preserve">Only ride types marked accessible by Uber</t>
  </si>
  <si>
    <t xml:space="preserve">GT-01-007</t>
  </si>
  <si>
    <t xml:space="preserve">Book a ride for someone else</t>
  </si>
  <si>
    <t xml:space="preserve">Someone else riding</t>
  </si>
  <si>
    <t xml:space="preserve">Send a car to take my mum home</t>
  </si>
  <si>
    <t xml:space="preserve">Books in her name and sends her the driver details</t>
  </si>
  <si>
    <t xml:space="preserve">RideOption, SendTo</t>
  </si>
  <si>
    <t xml:space="preserve">Rider's phone number used with consent</t>
  </si>
  <si>
    <t xml:space="preserve">GT-01-008</t>
  </si>
  <si>
    <t xml:space="preserve">Compare ride with other ways</t>
  </si>
  <si>
    <t xml:space="preserve">Time or cost</t>
  </si>
  <si>
    <t xml:space="preserve">Is it quicker by cab or train?</t>
  </si>
  <si>
    <t xml:space="preserve">Compares time and price for each</t>
  </si>
  <si>
    <t xml:space="preserve">Times and fares from partners and published data</t>
  </si>
  <si>
    <t xml:space="preserve">GT-01-009</t>
  </si>
  <si>
    <t xml:space="preserve">Pay for a ride with points</t>
  </si>
  <si>
    <t xml:space="preserve">Pay for the ride with points</t>
  </si>
  <si>
    <t xml:space="preserve">Takes the fare in points on the final fare, as the partner allows</t>
  </si>
  <si>
    <t xml:space="preserve">PayWith, ConfirmSheet</t>
  </si>
  <si>
    <t xml:space="preserve">Final fare from Uber; points taken on the final fare; R360 pays the merchant</t>
  </si>
  <si>
    <t xml:space="preserve">GT-01-010</t>
  </si>
  <si>
    <t xml:space="preserve">Query the fare</t>
  </si>
  <si>
    <t xml:space="preserve">After the ride</t>
  </si>
  <si>
    <t xml:space="preserve">Charged more than estimate</t>
  </si>
  <si>
    <t xml:space="preserve">It said £18 and charged £26</t>
  </si>
  <si>
    <t xml:space="preserve">Shows the route and reasons from the trip receipt and asks for a fare review</t>
  </si>
  <si>
    <t xml:space="preserve">Receipt, PriceLines, Handoff</t>
  </si>
  <si>
    <t xml:space="preserve">Fare changes decided by Uber's review</t>
  </si>
  <si>
    <t xml:space="preserve">GT-01-011</t>
  </si>
  <si>
    <t xml:space="preserve">Cancel a ride</t>
  </si>
  <si>
    <t xml:space="preserve">Cancel the car</t>
  </si>
  <si>
    <t xml:space="preserve">Shows any cancellation fee and confirms</t>
  </si>
  <si>
    <t xml:space="preserve">Cancellation fee from Uber's rules</t>
  </si>
  <si>
    <t xml:space="preserve">GT-01-012</t>
  </si>
  <si>
    <t xml:space="preserve">Track my ride</t>
  </si>
  <si>
    <t xml:space="preserve">Waiting</t>
  </si>
  <si>
    <t xml:space="preserve">Where's my driver?</t>
  </si>
  <si>
    <t xml:space="preserve">Live map with driver, car, plate and arrival time</t>
  </si>
  <si>
    <t xml:space="preserve">NEW: RideTracker</t>
  </si>
  <si>
    <t xml:space="preserve">From Uber</t>
  </si>
  <si>
    <t xml:space="preserve">GT-01-013</t>
  </si>
  <si>
    <t xml:space="preserve">Share my trip</t>
  </si>
  <si>
    <t xml:space="preserve">Safety</t>
  </si>
  <si>
    <t xml:space="preserve">Share my ride with my partner</t>
  </si>
  <si>
    <t xml:space="preserve">Shares a live trip link</t>
  </si>
  <si>
    <t xml:space="preserve">NEW: RideTracker, SendTo</t>
  </si>
  <si>
    <t xml:space="preserve">GT-01-014</t>
  </si>
  <si>
    <t xml:space="preserve">Driver cancelled</t>
  </si>
  <si>
    <t xml:space="preserve">Finds a new car straight away, at the same price where possible</t>
  </si>
  <si>
    <t xml:space="preserve">RideOption, Toast</t>
  </si>
  <si>
    <t xml:space="preserve">New price shown if different; needs a yes</t>
  </si>
  <si>
    <t xml:space="preserve">GT-01-015</t>
  </si>
  <si>
    <t xml:space="preserve">No cars available</t>
  </si>
  <si>
    <t xml:space="preserve">Busy time</t>
  </si>
  <si>
    <t xml:space="preserve">Get me a car now</t>
  </si>
  <si>
    <t xml:space="preserve">Says there are none and offers a scheduled ride or other transport</t>
  </si>
  <si>
    <t xml:space="preserve">StateCard, Suggestions</t>
  </si>
  <si>
    <t xml:space="preserve">Never promises a car Uber can't offer</t>
  </si>
  <si>
    <t xml:space="preserve">GT-01-016</t>
  </si>
  <si>
    <t xml:space="preserve">Price is high</t>
  </si>
  <si>
    <t xml:space="preserve">Why is it so expensive right now?</t>
  </si>
  <si>
    <t xml:space="preserve">Explains the demand pricing and offers an alert when it drops</t>
  </si>
  <si>
    <t xml:space="preserve">Price from Uber; alert fires on the supplier's price</t>
  </si>
  <si>
    <t xml:space="preserve">GT-01-017</t>
  </si>
  <si>
    <t xml:space="preserve">Feel unsafe in the car</t>
  </si>
  <si>
    <t xml:space="preserve">During the ride</t>
  </si>
  <si>
    <t xml:space="preserve">Safety incident</t>
  </si>
  <si>
    <t xml:space="preserve">The driver is scaring me</t>
  </si>
  <si>
    <t xml:space="preserve">Gives the emergency number first, shares the trip, reports it to Uber's safety team and hands to a person</t>
  </si>
  <si>
    <t xml:space="preserve">StateCard, NEW: RideTracker, Handoff</t>
  </si>
  <si>
    <t xml:space="preserve">GT-01-018</t>
  </si>
  <si>
    <t xml:space="preserve">I left my phone in the car</t>
  </si>
  <si>
    <t xml:space="preserve">Starts Uber's lost item process and contacts the driver</t>
  </si>
  <si>
    <t xml:space="preserve">Handoff, Receipt</t>
  </si>
  <si>
    <t xml:space="preserve">Return fee from Uber's rules</t>
  </si>
  <si>
    <t xml:space="preserve">GT-01-019</t>
  </si>
  <si>
    <t xml:space="preserve">Send me receipts for this week's rides</t>
  </si>
  <si>
    <t xml:space="preserve">Sends the receipts</t>
  </si>
  <si>
    <t xml:space="preserve">Receipts from Uber</t>
  </si>
  <si>
    <t xml:space="preserve">GT-01-020</t>
  </si>
  <si>
    <t xml:space="preserve">Sort out a double charge</t>
  </si>
  <si>
    <t xml:space="preserve">Charged twice</t>
  </si>
  <si>
    <t xml:space="preserve">I've been charged twice for one ride</t>
  </si>
  <si>
    <t xml:space="preserve">Shows both charges and starts a dispute with the bank</t>
  </si>
  <si>
    <t xml:space="preserve">GT-01-021</t>
  </si>
  <si>
    <t xml:space="preserve">Complain about a ride</t>
  </si>
  <si>
    <t xml:space="preserve">That driver was rude and took the long way</t>
  </si>
  <si>
    <t xml:space="preserve">Logs the complaint with the trip attached and hands to a person</t>
  </si>
  <si>
    <t xml:space="preserve">Complaints handling set by the bank; driver issues go to Uber</t>
  </si>
  <si>
    <t xml:space="preserve">GT-02-001</t>
  </si>
  <si>
    <t xml:space="preserve">Get offered an airport ride</t>
  </si>
  <si>
    <t xml:space="preserve">Flight booked, no ride</t>
  </si>
  <si>
    <t xml:space="preserve">Moment: offers a ride timed to the flight</t>
  </si>
  <si>
    <t xml:space="preserve">Moment, RideOption</t>
  </si>
  <si>
    <t xml:space="preserve">Marketing consent checked</t>
  </si>
  <si>
    <t xml:space="preserve">GT-02-002</t>
  </si>
  <si>
    <t xml:space="preserve">Book an airport ride</t>
  </si>
  <si>
    <t xml:space="preserve">A car to Heathrow for my 9am flight</t>
  </si>
  <si>
    <t xml:space="preserve">Books a ride with the pickup time worked back from the flight, traffic and check-in</t>
  </si>
  <si>
    <t xml:space="preserve">RideOption, FlightCard, TimeSlots</t>
  </si>
  <si>
    <t xml:space="preserve">Pickup time from flight time, traffic and airline cut-off</t>
  </si>
  <si>
    <t xml:space="preserve">GT-02-003</t>
  </si>
  <si>
    <t xml:space="preserve">A car waiting when I land in Dubai</t>
  </si>
  <si>
    <t xml:space="preserve">Pickup timed to landing plus bags and immigration, following the flight</t>
  </si>
  <si>
    <t xml:space="preserve">RideOption, FlightTracker</t>
  </si>
  <si>
    <t xml:space="preserve">Flight feed moves the pickup</t>
  </si>
  <si>
    <t xml:space="preserve">GT-02-004</t>
  </si>
  <si>
    <t xml:space="preserve">With meet and greet</t>
  </si>
  <si>
    <t xml:space="preserve">Can the greeter walk me to the car?</t>
  </si>
  <si>
    <t xml:space="preserve">Links the greeter and the car so the handover is planned</t>
  </si>
  <si>
    <t xml:space="preserve">NEW: GreeterCard, RideOption</t>
  </si>
  <si>
    <t xml:space="preserve">Both services reconfirmed before landing</t>
  </si>
  <si>
    <t xml:space="preserve">GT-02-005</t>
  </si>
  <si>
    <t xml:space="preserve">Family and luggage</t>
  </si>
  <si>
    <t xml:space="preserve">Two adults, three kids and five cases to the airport</t>
  </si>
  <si>
    <t xml:space="preserve">Shows vehicles that fit everyone and every bag</t>
  </si>
  <si>
    <t xml:space="preserve">Seat and luggage limits from the ride type</t>
  </si>
  <si>
    <t xml:space="preserve">GT-02-006</t>
  </si>
  <si>
    <t xml:space="preserve">Get into town from the airport</t>
  </si>
  <si>
    <t xml:space="preserve">No booking</t>
  </si>
  <si>
    <t xml:space="preserve">How do I get to the city from the airport?</t>
  </si>
  <si>
    <t xml:space="preserve">Options: ride, train and taxi rank, with time and cost</t>
  </si>
  <si>
    <t xml:space="preserve">Compare, RideOption</t>
  </si>
  <si>
    <t xml:space="preserve">Times and prices from partners and published fares</t>
  </si>
  <si>
    <t xml:space="preserve">GT-02-007</t>
  </si>
  <si>
    <t xml:space="preserve">Pay for an airport ride</t>
  </si>
  <si>
    <t xml:space="preserve">Shows the fare in points and confirms</t>
  </si>
  <si>
    <t xml:space="preserve">Final fare from the partner; points taken on the final fare</t>
  </si>
  <si>
    <t xml:space="preserve">GT-02-008</t>
  </si>
  <si>
    <t xml:space="preserve">Change an airport ride</t>
  </si>
  <si>
    <t xml:space="preserve">New flight time</t>
  </si>
  <si>
    <t xml:space="preserve">My flight is now at 6pm</t>
  </si>
  <si>
    <t xml:space="preserve">Moves the ride to fit the new time</t>
  </si>
  <si>
    <t xml:space="preserve">TimeSlots, ConfirmSheet</t>
  </si>
  <si>
    <t xml:space="preserve">New price shown if different</t>
  </si>
  <si>
    <t xml:space="preserve">GT-02-009</t>
  </si>
  <si>
    <t xml:space="preserve">Cancel an airport ride</t>
  </si>
  <si>
    <t xml:space="preserve">Cancel my airport car</t>
  </si>
  <si>
    <t xml:space="preserve">Shows any fee and confirms</t>
  </si>
  <si>
    <t xml:space="preserve">Fee from the partner's rules</t>
  </si>
  <si>
    <t xml:space="preserve">GT-02-010</t>
  </si>
  <si>
    <t xml:space="preserve">Find the pickup point</t>
  </si>
  <si>
    <t xml:space="preserve">Where do I get the car?</t>
  </si>
  <si>
    <t xml:space="preserve">Shows the airport's ride pickup zone with walking directions</t>
  </si>
  <si>
    <t xml:space="preserve">NEW: Map, NEW: RideTracker</t>
  </si>
  <si>
    <t xml:space="preserve">Pickup zones from the airport</t>
  </si>
  <si>
    <t xml:space="preserve">Pickup zones differ per airport (to confirm per airport)</t>
  </si>
  <si>
    <t xml:space="preserve">GT-02-011</t>
  </si>
  <si>
    <t xml:space="preserve">Pickup booked</t>
  </si>
  <si>
    <t xml:space="preserve">Moves the pickup automatically and tells the customer</t>
  </si>
  <si>
    <t xml:space="preserve">Waiting rules from the partner's terms</t>
  </si>
  <si>
    <t xml:space="preserve">GT-02-012</t>
  </si>
  <si>
    <t xml:space="preserve">Driver can't find me</t>
  </si>
  <si>
    <t xml:space="preserve">At pickup</t>
  </si>
  <si>
    <t xml:space="preserve">The driver says he can't see me</t>
  </si>
  <si>
    <t xml:space="preserve">Connects them by masked number and shares the pickup pin</t>
  </si>
  <si>
    <t xml:space="preserve">NEW: RideTracker, NEW: Map</t>
  </si>
  <si>
    <t xml:space="preserve">GT-02-013</t>
  </si>
  <si>
    <t xml:space="preserve">Might miss the flight</t>
  </si>
  <si>
    <t xml:space="preserve">Stuck in traffic</t>
  </si>
  <si>
    <t xml:space="preserve">Traffic is terrible, will I make it?</t>
  </si>
  <si>
    <t xml:space="preserve">Checks live traffic against the check-in cut-off, says it plainly and shows options</t>
  </si>
  <si>
    <t xml:space="preserve">FlightTracker, StateCard, Handoff</t>
  </si>
  <si>
    <t xml:space="preserve">Cut-off from the airline; never promises the airline will wait</t>
  </si>
  <si>
    <t xml:space="preserve">GT-02-014</t>
  </si>
  <si>
    <t xml:space="preserve">Query a waiting charge</t>
  </si>
  <si>
    <t xml:space="preserve">Charged waiting time</t>
  </si>
  <si>
    <t xml:space="preserve">They charged me for waiting</t>
  </si>
  <si>
    <t xml:space="preserve">Shows landing time against pickup time and disputes it if a delay caused it</t>
  </si>
  <si>
    <t xml:space="preserve">Waiting rules from the partner</t>
  </si>
  <si>
    <t xml:space="preserve">GT-03-001</t>
  </si>
  <si>
    <t xml:space="preserve">Book a train</t>
  </si>
  <si>
    <t xml:space="preserve">A train from London to Manchester on Friday morning</t>
  </si>
  <si>
    <t xml:space="preserve">Three best trains with times, changes and price</t>
  </si>
  <si>
    <t xml:space="preserve">NEW: TrainCard, Rail, Suggestions</t>
  </si>
  <si>
    <t xml:space="preserve">Fares from the rail partner</t>
  </si>
  <si>
    <t xml:space="preserve">UK: advance fares tie you to one train; railcards cut prices. IN: reserved tickets sold through IRCTC and authorised agents (route to confirm). SG: city trains are tap-and-go with a card, no ticket needed</t>
  </si>
  <si>
    <t xml:space="preserve">GT-03-002</t>
  </si>
  <si>
    <t xml:space="preserve">Cheapest</t>
  </si>
  <si>
    <t xml:space="preserve">Cheapest way to Paris by train in March</t>
  </si>
  <si>
    <t xml:space="preserve">PriceCalendar, NEW: TrainCard</t>
  </si>
  <si>
    <t xml:space="preserve">Calendar prices are cached; confirmed live before pay</t>
  </si>
  <si>
    <t xml:space="preserve">GT-03-003</t>
  </si>
  <si>
    <t xml:space="preserve">Cross-border</t>
  </si>
  <si>
    <t xml:space="preserve">A train from London to Brussels</t>
  </si>
  <si>
    <t xml:space="preserve">Shows cross-border trains with check-in time and passport needs</t>
  </si>
  <si>
    <t xml:space="preserve">NEW: TrainCard, StateCard</t>
  </si>
  <si>
    <t xml:space="preserve">Check-in cut-off from the operator</t>
  </si>
  <si>
    <t xml:space="preserve">UK to EU trains have passport checks before boarding</t>
  </si>
  <si>
    <t xml:space="preserve">GT-03-004</t>
  </si>
  <si>
    <t xml:space="preserve">Class</t>
  </si>
  <si>
    <t xml:space="preserve">Two 2AC tickets to Chennai</t>
  </si>
  <si>
    <t xml:space="preserve">Shows classes with price and availability</t>
  </si>
  <si>
    <t xml:space="preserve">NEW: TrainCard, Segmented</t>
  </si>
  <si>
    <t xml:space="preserve">Availability from the rail system</t>
  </si>
  <si>
    <t xml:space="preserve">IN: classes such as sleeper, 3AC, 2AC and 1AC</t>
  </si>
  <si>
    <t xml:space="preserve">GT-03-005</t>
  </si>
  <si>
    <t xml:space="preserve">Two adults and two kids to Edinburgh</t>
  </si>
  <si>
    <t xml:space="preserve">Applies child fares by age and shows the total</t>
  </si>
  <si>
    <t xml:space="preserve">Travellers, NEW: TrainCard, PriceLines</t>
  </si>
  <si>
    <t xml:space="preserve">Child age bands from the operator</t>
  </si>
  <si>
    <t xml:space="preserve">GT-03-006</t>
  </si>
  <si>
    <t xml:space="preserve">Airport train</t>
  </si>
  <si>
    <t xml:space="preserve">The train from KLIA into the city</t>
  </si>
  <si>
    <t xml:space="preserve">Shows airport express options with time and price</t>
  </si>
  <si>
    <t xml:space="preserve">NEW: TrainCard</t>
  </si>
  <si>
    <t xml:space="preserve">Fares from the operator</t>
  </si>
  <si>
    <t xml:space="preserve">GT-03-007</t>
  </si>
  <si>
    <t xml:space="preserve">Buy a rail pass</t>
  </si>
  <si>
    <t xml:space="preserve">Several countries</t>
  </si>
  <si>
    <t xml:space="preserve">A rail pass for two weeks in Europe</t>
  </si>
  <si>
    <t xml:space="preserve">Compares a pass with point-to-point tickets and shows reservation fees</t>
  </si>
  <si>
    <t xml:space="preserve">Compare, PriceLines</t>
  </si>
  <si>
    <t xml:space="preserve">Pass prices from the partner</t>
  </si>
  <si>
    <t xml:space="preserve">GT-03-008</t>
  </si>
  <si>
    <t xml:space="preserve">Fully booked</t>
  </si>
  <si>
    <t xml:space="preserve">Waitlisted</t>
  </si>
  <si>
    <t xml:space="preserve">(taps a train)</t>
  </si>
  <si>
    <t xml:space="preserve">Explains the waitlist position without guessing the chance of confirmation, and offers other trains</t>
  </si>
  <si>
    <t xml:space="preserve">StateCard, NEW: TrainCard</t>
  </si>
  <si>
    <t xml:space="preserve">Waitlist status from the rail system; never predicts confirmation as fact</t>
  </si>
  <si>
    <t xml:space="preserve">IN: waitlist and RAC tickets; waitlisted e-tickets may be cancelled automatically if not confirmed (to confirm)</t>
  </si>
  <si>
    <t xml:space="preserve">GT-03-009</t>
  </si>
  <si>
    <t xml:space="preserve">Book at short notice</t>
  </si>
  <si>
    <t xml:space="preserve">All trains full</t>
  </si>
  <si>
    <t xml:space="preserve">I need a train to Chennai tomorrow and everything's full</t>
  </si>
  <si>
    <t xml:space="preserve">Explains the short-notice quota window and price, and books when it opens if they agree</t>
  </si>
  <si>
    <t xml:space="preserve">StateCard, NEW: TrainCard, Toggle</t>
  </si>
  <si>
    <t xml:space="preserve">Quota rules from the rail system</t>
  </si>
  <si>
    <t xml:space="preserve">IN: Tatkal quota opens a day before travel (timing to confirm)</t>
  </si>
  <si>
    <t xml:space="preserve">GT-03-010</t>
  </si>
  <si>
    <t xml:space="preserve">No rail partner here</t>
  </si>
  <si>
    <t xml:space="preserve">A train from Dubai to Abu Dhabi</t>
  </si>
  <si>
    <t xml:space="preserve">Says it can't book trains there yet and offers a ride</t>
  </si>
  <si>
    <t xml:space="preserve">StateCard, RideOption</t>
  </si>
  <si>
    <t xml:space="preserve">Capability register: only live rail partners</t>
  </si>
  <si>
    <t xml:space="preserve">AE: passenger rail status to confirm</t>
  </si>
  <si>
    <t xml:space="preserve">GT-03-011</t>
  </si>
  <si>
    <t xml:space="preserve">Choose a ticket type</t>
  </si>
  <si>
    <t xml:space="preserve">Flexible or fixed</t>
  </si>
  <si>
    <t xml:space="preserve">What's the difference between Advance and Anytime?</t>
  </si>
  <si>
    <t xml:space="preserve">Plain words: which trains it's valid on, refund and change rules</t>
  </si>
  <si>
    <t xml:space="preserve">FareFamilies, FareRules</t>
  </si>
  <si>
    <t xml:space="preserve">Rules from the operator</t>
  </si>
  <si>
    <t xml:space="preserve">GT-03-012</t>
  </si>
  <si>
    <t xml:space="preserve">Pay for a train</t>
  </si>
  <si>
    <t xml:space="preserve">Pay for the train with points</t>
  </si>
  <si>
    <t xml:space="preserve">GT-03-013</t>
  </si>
  <si>
    <t xml:space="preserve">Pick a seat</t>
  </si>
  <si>
    <t xml:space="preserve">Reserved seat</t>
  </si>
  <si>
    <t xml:space="preserve">Window seat, facing forwards</t>
  </si>
  <si>
    <t xml:space="preserve">Shows the seat map where the operator provides one, or passes the preference</t>
  </si>
  <si>
    <t xml:space="preserve">NEW: RailSeatPicker</t>
  </si>
  <si>
    <t xml:space="preserve">Seat maps only where the operator provides them</t>
  </si>
  <si>
    <t xml:space="preserve">EU: some high-speed trains need a reservation (to confirm per route)</t>
  </si>
  <si>
    <t xml:space="preserve">GT-03-014</t>
  </si>
  <si>
    <t xml:space="preserve">Add a railcard</t>
  </si>
  <si>
    <t xml:space="preserve">Discount card</t>
  </si>
  <si>
    <t xml:space="preserve">I have a railcard</t>
  </si>
  <si>
    <t xml:space="preserve">Applies the discount and reminds them to carry it</t>
  </si>
  <si>
    <t xml:space="preserve">PriceLines, StickyNote</t>
  </si>
  <si>
    <t xml:space="preserve">Railcard validity checked by the operator</t>
  </si>
  <si>
    <t xml:space="preserve">UK only</t>
  </si>
  <si>
    <t xml:space="preserve">GT-03-015</t>
  </si>
  <si>
    <t xml:space="preserve">Get my ticket</t>
  </si>
  <si>
    <t xml:space="preserve">Travel day</t>
  </si>
  <si>
    <t xml:space="preserve">Show my train ticket</t>
  </si>
  <si>
    <t xml:space="preserve">Shows the e-ticket or QR code, works offline</t>
  </si>
  <si>
    <t xml:space="preserve">NEW: TrainTicket</t>
  </si>
  <si>
    <t xml:space="preserve">Ticket from the operator; available offline</t>
  </si>
  <si>
    <t xml:space="preserve">GT-03-016</t>
  </si>
  <si>
    <t xml:space="preserve">Change a train ticket</t>
  </si>
  <si>
    <t xml:space="preserve">Move me to the 10am instead</t>
  </si>
  <si>
    <t xml:space="preserve">Checks the ticket's change rules, shows any fee or fare difference and confirms</t>
  </si>
  <si>
    <t xml:space="preserve">Change rules from the operator</t>
  </si>
  <si>
    <t xml:space="preserve">GT-03-017</t>
  </si>
  <si>
    <t xml:space="preserve">Cancel a train ticket</t>
  </si>
  <si>
    <t xml:space="preserve">Cancel my train</t>
  </si>
  <si>
    <t xml:space="preserve">Shows what comes back under the ticket rules and confirms</t>
  </si>
  <si>
    <t xml:space="preserve">Refund amounts from the ticket rules only</t>
  </si>
  <si>
    <t xml:space="preserve">GT-03-018</t>
  </si>
  <si>
    <t xml:space="preserve">Check the train</t>
  </si>
  <si>
    <t xml:space="preserve">Is my train on time? Which platform?</t>
  </si>
  <si>
    <t xml:space="preserve">Live status and platform</t>
  </si>
  <si>
    <t xml:space="preserve">Status, NEW: TrainCard</t>
  </si>
  <si>
    <t xml:space="preserve">From the operator's feed</t>
  </si>
  <si>
    <t xml:space="preserve">GT-03-019</t>
  </si>
  <si>
    <t xml:space="preserve">Train cancelled or delayed</t>
  </si>
  <si>
    <t xml:space="preserve">Tells them early, shows the next trains and what the ticket allows</t>
  </si>
  <si>
    <t xml:space="preserve">Disruption, NEW: TrainCard</t>
  </si>
  <si>
    <t xml:space="preserve">Ticket acceptance from the operator</t>
  </si>
  <si>
    <t xml:space="preserve">GT-03-020</t>
  </si>
  <si>
    <t xml:space="preserve">Missed the train</t>
  </si>
  <si>
    <t xml:space="preserve">At the station</t>
  </si>
  <si>
    <t xml:space="preserve">Missed it</t>
  </si>
  <si>
    <t xml:space="preserve">I've just missed my train</t>
  </si>
  <si>
    <t xml:space="preserve">Checks if the ticket is valid on the next one and buys a new one only on a yes</t>
  </si>
  <si>
    <t xml:space="preserve">StateCard, NEW: TrainCard, ConfirmSheet</t>
  </si>
  <si>
    <t xml:space="preserve">Validity from the ticket rules</t>
  </si>
  <si>
    <t xml:space="preserve">GT-03-021</t>
  </si>
  <si>
    <t xml:space="preserve">Ticket questioned on board</t>
  </si>
  <si>
    <t xml:space="preserve">On the train</t>
  </si>
  <si>
    <t xml:space="preserve">Ticket not accepted</t>
  </si>
  <si>
    <t xml:space="preserve">The inspector says my ticket isn't valid</t>
  </si>
  <si>
    <t xml:space="preserve">Shows the ticket and its rules and hands to a person</t>
  </si>
  <si>
    <t xml:space="preserve">NEW: TrainTicket, Handoff</t>
  </si>
  <si>
    <t xml:space="preserve">Never advises refusing a penalty; disputes through the operator</t>
  </si>
  <si>
    <t xml:space="preserve">GT-03-022</t>
  </si>
  <si>
    <t xml:space="preserve">Claim for a delay</t>
  </si>
  <si>
    <t xml:space="preserve">My train was an hour late, can I claim?</t>
  </si>
  <si>
    <t xml:space="preserve">Checks eligibility and starts the claim with the operator</t>
  </si>
  <si>
    <t xml:space="preserve">Eligibility from the operator and local rules; amounts from the scheme</t>
  </si>
  <si>
    <t xml:space="preserve">UK: Delay Repay schemes. EU: rail passenger rights rules. IN: refund claims through the rail system (to confirm)</t>
  </si>
  <si>
    <t xml:space="preserve">GT-04-001</t>
  </si>
  <si>
    <t xml:space="preserve">Hire a car</t>
  </si>
  <si>
    <t xml:space="preserve">A car in Faro for a week from 16 Oct</t>
  </si>
  <si>
    <t xml:space="preserve">Three cars with the total price, what's included and the fuel policy</t>
  </si>
  <si>
    <t xml:space="preserve">NEW: CarCard, Rail, PriceLines</t>
  </si>
  <si>
    <t xml:space="preserve">Prices from the supplier; total includes compulsory fees</t>
  </si>
  <si>
    <t xml:space="preserve">GT-04-002</t>
  </si>
  <si>
    <t xml:space="preserve">Something with seven seats</t>
  </si>
  <si>
    <t xml:space="preserve">Shows seven-seaters with luggage space</t>
  </si>
  <si>
    <t xml:space="preserve">NEW: CarCard, FilterBar</t>
  </si>
  <si>
    <t xml:space="preserve">Seats and luggage from the supplier</t>
  </si>
  <si>
    <t xml:space="preserve">GT-04-003</t>
  </si>
  <si>
    <t xml:space="preserve">Automatic only</t>
  </si>
  <si>
    <t xml:space="preserve">It must be automatic</t>
  </si>
  <si>
    <t xml:space="preserve">Filters to automatics</t>
  </si>
  <si>
    <t xml:space="preserve">FilterBar, NEW: CarCard</t>
  </si>
  <si>
    <t xml:space="preserve">Transmission from the supplier; car model not guaranteed</t>
  </si>
  <si>
    <t xml:space="preserve">GT-04-004</t>
  </si>
  <si>
    <t xml:space="preserve">Electric</t>
  </si>
  <si>
    <t xml:space="preserve">An electric car if possible</t>
  </si>
  <si>
    <t xml:space="preserve">Shows electric cars with range and charging notes</t>
  </si>
  <si>
    <t xml:space="preserve">NEW: CarCard, Answer</t>
  </si>
  <si>
    <t xml:space="preserve">Range from the supplier</t>
  </si>
  <si>
    <t xml:space="preserve">GT-04-005</t>
  </si>
  <si>
    <t xml:space="preserve">Understand the insurance</t>
  </si>
  <si>
    <t xml:space="preserve">Excess</t>
  </si>
  <si>
    <t xml:space="preserve">Do I need the extra insurance?</t>
  </si>
  <si>
    <t xml:space="preserve">Explains what's covered, the excess and any cover the card gives, without advising</t>
  </si>
  <si>
    <t xml:space="preserve">Answer, BenefitRow, PriceLines</t>
  </si>
  <si>
    <t xml:space="preserve">Cover terms from the supplier and the bank; not advice</t>
  </si>
  <si>
    <t xml:space="preserve">Insurance selling rules differ per market; may need a licensed partner (to confirm)</t>
  </si>
  <si>
    <t xml:space="preserve">GT-04-006</t>
  </si>
  <si>
    <t xml:space="preserve">Check driver rules</t>
  </si>
  <si>
    <t xml:space="preserve">Young driver</t>
  </si>
  <si>
    <t xml:space="preserve">I'm 23, can I hire a car?</t>
  </si>
  <si>
    <t xml:space="preserve">Checks the minimum age and any young-driver fee</t>
  </si>
  <si>
    <t xml:space="preserve">Answer, PriceLines</t>
  </si>
  <si>
    <t xml:space="preserve">Age rules from the supplier</t>
  </si>
  <si>
    <t xml:space="preserve">GT-04-007</t>
  </si>
  <si>
    <t xml:space="preserve">Check licence rules</t>
  </si>
  <si>
    <t xml:space="preserve">Driving abroad</t>
  </si>
  <si>
    <t xml:space="preserve">Is my Indian licence OK in the UK?</t>
  </si>
  <si>
    <t xml:space="preserve">Says what the supplier accepts and whether an international permit is needed, with the official source</t>
  </si>
  <si>
    <t xml:space="preserve">From the supplier and official sources only</t>
  </si>
  <si>
    <t xml:space="preserve">UK licence holders may need a DVLA check code; permit needs vary by country (to confirm)</t>
  </si>
  <si>
    <t xml:space="preserve">GT-04-008</t>
  </si>
  <si>
    <t xml:space="preserve">Drive across a border</t>
  </si>
  <si>
    <t xml:space="preserve">Can I take the hire car from Singapore into Malaysia?</t>
  </si>
  <si>
    <t xml:space="preserve">Checks the supplier's cross-border rules and fees</t>
  </si>
  <si>
    <t xml:space="preserve">Cross-border rules from the supplier</t>
  </si>
  <si>
    <t xml:space="preserve">SG to MY: supplier rules and permits apply (to confirm)</t>
  </si>
  <si>
    <t xml:space="preserve">GT-04-009</t>
  </si>
  <si>
    <t xml:space="preserve">Pay for car hire</t>
  </si>
  <si>
    <t xml:space="preserve">Use points for the car hire</t>
  </si>
  <si>
    <t xml:space="preserve">Splits points and card and confirms</t>
  </si>
  <si>
    <t xml:space="preserve">GT-04-010</t>
  </si>
  <si>
    <t xml:space="preserve">Understand the deposit</t>
  </si>
  <si>
    <t xml:space="preserve">Deposit hold</t>
  </si>
  <si>
    <t xml:space="preserve">How much will they block on my card?</t>
  </si>
  <si>
    <t xml:space="preserve">Shows the deposit, that it needs a credit card in the driver's name, and when it's released</t>
  </si>
  <si>
    <t xml:space="preserve">NEW: DepositHold, Answer</t>
  </si>
  <si>
    <t xml:space="preserve">Deposit and card rules from the supplier</t>
  </si>
  <si>
    <t xml:space="preserve">GT-04-011</t>
  </si>
  <si>
    <t xml:space="preserve">Pay the deposit</t>
  </si>
  <si>
    <t xml:space="preserve">At the desk</t>
  </si>
  <si>
    <t xml:space="preserve">Debit card refused</t>
  </si>
  <si>
    <t xml:space="preserve">They won't take my debit card</t>
  </si>
  <si>
    <t xml:space="preserve">Explains the rule and offers the bank's credit card or a supplier that takes debit</t>
  </si>
  <si>
    <t xml:space="preserve">Card rules from the supplier</t>
  </si>
  <si>
    <t xml:space="preserve">GT-04-012</t>
  </si>
  <si>
    <t xml:space="preserve">Add extras</t>
  </si>
  <si>
    <t xml:space="preserve">Child seat or extra driver</t>
  </si>
  <si>
    <t xml:space="preserve">Add a child seat and my husband as a second driver</t>
  </si>
  <si>
    <t xml:space="preserve">Adds them with price per day</t>
  </si>
  <si>
    <t xml:space="preserve">PriceLines, Stepper</t>
  </si>
  <si>
    <t xml:space="preserve">Extras priced by the supplier</t>
  </si>
  <si>
    <t xml:space="preserve">GT-04-013</t>
  </si>
  <si>
    <t xml:space="preserve">Change car hire</t>
  </si>
  <si>
    <t xml:space="preserve">New dates</t>
  </si>
  <si>
    <t xml:space="preserve">Can I keep it two more days?</t>
  </si>
  <si>
    <t xml:space="preserve">Shows the price difference and confirms</t>
  </si>
  <si>
    <t xml:space="preserve">NEW: CarCard, PriceLines, ConfirmSheet</t>
  </si>
  <si>
    <t xml:space="preserve">Price from the supplier</t>
  </si>
  <si>
    <t xml:space="preserve">GT-04-014</t>
  </si>
  <si>
    <t xml:space="preserve">Cancel car hire</t>
  </si>
  <si>
    <t xml:space="preserve">Cancel my car hire</t>
  </si>
  <si>
    <t xml:space="preserve">Shows what comes back and confirms</t>
  </si>
  <si>
    <t xml:space="preserve">Refund from the supplier's terms</t>
  </si>
  <si>
    <t xml:space="preserve">GT-04-015</t>
  </si>
  <si>
    <t xml:space="preserve">Pick up the car</t>
  </si>
  <si>
    <t xml:space="preserve">Where do I collect the car?</t>
  </si>
  <si>
    <t xml:space="preserve">Shows the voucher, desk location and what to bring</t>
  </si>
  <si>
    <t xml:space="preserve">Receipt, NEW: Map</t>
  </si>
  <si>
    <t xml:space="preserve">From the supplier</t>
  </si>
  <si>
    <t xml:space="preserve">GT-04-016</t>
  </si>
  <si>
    <t xml:space="preserve">Record the car's condition</t>
  </si>
  <si>
    <t xml:space="preserve">Help me check the car for damage</t>
  </si>
  <si>
    <t xml:space="preserve">Guides a photo walk-round and saves photos with time and place</t>
  </si>
  <si>
    <t xml:space="preserve">NEW: DamageCheck</t>
  </si>
  <si>
    <t xml:space="preserve">Photos time-stamped and kept for any claim</t>
  </si>
  <si>
    <t xml:space="preserve">GT-04-017</t>
  </si>
  <si>
    <t xml:space="preserve">Understand tolls and fines</t>
  </si>
  <si>
    <t xml:space="preserve">Driving</t>
  </si>
  <si>
    <t xml:space="preserve">How do tolls work here?</t>
  </si>
  <si>
    <t xml:space="preserve">Explains the toll system and how the supplier bills it</t>
  </si>
  <si>
    <t xml:space="preserve">AE: Salik tolls billed afterwards by the hire firm. SG: ERP road charges. MY: electronic toll cards. UK: London congestion charge paid by the driver (to confirm per supplier)</t>
  </si>
  <si>
    <t xml:space="preserve">GT-04-018</t>
  </si>
  <si>
    <t xml:space="preserve">Get told the return time</t>
  </si>
  <si>
    <t xml:space="preserve">Last day</t>
  </si>
  <si>
    <t xml:space="preserve">Reminds them of return time, fuel level needed and the nearest fuel station</t>
  </si>
  <si>
    <t xml:space="preserve">StickyNote, NEW: Map</t>
  </si>
  <si>
    <t xml:space="preserve">From the rental terms</t>
  </si>
  <si>
    <t xml:space="preserve">GT-04-019</t>
  </si>
  <si>
    <t xml:space="preserve">No car at the desk</t>
  </si>
  <si>
    <t xml:space="preserve">Supplier can't deliver</t>
  </si>
  <si>
    <t xml:space="preserve">They say they've got no cars</t>
  </si>
  <si>
    <t xml:space="preserve">Contacts the supplier, finds an alternative, refunds if not delivered and hands to a person</t>
  </si>
  <si>
    <t xml:space="preserve">StateCard, Rail, Handoff</t>
  </si>
  <si>
    <t xml:space="preserve">Full refund if not delivered</t>
  </si>
  <si>
    <t xml:space="preserve">GT-04-020</t>
  </si>
  <si>
    <t xml:space="preserve">Pushed to buy more insurance</t>
  </si>
  <si>
    <t xml:space="preserve">Upsell at desk</t>
  </si>
  <si>
    <t xml:space="preserve">They're pushing me to buy more insurance</t>
  </si>
  <si>
    <t xml:space="preserve">Shows what's already included and what the card covers so the customer decides</t>
  </si>
  <si>
    <t xml:space="preserve">Cover terms from the booking and the bank; not advice</t>
  </si>
  <si>
    <t xml:space="preserve">GT-04-021</t>
  </si>
  <si>
    <t xml:space="preserve">Breakdown or accident</t>
  </si>
  <si>
    <t xml:space="preserve">Car broke down</t>
  </si>
  <si>
    <t xml:space="preserve">The car's broken down on the motorway</t>
  </si>
  <si>
    <t xml:space="preserve">Safety first: emergency number and the supplier's roadside number, then hands to a person</t>
  </si>
  <si>
    <t xml:space="preserve">GT-04-022</t>
  </si>
  <si>
    <t xml:space="preserve">Dispute a damage charge</t>
  </si>
  <si>
    <t xml:space="preserve">After return</t>
  </si>
  <si>
    <t xml:space="preserve">Damage charge</t>
  </si>
  <si>
    <t xml:space="preserve">They've charged me £400 for a scratch</t>
  </si>
  <si>
    <t xml:space="preserve">Pulls the pickup photos, shows the claim and starts a dispute with the supplier or the bank</t>
  </si>
  <si>
    <t xml:space="preserve">NEW: DamageCheck, TransactionRow, Handoff</t>
  </si>
  <si>
    <t xml:space="preserve">Customer decides; disputes go to the supplier, then the bank</t>
  </si>
  <si>
    <t xml:space="preserve">GT-04-023</t>
  </si>
  <si>
    <t xml:space="preserve">Query a fuel or fine charge</t>
  </si>
  <si>
    <t xml:space="preserve">Unexpected charge</t>
  </si>
  <si>
    <t xml:space="preserve">Why was I charged for fuel a week later?</t>
  </si>
  <si>
    <t xml:space="preserve">Shows the charge against the fuel policy and passes fines to the right authority route</t>
  </si>
  <si>
    <t xml:space="preserve">TransactionRow, PriceLines, Handoff</t>
  </si>
  <si>
    <t xml:space="preserve">Charges from the supplier; disputes by the bank</t>
  </si>
  <si>
    <t xml:space="preserve">GT-05-001</t>
  </si>
  <si>
    <t xml:space="preserve">Book a chauffeur</t>
  </si>
  <si>
    <t xml:space="preserve">Airport pickup</t>
  </si>
  <si>
    <t xml:space="preserve">A driver to meet me at Heathrow arrivals</t>
  </si>
  <si>
    <t xml:space="preserve">Pre-booked car with a driver waiting inside with a name board, following the flight</t>
  </si>
  <si>
    <t xml:space="preserve">RideOption, NEW: DriverCard, FlightTracker</t>
  </si>
  <si>
    <t xml:space="preserve">Price fixed at booking; flight followed for waiting</t>
  </si>
  <si>
    <t xml:space="preserve">GT-05-002</t>
  </si>
  <si>
    <t xml:space="preserve">Book a chauffeur by the hour</t>
  </si>
  <si>
    <t xml:space="preserve">Hourly</t>
  </si>
  <si>
    <t xml:space="preserve">A car and driver for the day in Dubai for meetings</t>
  </si>
  <si>
    <t xml:space="preserve">Hourly hire with minimum hours and overtime rate</t>
  </si>
  <si>
    <t xml:space="preserve">RideOption, TimeSlots, PriceLines</t>
  </si>
  <si>
    <t xml:space="preserve">Minimum hours and overtime from the supplier</t>
  </si>
  <si>
    <t xml:space="preserve">GT-05-003</t>
  </si>
  <si>
    <t xml:space="preserve">Intercity</t>
  </si>
  <si>
    <t xml:space="preserve">A driver from Delhi to Agra and back</t>
  </si>
  <si>
    <t xml:space="preserve">Day trip with tolls, driver allowance and waiting listed or included</t>
  </si>
  <si>
    <t xml:space="preserve">RideOption, PriceLines</t>
  </si>
  <si>
    <t xml:space="preserve">All extras shown before pay</t>
  </si>
  <si>
    <t xml:space="preserve">IN: tolls, state permits and driver night allowance are often extra (to confirm per supplier)</t>
  </si>
  <si>
    <t xml:space="preserve">GT-05-004</t>
  </si>
  <si>
    <t xml:space="preserve">Special occasion</t>
  </si>
  <si>
    <t xml:space="preserve">A luxury car for my wedding day</t>
  </si>
  <si>
    <t xml:space="preserve">Takes the details and hands to a concierge to source and quote</t>
  </si>
  <si>
    <t xml:space="preserve">Quote from the supplier before any payment</t>
  </si>
  <si>
    <t xml:space="preserve">GT-05-005</t>
  </si>
  <si>
    <t xml:space="preserve">Book a chauffeur for a guest</t>
  </si>
  <si>
    <t xml:space="preserve">Client or family</t>
  </si>
  <si>
    <t xml:space="preserve">Send a car for my client from the hotel to our office</t>
  </si>
  <si>
    <t xml:space="preserve">Books in the guest's name and sends them the driver details</t>
  </si>
  <si>
    <t xml:space="preserve">Guest contact used with consent</t>
  </si>
  <si>
    <t xml:space="preserve">GT-05-006</t>
  </si>
  <si>
    <t xml:space="preserve">Choose the car</t>
  </si>
  <si>
    <t xml:space="preserve">Vehicle class</t>
  </si>
  <si>
    <t xml:space="preserve">What's the difference between executive and luxury?</t>
  </si>
  <si>
    <t xml:space="preserve">Compares car class, seats, luggage and price</t>
  </si>
  <si>
    <t xml:space="preserve">GT-05-007</t>
  </si>
  <si>
    <t xml:space="preserve">Pay for a chauffeur</t>
  </si>
  <si>
    <t xml:space="preserve">Price fixed at booking; re-price before pay</t>
  </si>
  <si>
    <t xml:space="preserve">GT-05-008</t>
  </si>
  <si>
    <t xml:space="preserve">Tip the driver</t>
  </si>
  <si>
    <t xml:space="preserve">Can I tip the driver?</t>
  </si>
  <si>
    <t xml:space="preserve">Adds a tip by card or points if the supplier allows</t>
  </si>
  <si>
    <t xml:space="preserve">Customer confirms the amount; tip passed to the driver per supplier terms</t>
  </si>
  <si>
    <t xml:space="preserve">Tipping customs differ per market</t>
  </si>
  <si>
    <t xml:space="preserve">GT-05-009</t>
  </si>
  <si>
    <t xml:space="preserve">Get the driver details</t>
  </si>
  <si>
    <t xml:space="preserve">Day of travel</t>
  </si>
  <si>
    <t xml:space="preserve">Sends the driver's name, car, plate and masked number</t>
  </si>
  <si>
    <t xml:space="preserve">NEW: DriverCard</t>
  </si>
  <si>
    <t xml:space="preserve">Details from the supplier; masked number</t>
  </si>
  <si>
    <t xml:space="preserve">GT-05-010</t>
  </si>
  <si>
    <t xml:space="preserve">Change or cancel a chauffeur</t>
  </si>
  <si>
    <t xml:space="preserve">Push the car back an hour</t>
  </si>
  <si>
    <t xml:space="preserve">Changes or cancels under the supplier's terms and shows any fee</t>
  </si>
  <si>
    <t xml:space="preserve">Cancellation, TimeSlots, ConfirmSheet</t>
  </si>
  <si>
    <t xml:space="preserve">Terms from the supplier</t>
  </si>
  <si>
    <t xml:space="preserve">GT-05-011</t>
  </si>
  <si>
    <t xml:space="preserve">Driver late or not there</t>
  </si>
  <si>
    <t xml:space="preserve">The driver isn't here</t>
  </si>
  <si>
    <t xml:space="preserve">Calls the supplier, shares their number, sends a backup car or books a ride; refunds if not delivered</t>
  </si>
  <si>
    <t xml:space="preserve">StateCard, RideOption, Handoff</t>
  </si>
  <si>
    <t xml:space="preserve">Full refund if not delivered; supplier number shared with the customer</t>
  </si>
  <si>
    <t xml:space="preserve">GT-05-012</t>
  </si>
  <si>
    <t xml:space="preserve">Charged for extra time</t>
  </si>
  <si>
    <t xml:space="preserve">Charged more than agreed</t>
  </si>
  <si>
    <t xml:space="preserve">They've charged three extra hours</t>
  </si>
  <si>
    <t xml:space="preserve">Shows the booking against the time log and disputes if it's wrong</t>
  </si>
  <si>
    <t xml:space="preserve">Overtime rules from the supplier</t>
  </si>
  <si>
    <t xml:space="preserve">GT-05-013</t>
  </si>
  <si>
    <t xml:space="preserve">Unsafe driving</t>
  </si>
  <si>
    <t xml:space="preserve">The driver is on his phone and speeding</t>
  </si>
  <si>
    <t xml:space="preserve">Gives the emergency number if needed, reports it to the supplier and hands to a person</t>
  </si>
  <si>
    <t xml:space="preserve">GT-05-014</t>
  </si>
  <si>
    <t xml:space="preserve">Send me the receipt for the car</t>
  </si>
  <si>
    <t xml:space="preserve">Invoice from the supplier</t>
  </si>
  <si>
    <t xml:space="preserve">EX-01-001</t>
  </si>
  <si>
    <t xml:space="preserve">Find things to do</t>
  </si>
  <si>
    <t xml:space="preserve">What is there to do in Lisbon while I'm there?</t>
  </si>
  <si>
    <t xml:space="preserve">Suggests three attractions near the hotel that are open on the trip dates, with the price in points and cash</t>
  </si>
  <si>
    <t xml:space="preserve">Answer, Rail, ExperienceCard, Price</t>
  </si>
  <si>
    <t xml:space="preserve">Only items the supplier can sell for those dates; prices from the supplier</t>
  </si>
  <si>
    <t xml:space="preserve">EX-01-002</t>
  </si>
  <si>
    <t xml:space="preserve">Moment before a booked trip: the one attraction that sells out and needs booking now, with slots left</t>
  </si>
  <si>
    <t xml:space="preserve">Moment, ExperienceCard, TimeSlots</t>
  </si>
  <si>
    <t xml:space="preserve">Only for trips booked or shared with Gratifi; marketing consent checked; slot count from the supplier</t>
  </si>
  <si>
    <t xml:space="preserve">Marketing consent: UK GDPR and PECR, EU GDPR, India DPDP Act, Singapore PDPA, Malaysia PDPA, UAE PDPL</t>
  </si>
  <si>
    <t xml:space="preserve">EX-01-003</t>
  </si>
  <si>
    <t xml:space="preserve">Something for a 6 and a 9 year old in Singapore on Sunday</t>
  </si>
  <si>
    <t xml:space="preserve">Filters to family attractions and shows child prices and age or height limits</t>
  </si>
  <si>
    <t xml:space="preserve">Answer, Rail, ExperienceCard, Chips</t>
  </si>
  <si>
    <t xml:space="preserve">Age and height limits from the supplier, never guessed</t>
  </si>
  <si>
    <t xml:space="preserve">EX-01-004</t>
  </si>
  <si>
    <t xml:space="preserve">What can I do in Dubai for 10,000 points?</t>
  </si>
  <si>
    <t xml:space="preserve">Shows attractions the points cover in full, cheapest first</t>
  </si>
  <si>
    <t xml:space="preserve">Answer, Dial, Rail, ExperienceCard</t>
  </si>
  <si>
    <t xml:space="preserve">Point value from the bank; prices from the supplier</t>
  </si>
  <si>
    <t xml:space="preserve">EX-01-005</t>
  </si>
  <si>
    <t xml:space="preserve">Bad weather</t>
  </si>
  <si>
    <t xml:space="preserve">It's going to rain tomorrow, anything indoors near Covent Garden?</t>
  </si>
  <si>
    <t xml:space="preserve">Suggests indoor attractions with open slots tomorrow</t>
  </si>
  <si>
    <t xml:space="preserve">Answer, Rail, ExperienceCard, FilterBar</t>
  </si>
  <si>
    <t xml:space="preserve">Weather from a named source; indoor tag from the supplier</t>
  </si>
  <si>
    <t xml:space="preserve">EX-01-006</t>
  </si>
  <si>
    <t xml:space="preserve">Near me now</t>
  </si>
  <si>
    <t xml:space="preserve">Anything good within walking distance I can do this afternoon?</t>
  </si>
  <si>
    <t xml:space="preserve">Shows attractions nearby with same-day entry, walking time and last entry</t>
  </si>
  <si>
    <t xml:space="preserve">Answer, Rail, ExperienceCard, NEW: Map</t>
  </si>
  <si>
    <t xml:space="preserve">Location only with the customer's permission; same-day availability from the supplier</t>
  </si>
  <si>
    <t xml:space="preserve">Sharing personal details with a supplier: UK GDPR, EU GDPR, India DPDP Act, Singapore PDPA, Malaysia PDPA, UAE PDPL</t>
  </si>
  <si>
    <t xml:space="preserve">EX-01-007</t>
  </si>
  <si>
    <t xml:space="preserve">Book attraction tickets</t>
  </si>
  <si>
    <t xml:space="preserve">Date fixed</t>
  </si>
  <si>
    <t xml:space="preserve">Two adult tickets for the aquarium on Saturday</t>
  </si>
  <si>
    <t xml:space="preserve">Shows ticket types and time slots for Saturday with the full total</t>
  </si>
  <si>
    <t xml:space="preserve">ExperienceCard, TimeSlots, Travellers, PriceLines</t>
  </si>
  <si>
    <t xml:space="preserve">Live availability and price from the supplier; total includes all fees</t>
  </si>
  <si>
    <t xml:space="preserve">EX-01-008</t>
  </si>
  <si>
    <t xml:space="preserve">Cheapest day next week for the observation deck</t>
  </si>
  <si>
    <t xml:space="preserve">Shows a price calendar for the week with the cheapest days marked</t>
  </si>
  <si>
    <t xml:space="preserve">PriceCalendar, TimeSlots</t>
  </si>
  <si>
    <t xml:space="preserve">Calendar prices can be cached; live price checked before pay</t>
  </si>
  <si>
    <t xml:space="preserve">EX-01-009</t>
  </si>
  <si>
    <t xml:space="preserve">Is there a way to skip the queue at the castle?</t>
  </si>
  <si>
    <t xml:space="preserve">Shows timed-entry or priority tickets only where the product includes them, and what they really include</t>
  </si>
  <si>
    <t xml:space="preserve">ExperienceCard, Compare</t>
  </si>
  <si>
    <t xml:space="preserve">Only says 'priority entry' when the supplier's product says so</t>
  </si>
  <si>
    <t xml:space="preserve">EX-01-010</t>
  </si>
  <si>
    <t xml:space="preserve">Book theme park tickets</t>
  </si>
  <si>
    <t xml:space="preserve">Multi-day</t>
  </si>
  <si>
    <t xml:space="preserve">Theme park passes for a family of four, two or three days?</t>
  </si>
  <si>
    <t xml:space="preserve">Compares one, two and three-day tickets with cost per day</t>
  </si>
  <si>
    <t xml:space="preserve">Compare, Travellers, PriceLines</t>
  </si>
  <si>
    <t xml:space="preserve">Child age bands from the park; age on the day of the visit</t>
  </si>
  <si>
    <t xml:space="preserve">EX-01-011</t>
  </si>
  <si>
    <t xml:space="preserve">Is there a VIP option with ride access for the park?</t>
  </si>
  <si>
    <t xml:space="preserve">Shows premium passes with what each adds and the price difference</t>
  </si>
  <si>
    <t xml:space="preserve">ExperienceCard, Compare, Badge</t>
  </si>
  <si>
    <t xml:space="preserve">Inclusions quoted from the supplier product</t>
  </si>
  <si>
    <t xml:space="preserve">EX-01-012</t>
  </si>
  <si>
    <t xml:space="preserve">My son uses a wheelchair, what can he do there and is there a carer ticket?</t>
  </si>
  <si>
    <t xml:space="preserve">Shows the attraction's access information and carer ticket if offered, and hands to a person to confirm</t>
  </si>
  <si>
    <t xml:space="preserve">Answer, ExperienceCard, Handoff</t>
  </si>
  <si>
    <t xml:space="preserve">Access facts only from the attraction; carer eligibility decided by the attraction</t>
  </si>
  <si>
    <t xml:space="preserve">Carer and companion ticket schemes differ by country (to confirm)</t>
  </si>
  <si>
    <t xml:space="preserve">EX-01-013</t>
  </si>
  <si>
    <t xml:space="preserve">Tickets for 15 of us from the office</t>
  </si>
  <si>
    <t xml:space="preserve">Checks group rates and capacity, hands to a person if over the online limit</t>
  </si>
  <si>
    <t xml:space="preserve">Group size limits and rates from the supplier</t>
  </si>
  <si>
    <t xml:space="preserve">EX-01-014</t>
  </si>
  <si>
    <t xml:space="preserve">Combo</t>
  </si>
  <si>
    <t xml:space="preserve">Is there a pass that covers several sights in Paris?</t>
  </si>
  <si>
    <t xml:space="preserve">Compares a city pass with single tickets for the sights they named</t>
  </si>
  <si>
    <t xml:space="preserve">Pass contents from the supplier; saving shown only on the customer's own list</t>
  </si>
  <si>
    <t xml:space="preserve">EX-01-015</t>
  </si>
  <si>
    <t xml:space="preserve">Slot sold out</t>
  </si>
  <si>
    <t xml:space="preserve">(taps the 11:00 slot)</t>
  </si>
  <si>
    <t xml:space="preserve">Says it has gone and offers the nearest slots that day or the next</t>
  </si>
  <si>
    <t xml:space="preserve">StateCard (soldout), TimeSlots</t>
  </si>
  <si>
    <t xml:space="preserve">Availability from the supplier at that moment</t>
  </si>
  <si>
    <t xml:space="preserve">EX-01-016</t>
  </si>
  <si>
    <t xml:space="preserve">Says the ticket system is not answering, nothing was charged, and offers to try again or send an alert</t>
  </si>
  <si>
    <t xml:space="preserve">StateCard (error), Toggle</t>
  </si>
  <si>
    <t xml:space="preserve">Retry with backoff; switch supplier if the same product is sold elsewhere</t>
  </si>
  <si>
    <t xml:space="preserve">EX-01-017</t>
  </si>
  <si>
    <t xml:space="preserve">Closed that day</t>
  </si>
  <si>
    <t xml:space="preserve">Tickets for the museum on Monday</t>
  </si>
  <si>
    <t xml:space="preserve">Says it is closed on Mondays and offers Tuesday or a similar place open Monday</t>
  </si>
  <si>
    <t xml:space="preserve">StateCard (empty), Rail</t>
  </si>
  <si>
    <t xml:space="preserve">Opening days from the supplier</t>
  </si>
  <si>
    <t xml:space="preserve">EX-01-018</t>
  </si>
  <si>
    <t xml:space="preserve">Buy an annual pass</t>
  </si>
  <si>
    <t xml:space="preserve">Local family</t>
  </si>
  <si>
    <t xml:space="preserve">Is an annual pass worth it for the zoo? We go about four times a year</t>
  </si>
  <si>
    <t xml:space="preserve">Compares the annual pass with four single visits for their family</t>
  </si>
  <si>
    <t xml:space="preserve">Prices from the supplier; saving shown only on the customer's own numbers</t>
  </si>
  <si>
    <t xml:space="preserve">EX-01-019</t>
  </si>
  <si>
    <t xml:space="preserve">Choose between attractions</t>
  </si>
  <si>
    <t xml:space="preserve">Aquarium or zoo with a toddler?</t>
  </si>
  <si>
    <t xml:space="preserve">Compares on what differs: time needed, buggy access, price, indoor or outdoor</t>
  </si>
  <si>
    <t xml:space="preserve">Only facts from the supplier's product pages</t>
  </si>
  <si>
    <t xml:space="preserve">EX-01-020</t>
  </si>
  <si>
    <t xml:space="preserve">Check what the ticket includes</t>
  </si>
  <si>
    <t xml:space="preserve">Does the ticket include the rides and the show?</t>
  </si>
  <si>
    <t xml:space="preserve">Lists what is included and what costs extra</t>
  </si>
  <si>
    <t xml:space="preserve">Answer, ExperienceCard</t>
  </si>
  <si>
    <t xml:space="preserve">Inclusions quoted from supplier product text</t>
  </si>
  <si>
    <t xml:space="preserve">EX-01-021</t>
  </si>
  <si>
    <t xml:space="preserve">Check a discount</t>
  </si>
  <si>
    <t xml:space="preserve">Student or senior</t>
  </si>
  <si>
    <t xml:space="preserve">My daughter is 17, does she get the student price?</t>
  </si>
  <si>
    <t xml:space="preserve">Shows the discount rules and what proof they need at the gate</t>
  </si>
  <si>
    <t xml:space="preserve">Discount eligibility and proof from the supplier</t>
  </si>
  <si>
    <t xml:space="preserve">EX-01-022</t>
  </si>
  <si>
    <t xml:space="preserve">Check reviews</t>
  </si>
  <si>
    <t xml:space="preserve">Is it worth it? What do people say?</t>
  </si>
  <si>
    <t xml:space="preserve">Shows the supplier's rating and a short summary of recent reviews</t>
  </si>
  <si>
    <t xml:space="preserve">Answer, ExperienceCard, Meta</t>
  </si>
  <si>
    <t xml:space="preserve">Ratings from the supplier only; summary must not invent claims</t>
  </si>
  <si>
    <t xml:space="preserve">EX-01-023</t>
  </si>
  <si>
    <t xml:space="preserve">Shows the points total, confirms, and issues the tickets</t>
  </si>
  <si>
    <t xml:space="preserve">Point value from the bank; re-price before pay; spend needs a button with the amount</t>
  </si>
  <si>
    <t xml:space="preserve">EX-01-024</t>
  </si>
  <si>
    <t xml:space="preserve">Use my points and put the rest on the card</t>
  </si>
  <si>
    <t xml:space="preserve">EX-01-025</t>
  </si>
  <si>
    <t xml:space="preserve">Just use points</t>
  </si>
  <si>
    <t xml:space="preserve">Says how many points short and offers points and card</t>
  </si>
  <si>
    <t xml:space="preserve">Balance from the bank ledger</t>
  </si>
  <si>
    <t xml:space="preserve">EX-01-026</t>
  </si>
  <si>
    <t xml:space="preserve">Pay by card</t>
  </si>
  <si>
    <t xml:space="preserve">StateCard (error), PayWith</t>
  </si>
  <si>
    <t xml:space="preserve">No tickets without payment success; no retry without a new yes</t>
  </si>
  <si>
    <t xml:space="preserve">EX-01-027</t>
  </si>
  <si>
    <t xml:space="preserve">Pay at final check</t>
  </si>
  <si>
    <t xml:space="preserve">Stops, shows old and new total, asks again</t>
  </si>
  <si>
    <t xml:space="preserve">Re-price before every payment; never charge more without a new yes</t>
  </si>
  <si>
    <t xml:space="preserve">EX-01-028</t>
  </si>
  <si>
    <t xml:space="preserve">Split the cost</t>
  </si>
  <si>
    <t xml:space="preserve">Friends</t>
  </si>
  <si>
    <t xml:space="preserve">Split the tickets with my sister</t>
  </si>
  <si>
    <t xml:space="preserve">Sends her a request for her share after booking</t>
  </si>
  <si>
    <t xml:space="preserve">Only if the bank supports payment requests</t>
  </si>
  <si>
    <t xml:space="preserve">Payment request rails differ: Faster Payments (UK), SEPA (EU), UPI (IN), PayNow (SG), DuitNow (MY); AE to confirm</t>
  </si>
  <si>
    <t xml:space="preserve">EX-01-029</t>
  </si>
  <si>
    <t xml:space="preserve">Pay in local currency</t>
  </si>
  <si>
    <t xml:space="preserve">Abroad</t>
  </si>
  <si>
    <t xml:space="preserve">Why is it in dirhams?</t>
  </si>
  <si>
    <t xml:space="preserve">Explains the currency, the rate and any foreign fee on this card</t>
  </si>
  <si>
    <t xml:space="preserve">Exchange rate and fees from the bank</t>
  </si>
  <si>
    <t xml:space="preserve">EX-01-030</t>
  </si>
  <si>
    <t xml:space="preserve">Get tickets issued</t>
  </si>
  <si>
    <t xml:space="preserve">Says it is paid and waiting for the supplier to confirm, and will message within the stated time</t>
  </si>
  <si>
    <t xml:space="preserve">Automatic refund if not confirmed in the supplier's set time</t>
  </si>
  <si>
    <t xml:space="preserve">EX-01-031</t>
  </si>
  <si>
    <t xml:space="preserve">Show my tickets</t>
  </si>
  <si>
    <t xml:space="preserve">At the gate</t>
  </si>
  <si>
    <t xml:space="preserve">Where are my tickets?</t>
  </si>
  <si>
    <t xml:space="preserve">Shows the tickets with QR code, bright and offline</t>
  </si>
  <si>
    <t xml:space="preserve">Tickets from the supplier; stored for offline use</t>
  </si>
  <si>
    <t xml:space="preserve">EX-01-032</t>
  </si>
  <si>
    <t xml:space="preserve">Reminder: entry time, what to bring, getting there, weather</t>
  </si>
  <si>
    <t xml:space="preserve">Reminder timing and quiet hours from the customer's settings</t>
  </si>
  <si>
    <t xml:space="preserve">EX-01-033</t>
  </si>
  <si>
    <t xml:space="preserve">Can I move the tickets to Sunday?</t>
  </si>
  <si>
    <t xml:space="preserve">Shows whether the ticket can move, any fee or price difference, and asks to confirm</t>
  </si>
  <si>
    <t xml:space="preserve">Change rules from the supplier; many tickets cannot be changed</t>
  </si>
  <si>
    <t xml:space="preserve">EX-01-034</t>
  </si>
  <si>
    <t xml:space="preserve">Cancel tickets</t>
  </si>
  <si>
    <t xml:space="preserve">Cancel the aquarium tickets</t>
  </si>
  <si>
    <t xml:space="preserve">Shows what comes back and how (points or card), asks to confirm</t>
  </si>
  <si>
    <t xml:space="preserve">Refund amounts from supplier terms only; points go back to the bank ledger</t>
  </si>
  <si>
    <t xml:space="preserve">EX-01-035</t>
  </si>
  <si>
    <t xml:space="preserve">Refund not allowed</t>
  </si>
  <si>
    <t xml:space="preserve">I can't go, can I get my money back?</t>
  </si>
  <si>
    <t xml:space="preserve">Says plainly the ticket is non-refundable and offers a date change if allowed</t>
  </si>
  <si>
    <t xml:space="preserve">Cancellation, StateCard</t>
  </si>
  <si>
    <t xml:space="preserve">Never promises a refund the terms do not allow</t>
  </si>
  <si>
    <t xml:space="preserve">EX-01-036</t>
  </si>
  <si>
    <t xml:space="preserve">Getting there</t>
  </si>
  <si>
    <t xml:space="preserve">Book me a car to the theme park for 9</t>
  </si>
  <si>
    <t xml:space="preserve">Books a ride timed to the entry slot</t>
  </si>
  <si>
    <t xml:space="preserve">Ride price from the ride supplier</t>
  </si>
  <si>
    <t xml:space="preserve">EX-01-037</t>
  </si>
  <si>
    <t xml:space="preserve">Get in at the gate</t>
  </si>
  <si>
    <t xml:space="preserve">Ticket rejected</t>
  </si>
  <si>
    <t xml:space="preserve">They say my QR code doesn't work</t>
  </si>
  <si>
    <t xml:space="preserve">Shows the booking reference and the supplier's help line, raises it with the supplier now, and offers a person</t>
  </si>
  <si>
    <t xml:space="preserve">NEW: TicketWallet, StateCard (error), Handoff</t>
  </si>
  <si>
    <t xml:space="preserve">Supplier confirms validity; refund if not admitted per terms</t>
  </si>
  <si>
    <t xml:space="preserve">EX-01-038</t>
  </si>
  <si>
    <t xml:space="preserve">Get urgent help</t>
  </si>
  <si>
    <t xml:space="preserve">Lost child</t>
  </si>
  <si>
    <t xml:space="preserve">I can't find my son in the park</t>
  </si>
  <si>
    <t xml:space="preserve">Tells them to go to park staff straight away and shows the local emergency number, then offers a person</t>
  </si>
  <si>
    <t xml:space="preserve">Safety cases always go to a person; never delays emergency advice</t>
  </si>
  <si>
    <t xml:space="preserve">Emergency numbers: 999 or 112 (UK), 112 (EU, IN), 999 or 995 (SG), 999 (MY), 999 or 998 (AE) (to confirm)</t>
  </si>
  <si>
    <t xml:space="preserve">EX-01-039</t>
  </si>
  <si>
    <t xml:space="preserve">Get help at the attraction</t>
  </si>
  <si>
    <t xml:space="preserve">Ride closed</t>
  </si>
  <si>
    <t xml:space="preserve">Not as described</t>
  </si>
  <si>
    <t xml:space="preserve">Half the rides are shut today</t>
  </si>
  <si>
    <t xml:space="preserve">Checks the supplier's closure notice and the refund terms, and logs a claim</t>
  </si>
  <si>
    <t xml:space="preserve">Answer, StateCard, Handoff</t>
  </si>
  <si>
    <t xml:space="preserve">Partial refund decided by the supplier's terms</t>
  </si>
  <si>
    <t xml:space="preserve">EX-01-040</t>
  </si>
  <si>
    <t xml:space="preserve">Attraction closed on the day</t>
  </si>
  <si>
    <t xml:space="preserve">Weather</t>
  </si>
  <si>
    <t xml:space="preserve">Tells them the attraction has closed, and offers another date or a refund</t>
  </si>
  <si>
    <t xml:space="preserve">StateCard, TimeSlots, ConfirmSheet</t>
  </si>
  <si>
    <t xml:space="preserve">Refund or rebook options from supplier terms</t>
  </si>
  <si>
    <t xml:space="preserve">EX-01-041</t>
  </si>
  <si>
    <t xml:space="preserve">Check my refund</t>
  </si>
  <si>
    <t xml:space="preserve">Cancelled tickets</t>
  </si>
  <si>
    <t xml:space="preserve">Where's my refund for the museum?</t>
  </si>
  <si>
    <t xml:space="preserve">Shows the refund state and when it should land</t>
  </si>
  <si>
    <t xml:space="preserve">EX-01-042</t>
  </si>
  <si>
    <t xml:space="preserve">Rate the visit</t>
  </si>
  <si>
    <t xml:space="preserve">Optional; never required</t>
  </si>
  <si>
    <t xml:space="preserve">EX-01-043</t>
  </si>
  <si>
    <t xml:space="preserve">We queued two hours even with priority tickets</t>
  </si>
  <si>
    <t xml:space="preserve">Listens, logs the complaint with the booking, hands to a person</t>
  </si>
  <si>
    <t xml:space="preserve">Complaint handling set by the bank; refund decided by the supplier</t>
  </si>
  <si>
    <t xml:space="preserve">Complaint timelines differ by regulator and bank</t>
  </si>
  <si>
    <t xml:space="preserve">EX-01-044</t>
  </si>
  <si>
    <t xml:space="preserve">Check points earned</t>
  </si>
  <si>
    <t xml:space="preserve">Did I earn points on the tickets?</t>
  </si>
  <si>
    <t xml:space="preserve">Shows points earned from the booking</t>
  </si>
  <si>
    <t xml:space="preserve">TransactionRow</t>
  </si>
  <si>
    <t xml:space="preserve">EX-01-045</t>
  </si>
  <si>
    <t xml:space="preserve">Duplicate charge</t>
  </si>
  <si>
    <t xml:space="preserve">I've been charged twice for the tickets</t>
  </si>
  <si>
    <t xml:space="preserve">Disputes: Section 75 and chargeback (UK), chargeback elsewhere; rules and timelines set by the bank</t>
  </si>
  <si>
    <t xml:space="preserve">EX-02-001</t>
  </si>
  <si>
    <t xml:space="preserve">Find a day trip</t>
  </si>
  <si>
    <t xml:space="preserve">Best day trip from Kyoto?</t>
  </si>
  <si>
    <t xml:space="preserve">Suggests three day trips with duration, pickup and price, and the reason for each</t>
  </si>
  <si>
    <t xml:space="preserve">Answer, Rail, ExperienceCard</t>
  </si>
  <si>
    <t xml:space="preserve">Only products the supplier can sell for the trip dates</t>
  </si>
  <si>
    <t xml:space="preserve">EX-02-002</t>
  </si>
  <si>
    <t xml:space="preserve">Use a long layover</t>
  </si>
  <si>
    <t xml:space="preserve">Spots a 9-hour layover and offers a short city tour that gets them back in time</t>
  </si>
  <si>
    <t xml:space="preserve">Moment, ExperienceCard, Itinerary</t>
  </si>
  <si>
    <t xml:space="preserve">Return time must leave the airline's check-in buffer; visa need flagged from an official source</t>
  </si>
  <si>
    <t xml:space="preserve">Transit visa rules differ by passport (to confirm per route)</t>
  </si>
  <si>
    <t xml:space="preserve">EX-02-003</t>
  </si>
  <si>
    <t xml:space="preserve">Find a tour</t>
  </si>
  <si>
    <t xml:space="preserve">Interest</t>
  </si>
  <si>
    <t xml:space="preserve">A food tour in Old Delhi</t>
  </si>
  <si>
    <t xml:space="preserve">Shows food tours with what is tasted, group size and dietary notes</t>
  </si>
  <si>
    <t xml:space="preserve">Content from the supplier product</t>
  </si>
  <si>
    <t xml:space="preserve">Vegetarian and Jain options matter in IN</t>
  </si>
  <si>
    <t xml:space="preserve">EX-02-004</t>
  </si>
  <si>
    <t xml:space="preserve">A food tour in Kuala Lumpur, halal only</t>
  </si>
  <si>
    <t xml:space="preserve">Filters to tours where the supplier states all food is halal</t>
  </si>
  <si>
    <t xml:space="preserve">Halal claim must come from the supplier; never assumed</t>
  </si>
  <si>
    <t xml:space="preserve">Halal filter matters in MY and AE, and for many in SG, UK, IN; source must be the venue's own certification</t>
  </si>
  <si>
    <t xml:space="preserve">EX-02-005</t>
  </si>
  <si>
    <t xml:space="preserve">Book a tour</t>
  </si>
  <si>
    <t xml:space="preserve">The Stonehenge day trip for two on the 14th</t>
  </si>
  <si>
    <t xml:space="preserve">Shows departures on the 14th, pickup points and the full total</t>
  </si>
  <si>
    <t xml:space="preserve">Live availability and price from the supplier</t>
  </si>
  <si>
    <t xml:space="preserve">EX-02-006</t>
  </si>
  <si>
    <t xml:space="preserve">A private guide for the Old City, just us</t>
  </si>
  <si>
    <t xml:space="preserve">Shows private tours with guide language, length and price per group</t>
  </si>
  <si>
    <t xml:space="preserve">Private or shared status from the supplier</t>
  </si>
  <si>
    <t xml:space="preserve">EX-02-007</t>
  </si>
  <si>
    <t xml:space="preserve">A guide who speaks Hindi</t>
  </si>
  <si>
    <t xml:space="preserve">Filters to tours offering that language and says if it is guaranteed or on request</t>
  </si>
  <si>
    <t xml:space="preserve">FilterBar, ExperienceCard</t>
  </si>
  <si>
    <t xml:space="preserve">Language availability from the supplier</t>
  </si>
  <si>
    <t xml:space="preserve">EX-02-008</t>
  </si>
  <si>
    <t xml:space="preserve">Hotel pickup</t>
  </si>
  <si>
    <t xml:space="preserve">Can they pick us up from the hotel?</t>
  </si>
  <si>
    <t xml:space="preserve">Checks if the hotel is in the pickup zone and shares the address with the supplier after a yes</t>
  </si>
  <si>
    <t xml:space="preserve">ExperienceCard, StateCard, ConfirmSheet</t>
  </si>
  <si>
    <t xml:space="preserve">Pickup zone from the supplier; address shared only with consent</t>
  </si>
  <si>
    <t xml:space="preserve">EX-02-009</t>
  </si>
  <si>
    <t xml:space="preserve">My mother can't walk far, is this tour OK?</t>
  </si>
  <si>
    <t xml:space="preserve">Shows walking distance and access facts, and hands to a person to confirm with the operator</t>
  </si>
  <si>
    <t xml:space="preserve">Access facts from the operator only</t>
  </si>
  <si>
    <t xml:space="preserve">EX-02-010</t>
  </si>
  <si>
    <t xml:space="preserve">A private boat trip for 20 people</t>
  </si>
  <si>
    <t xml:space="preserve">Checks capacity and hands to a person for a group quote</t>
  </si>
  <si>
    <t xml:space="preserve">Capacity and group price from the operator</t>
  </si>
  <si>
    <t xml:space="preserve">EX-02-011</t>
  </si>
  <si>
    <t xml:space="preserve">Book a multi-day tour</t>
  </si>
  <si>
    <t xml:space="preserve">Several days</t>
  </si>
  <si>
    <t xml:space="preserve">A 3-day tour of the Scottish Highlands</t>
  </si>
  <si>
    <t xml:space="preserve">Shows multi-day tours with what is included each day, stays and meals</t>
  </si>
  <si>
    <t xml:space="preserve">ExperienceCard, Itinerary, Compare</t>
  </si>
  <si>
    <t xml:space="preserve">Inclusions from the supplier; package rules flagged if a stay is included</t>
  </si>
  <si>
    <t xml:space="preserve">UK and EU package travel rules may apply when a stay is included (to confirm)</t>
  </si>
  <si>
    <t xml:space="preserve">EX-02-012</t>
  </si>
  <si>
    <t xml:space="preserve">Adventure</t>
  </si>
  <si>
    <t xml:space="preserve">Desert safari with dune driving tomorrow</t>
  </si>
  <si>
    <t xml:space="preserve">Shows safaris with age limits, health warnings from the operator and pickup times</t>
  </si>
  <si>
    <t xml:space="preserve">ExperienceCard, TimeSlots, Answer</t>
  </si>
  <si>
    <t xml:space="preserve">Age limits and safety warnings from the operator, shown before pay</t>
  </si>
  <si>
    <t xml:space="preserve">Very popular in AE; operator licensing to confirm</t>
  </si>
  <si>
    <t xml:space="preserve">EX-02-013</t>
  </si>
  <si>
    <t xml:space="preserve">(taps the tour)</t>
  </si>
  <si>
    <t xml:space="preserve">Says it has gone and offers a similar tour or another date</t>
  </si>
  <si>
    <t xml:space="preserve">StateCard (soldout), Rail</t>
  </si>
  <si>
    <t xml:space="preserve">EX-02-014</t>
  </si>
  <si>
    <t xml:space="preserve">Shows old and new price and asks to continue</t>
  </si>
  <si>
    <t xml:space="preserve">EX-02-015</t>
  </si>
  <si>
    <t xml:space="preserve">Choose between tours</t>
  </si>
  <si>
    <t xml:space="preserve">Which is better, the half-day or the full-day?</t>
  </si>
  <si>
    <t xml:space="preserve">Compares on what differs: stops, time, group size, lunch, price</t>
  </si>
  <si>
    <t xml:space="preserve">Only facts from the products</t>
  </si>
  <si>
    <t xml:space="preserve">EX-02-016</t>
  </si>
  <si>
    <t xml:space="preserve">Check cancellation terms</t>
  </si>
  <si>
    <t xml:space="preserve">Can I cancel if it rains?</t>
  </si>
  <si>
    <t xml:space="preserve">Shows the tour's cancellation terms in plain words, including weather rules</t>
  </si>
  <si>
    <t xml:space="preserve">Terms from the supplier, never guessed</t>
  </si>
  <si>
    <t xml:space="preserve">EX-02-017</t>
  </si>
  <si>
    <t xml:space="preserve">Points for most of it, rest on the card</t>
  </si>
  <si>
    <t xml:space="preserve">Minimum card part set by the bank; re-price before pay</t>
  </si>
  <si>
    <t xml:space="preserve">EX-02-018</t>
  </si>
  <si>
    <t xml:space="preserve">All on points please</t>
  </si>
  <si>
    <t xml:space="preserve">Shows the points total, confirms, sends the voucher</t>
  </si>
  <si>
    <t xml:space="preserve">EX-02-019</t>
  </si>
  <si>
    <t xml:space="preserve">Understand extra charges</t>
  </si>
  <si>
    <t xml:space="preserve">Pay on the day</t>
  </si>
  <si>
    <t xml:space="preserve">Is there anything else to pay on the day?</t>
  </si>
  <si>
    <t xml:space="preserve">Lists any local fees the operator collects on the day, like park entry</t>
  </si>
  <si>
    <t xml:space="preserve">PriceLines, Answer</t>
  </si>
  <si>
    <t xml:space="preserve">Pay-on-the-day items from the supplier shown before pay</t>
  </si>
  <si>
    <t xml:space="preserve">EX-02-020</t>
  </si>
  <si>
    <t xml:space="preserve">Pay for the tour</t>
  </si>
  <si>
    <t xml:space="preserve">EX-02-021</t>
  </si>
  <si>
    <t xml:space="preserve">Overseas package</t>
  </si>
  <si>
    <t xml:space="preserve">Book the 5-day tour in Bali</t>
  </si>
  <si>
    <t xml:space="preserve">Shows the total including any tax the bank must collect</t>
  </si>
  <si>
    <t xml:space="preserve">Tax lines from the bank and supplier</t>
  </si>
  <si>
    <t xml:space="preserve">IN: tax collected at source may apply to overseas tour packages (to confirm)</t>
  </si>
  <si>
    <t xml:space="preserve">EX-02-022</t>
  </si>
  <si>
    <t xml:space="preserve">Meeting point</t>
  </si>
  <si>
    <t xml:space="preserve">Get me to the meeting point for 8</t>
  </si>
  <si>
    <t xml:space="preserve">Books a ride timed to the tour start</t>
  </si>
  <si>
    <t xml:space="preserve">EX-02-023</t>
  </si>
  <si>
    <t xml:space="preserve">Add lunch and the boat ride</t>
  </si>
  <si>
    <t xml:space="preserve">Adds the operator's optional extras and updates the total</t>
  </si>
  <si>
    <t xml:space="preserve">PriceLines, Toggle</t>
  </si>
  <si>
    <t xml:space="preserve">Extras and prices from the supplier</t>
  </si>
  <si>
    <t xml:space="preserve">EX-02-024</t>
  </si>
  <si>
    <t xml:space="preserve">Find the meeting point</t>
  </si>
  <si>
    <t xml:space="preserve">Day of tour</t>
  </si>
  <si>
    <t xml:space="preserve">Where do we meet?</t>
  </si>
  <si>
    <t xml:space="preserve">Shows the meeting point on a map with a photo and walking time</t>
  </si>
  <si>
    <t xml:space="preserve">NEW: Map, Answer</t>
  </si>
  <si>
    <t xml:space="preserve">Meeting point from the supplier</t>
  </si>
  <si>
    <t xml:space="preserve">EX-02-025</t>
  </si>
  <si>
    <t xml:space="preserve">Reminder with pickup time, meeting point, what to wear and bring</t>
  </si>
  <si>
    <t xml:space="preserve">Quiet hours respected</t>
  </si>
  <si>
    <t xml:space="preserve">EX-02-026</t>
  </si>
  <si>
    <t xml:space="preserve">Move the tour to Thursday</t>
  </si>
  <si>
    <t xml:space="preserve">Checks Thursday, shows any fee or difference, asks to confirm</t>
  </si>
  <si>
    <t xml:space="preserve">Change rules from the supplier</t>
  </si>
  <si>
    <t xml:space="preserve">EX-02-027</t>
  </si>
  <si>
    <t xml:space="preserve">Cancel a tour</t>
  </si>
  <si>
    <t xml:space="preserve">Cancel the day trip</t>
  </si>
  <si>
    <t xml:space="preserve">Shows what comes back and asks to confirm</t>
  </si>
  <si>
    <t xml:space="preserve">Refund amounts from supplier terms only</t>
  </si>
  <si>
    <t xml:space="preserve">EX-02-028</t>
  </si>
  <si>
    <t xml:space="preserve">Traffic</t>
  </si>
  <si>
    <t xml:space="preserve">We're 10 minutes late for the pickup</t>
  </si>
  <si>
    <t xml:space="preserve">Messages the operator if they have a channel and tells the customer what the operator says</t>
  </si>
  <si>
    <t xml:space="preserve">Toast, StateCard</t>
  </si>
  <si>
    <t xml:space="preserve">Late policy from the supplier; never promises they will wait</t>
  </si>
  <si>
    <t xml:space="preserve">EX-02-029</t>
  </si>
  <si>
    <t xml:space="preserve">Guide did not show</t>
  </si>
  <si>
    <t xml:space="preserve">At meeting point</t>
  </si>
  <si>
    <t xml:space="preserve">No-show by supplier</t>
  </si>
  <si>
    <t xml:space="preserve">Nobody's here and it's 15 minutes past start</t>
  </si>
  <si>
    <t xml:space="preserve">Calls the operator's line, shows what happened, and starts a refund claim or hands to a person</t>
  </si>
  <si>
    <t xml:space="preserve">StateCard (error), Handoff</t>
  </si>
  <si>
    <t xml:space="preserve">Refund when the operator fails to show, per terms</t>
  </si>
  <si>
    <t xml:space="preserve">EX-02-030</t>
  </si>
  <si>
    <t xml:space="preserve">Injury on tour</t>
  </si>
  <si>
    <t xml:space="preserve">Someone in our group has fallen and hurt their leg</t>
  </si>
  <si>
    <t xml:space="preserve">Shows the local emergency number first, then logs it and hands to a person</t>
  </si>
  <si>
    <t xml:space="preserve">Safety cases always go to a person</t>
  </si>
  <si>
    <t xml:space="preserve">Local emergency numbers differ per country (to confirm)</t>
  </si>
  <si>
    <t xml:space="preserve">EX-02-031</t>
  </si>
  <si>
    <t xml:space="preserve">Tour cancelled</t>
  </si>
  <si>
    <t xml:space="preserve">Tells them the operator cancelled, and offers a full refund or another date</t>
  </si>
  <si>
    <t xml:space="preserve">Full refund when the operator cancels, per supplier terms</t>
  </si>
  <si>
    <t xml:space="preserve">EX-02-032</t>
  </si>
  <si>
    <t xml:space="preserve">Too few people</t>
  </si>
  <si>
    <t xml:space="preserve">Explains the tour did not reach its minimum, offers a refund or a similar tour</t>
  </si>
  <si>
    <t xml:space="preserve">Minimum numbers rule from the supplier</t>
  </si>
  <si>
    <t xml:space="preserve">EX-02-033</t>
  </si>
  <si>
    <t xml:space="preserve">Tip the guide</t>
  </si>
  <si>
    <t xml:space="preserve">Great tour</t>
  </si>
  <si>
    <t xml:space="preserve">Can I tip the guide through you?</t>
  </si>
  <si>
    <t xml:space="preserve">Says whether tipping is supported for this tour; if not, says so plainly</t>
  </si>
  <si>
    <t xml:space="preserve">Only if the supplier accepts tips through its tools</t>
  </si>
  <si>
    <t xml:space="preserve">Tipping norms differ by country</t>
  </si>
  <si>
    <t xml:space="preserve">EX-02-034</t>
  </si>
  <si>
    <t xml:space="preserve">The tour skipped two of the stops</t>
  </si>
  <si>
    <t xml:space="preserve">Logs the complaint with the booking and hands to a person</t>
  </si>
  <si>
    <t xml:space="preserve">Refund decided by the supplier; complaint handling by the bank</t>
  </si>
  <si>
    <t xml:space="preserve">EX-02-035</t>
  </si>
  <si>
    <t xml:space="preserve">Rate the tour</t>
  </si>
  <si>
    <t xml:space="preserve">Optional</t>
  </si>
  <si>
    <t xml:space="preserve">EX-03-001</t>
  </si>
  <si>
    <t xml:space="preserve">Browse experiences for points</t>
  </si>
  <si>
    <t xml:space="preserve">What experiences can I get with my points?</t>
  </si>
  <si>
    <t xml:space="preserve">Shows curated experiences the balance covers, with points price and where</t>
  </si>
  <si>
    <t xml:space="preserve">Catalogue and points prices from the programme; balance from the bank</t>
  </si>
  <si>
    <t xml:space="preserve">Live with ICICI in IN; other markets and banks to confirm</t>
  </si>
  <si>
    <t xml:space="preserve">EX-03-002</t>
  </si>
  <si>
    <t xml:space="preserve">Occasion</t>
  </si>
  <si>
    <t xml:space="preserve">Something special for our anniversary, around 50,000 points</t>
  </si>
  <si>
    <t xml:space="preserve">Suggests three experiences for couples within the points budget</t>
  </si>
  <si>
    <t xml:space="preserve">Only live catalogue items</t>
  </si>
  <si>
    <t xml:space="preserve">EX-03-003</t>
  </si>
  <si>
    <t xml:space="preserve">Anything in Singapore for when I'm there in December?</t>
  </si>
  <si>
    <t xml:space="preserve">Shows experiences in that city available on those dates</t>
  </si>
  <si>
    <t xml:space="preserve">Date availability from the programme partner</t>
  </si>
  <si>
    <t xml:space="preserve">EX-03-004</t>
  </si>
  <si>
    <t xml:space="preserve">Use expiring points</t>
  </si>
  <si>
    <t xml:space="preserve">Warns that points expire soon and shows three experiences they fully cover</t>
  </si>
  <si>
    <t xml:space="preserve">StickyNote, Rail, ExperienceCard</t>
  </si>
  <si>
    <t xml:space="preserve">EX-03-005</t>
  </si>
  <si>
    <t xml:space="preserve">See tier-only experiences</t>
  </si>
  <si>
    <t xml:space="preserve">Premium card</t>
  </si>
  <si>
    <t xml:space="preserve">Are there experiences just for my card?</t>
  </si>
  <si>
    <t xml:space="preserve">Shows experiences the card tier can book and says why others are locked</t>
  </si>
  <si>
    <t xml:space="preserve">Rail, ExperienceCard, Badge</t>
  </si>
  <si>
    <t xml:space="preserve">Eligibility from the bank by card tier</t>
  </si>
  <si>
    <t xml:space="preserve">EX-03-006</t>
  </si>
  <si>
    <t xml:space="preserve">Check what is included</t>
  </si>
  <si>
    <t xml:space="preserve">Does the hot air balloon include pickup?</t>
  </si>
  <si>
    <t xml:space="preserve">Lists what is included, what is not, and the fine print</t>
  </si>
  <si>
    <t xml:space="preserve">Inclusions quoted from the programme</t>
  </si>
  <si>
    <t xml:space="preserve">EX-03-007</t>
  </si>
  <si>
    <t xml:space="preserve">Choose a date</t>
  </si>
  <si>
    <t xml:space="preserve">The wine tasting on 12 October, two people</t>
  </si>
  <si>
    <t xml:space="preserve">Shows slots on that date or says it is on request</t>
  </si>
  <si>
    <t xml:space="preserve">TimeSlots, Travellers</t>
  </si>
  <si>
    <t xml:space="preserve">Some items confirm on request; the card says which</t>
  </si>
  <si>
    <t xml:space="preserve">EX-03-008</t>
  </si>
  <si>
    <t xml:space="preserve">Redeem points</t>
  </si>
  <si>
    <t xml:space="preserve">Book it with my points</t>
  </si>
  <si>
    <t xml:space="preserve">Shows the points total and terms, confirms, and debits points</t>
  </si>
  <si>
    <t xml:space="preserve">Point value and debit from the bank; spend needs a button with the amount</t>
  </si>
  <si>
    <t xml:space="preserve">EX-03-009</t>
  </si>
  <si>
    <t xml:space="preserve">Redeem points and card</t>
  </si>
  <si>
    <t xml:space="preserve">I'm a bit short, can I pay the rest by card?</t>
  </si>
  <si>
    <t xml:space="preserve">Offers points plus card if the programme allows, or shows how far short they are</t>
  </si>
  <si>
    <t xml:space="preserve">PayWith, PointsSlider, StateCard</t>
  </si>
  <si>
    <t xml:space="preserve">Points-plus-card allowed only if the programme allows (to confirm)</t>
  </si>
  <si>
    <t xml:space="preserve">EX-03-010</t>
  </si>
  <si>
    <t xml:space="preserve">Book the spa day</t>
  </si>
  <si>
    <t xml:space="preserve">Says how many points short and shows cheaper options they can afford</t>
  </si>
  <si>
    <t xml:space="preserve">EX-03-011</t>
  </si>
  <si>
    <t xml:space="preserve">Book an overseas experience</t>
  </si>
  <si>
    <t xml:space="preserve">Book the Dubai desert dinner with points</t>
  </si>
  <si>
    <t xml:space="preserve">Shows the points price and any tax lines, then confirms</t>
  </si>
  <si>
    <t xml:space="preserve">Tax lines from the bank</t>
  </si>
  <si>
    <t xml:space="preserve">EX-03-012</t>
  </si>
  <si>
    <t xml:space="preserve">Wait for confirmation</t>
  </si>
  <si>
    <t xml:space="preserve">On request</t>
  </si>
  <si>
    <t xml:space="preserve">Says the partner is confirming, points are held, and gives the time they will hear by</t>
  </si>
  <si>
    <t xml:space="preserve">Points held, not lost; released if not confirmed in the set time (to confirm with programme)</t>
  </si>
  <si>
    <t xml:space="preserve">EX-03-013</t>
  </si>
  <si>
    <t xml:space="preserve">Get the voucher</t>
  </si>
  <si>
    <t xml:space="preserve">Confirmed</t>
  </si>
  <si>
    <t xml:space="preserve">Where's my voucher for the balloon ride?</t>
  </si>
  <si>
    <t xml:space="preserve">Shows the voucher, reference and how to use it</t>
  </si>
  <si>
    <t xml:space="preserve">NEW: TicketWallet, Receipt</t>
  </si>
  <si>
    <t xml:space="preserve">Voucher from the partner</t>
  </si>
  <si>
    <t xml:space="preserve">EX-03-014</t>
  </si>
  <si>
    <t xml:space="preserve">Book a date on an open voucher</t>
  </si>
  <si>
    <t xml:space="preserve">Open date</t>
  </si>
  <si>
    <t xml:space="preserve">I want to use my experience voucher on the 20th</t>
  </si>
  <si>
    <t xml:space="preserve">Checks the 20th with the partner and confirms</t>
  </si>
  <si>
    <t xml:space="preserve">TimeSlots, StateCard</t>
  </si>
  <si>
    <t xml:space="preserve">Voucher terms and expiry from the programme</t>
  </si>
  <si>
    <t xml:space="preserve">EX-03-015</t>
  </si>
  <si>
    <t xml:space="preserve">Voucher expiring</t>
  </si>
  <si>
    <t xml:space="preserve">Reminds them the voucher expires soon and offers to book a date</t>
  </si>
  <si>
    <t xml:space="preserve">StickyNote, TimeSlots</t>
  </si>
  <si>
    <t xml:space="preserve">Expiry from the programme</t>
  </si>
  <si>
    <t xml:space="preserve">EX-03-016</t>
  </si>
  <si>
    <t xml:space="preserve">Can I move it to next month?</t>
  </si>
  <si>
    <t xml:space="preserve">Shows if a change is allowed and any points cost, asks to confirm</t>
  </si>
  <si>
    <t xml:space="preserve">Change rules from the programme</t>
  </si>
  <si>
    <t xml:space="preserve">EX-03-017</t>
  </si>
  <si>
    <t xml:space="preserve">Cancel and get points back</t>
  </si>
  <si>
    <t xml:space="preserve">Cancel the experience and give me my points back</t>
  </si>
  <si>
    <t xml:space="preserve">Shows how many points come back and when, asks to confirm</t>
  </si>
  <si>
    <t xml:space="preserve">Points refund from programme terms only</t>
  </si>
  <si>
    <t xml:space="preserve">EX-03-018</t>
  </si>
  <si>
    <t xml:space="preserve">Gift an experience</t>
  </si>
  <si>
    <t xml:space="preserve">For someone else</t>
  </si>
  <si>
    <t xml:space="preserve">Can I give this to my parents?</t>
  </si>
  <si>
    <t xml:space="preserve">Books it in their names or sends a gift voucher, with a message</t>
  </si>
  <si>
    <t xml:space="preserve">SendTo, ConfirmSheet</t>
  </si>
  <si>
    <t xml:space="preserve">Name changes and gifting rules from the programme; recipient details shared only with consent</t>
  </si>
  <si>
    <t xml:space="preserve">EX-03-019</t>
  </si>
  <si>
    <t xml:space="preserve">Redeem at the venue</t>
  </si>
  <si>
    <t xml:space="preserve">At the venue</t>
  </si>
  <si>
    <t xml:space="preserve">Voucher not accepted</t>
  </si>
  <si>
    <t xml:space="preserve">The venue says they don't have my booking</t>
  </si>
  <si>
    <t xml:space="preserve">Shows the voucher and reference, contacts the partner, and hands to a person</t>
  </si>
  <si>
    <t xml:space="preserve">Partner confirms; points returned if not honoured</t>
  </si>
  <si>
    <t xml:space="preserve">EX-03-020</t>
  </si>
  <si>
    <t xml:space="preserve">Experience not available</t>
  </si>
  <si>
    <t xml:space="preserve">Declined by partner</t>
  </si>
  <si>
    <t xml:space="preserve">Tells them the partner could not confirm, returns the points, and suggests close alternatives</t>
  </si>
  <si>
    <t xml:space="preserve">Points go back automatically; timing from the bank</t>
  </si>
  <si>
    <t xml:space="preserve">EX-03-021</t>
  </si>
  <si>
    <t xml:space="preserve">The experience was nothing like the photos</t>
  </si>
  <si>
    <t xml:space="preserve">Points refund decided under programme terms</t>
  </si>
  <si>
    <t xml:space="preserve">EX-03-022</t>
  </si>
  <si>
    <t xml:space="preserve">Rate the experience</t>
  </si>
  <si>
    <t xml:space="preserve">One-tap rating that shapes future picks</t>
  </si>
  <si>
    <t xml:space="preserve">EX-03-023</t>
  </si>
  <si>
    <t xml:space="preserve">Check points returned</t>
  </si>
  <si>
    <t xml:space="preserve">Cancelled</t>
  </si>
  <si>
    <t xml:space="preserve">Have my points come back?</t>
  </si>
  <si>
    <t xml:space="preserve">Shows the points credit on the ledger</t>
  </si>
  <si>
    <t xml:space="preserve">EX-04-001</t>
  </si>
  <si>
    <t xml:space="preserve">Find a class</t>
  </si>
  <si>
    <t xml:space="preserve">On holiday</t>
  </si>
  <si>
    <t xml:space="preserve">A cooking class in Bangkok on Tuesday</t>
  </si>
  <si>
    <t xml:space="preserve">Shows cooking classes that day with what you make, length and price</t>
  </si>
  <si>
    <t xml:space="preserve">Only classes the partner can sell</t>
  </si>
  <si>
    <t xml:space="preserve">EX-04-002</t>
  </si>
  <si>
    <t xml:space="preserve">At home</t>
  </si>
  <si>
    <t xml:space="preserve">A pottery class near me this weekend</t>
  </si>
  <si>
    <t xml:space="preserve">Shows nearby classes with open spaces this weekend</t>
  </si>
  <si>
    <t xml:space="preserve">Location only with permission</t>
  </si>
  <si>
    <t xml:space="preserve">EX-04-003</t>
  </si>
  <si>
    <t xml:space="preserve">Beginner</t>
  </si>
  <si>
    <t xml:space="preserve">I've never played golf, somewhere to learn</t>
  </si>
  <si>
    <t xml:space="preserve">Filters to beginner lessons and says what equipment is provided</t>
  </si>
  <si>
    <t xml:space="preserve">Level and equipment from the partner</t>
  </si>
  <si>
    <t xml:space="preserve">EX-04-004</t>
  </si>
  <si>
    <t xml:space="preserve">For kids</t>
  </si>
  <si>
    <t xml:space="preserve">A holiday football camp for my 10-year-old</t>
  </si>
  <si>
    <t xml:space="preserve">Shows camps for that age with times, supervision details and price</t>
  </si>
  <si>
    <t xml:space="preserve">Age limits and supervision facts from the partner</t>
  </si>
  <si>
    <t xml:space="preserve">EX-04-005</t>
  </si>
  <si>
    <t xml:space="preserve">An online watercolour workshop</t>
  </si>
  <si>
    <t xml:space="preserve">Shows live online classes with time in the customer's time zone</t>
  </si>
  <si>
    <t xml:space="preserve">Time zone from the device</t>
  </si>
  <si>
    <t xml:space="preserve">EX-04-006</t>
  </si>
  <si>
    <t xml:space="preserve">Book a class</t>
  </si>
  <si>
    <t xml:space="preserve">Two places on the Saturday sushi class</t>
  </si>
  <si>
    <t xml:space="preserve">Shows the Saturday session, places left and the total</t>
  </si>
  <si>
    <t xml:space="preserve">Places and price from the partner</t>
  </si>
  <si>
    <t xml:space="preserve">EX-04-007</t>
  </si>
  <si>
    <t xml:space="preserve">Book a private lesson</t>
  </si>
  <si>
    <t xml:space="preserve">A private tennis lesson at 7am tomorrow</t>
  </si>
  <si>
    <t xml:space="preserve">Shows coaches free at that time with price per hour</t>
  </si>
  <si>
    <t xml:space="preserve">Coach availability from the partner</t>
  </si>
  <si>
    <t xml:space="preserve">EX-04-008</t>
  </si>
  <si>
    <t xml:space="preserve">Book a course</t>
  </si>
  <si>
    <t xml:space="preserve">Several sessions</t>
  </si>
  <si>
    <t xml:space="preserve">A six-week beginner's Spanish course</t>
  </si>
  <si>
    <t xml:space="preserve">Shows course dates, all sessions and the full price</t>
  </si>
  <si>
    <t xml:space="preserve">ExperienceCard, Itinerary, PriceLines</t>
  </si>
  <si>
    <t xml:space="preserve">Course dates and missed-session rules from the partner</t>
  </si>
  <si>
    <t xml:space="preserve">EX-04-009</t>
  </si>
  <si>
    <t xml:space="preserve">Book a team class</t>
  </si>
  <si>
    <t xml:space="preserve">A cocktail-making class for 12 from work</t>
  </si>
  <si>
    <t xml:space="preserve">Checks group capacity and pricing, and hands to a person for a quote</t>
  </si>
  <si>
    <t xml:space="preserve">Group price and minimum numbers from the partner</t>
  </si>
  <si>
    <t xml:space="preserve">Alcohol rules differ: licensed venues only in AE (emirate rules, to confirm), state rules in IN, restricted in MY; minimum age per market (to confirm)</t>
  </si>
  <si>
    <t xml:space="preserve">EX-04-010</t>
  </si>
  <si>
    <t xml:space="preserve">A cooking class, but I have a nut allergy</t>
  </si>
  <si>
    <t xml:space="preserve">Shows the partner's allergy policy and passes the note on only with their yes</t>
  </si>
  <si>
    <t xml:space="preserve">Answer, ExperienceCard, ConfirmSheet</t>
  </si>
  <si>
    <t xml:space="preserve">Allergy info passed to the partner only with consent and not kept after the booking; the partner decides if it can cater</t>
  </si>
  <si>
    <t xml:space="preserve">EX-04-011</t>
  </si>
  <si>
    <t xml:space="preserve">Class full</t>
  </si>
  <si>
    <t xml:space="preserve">(taps the class)</t>
  </si>
  <si>
    <t xml:space="preserve">Says it is full and offers the next session or a waitlist</t>
  </si>
  <si>
    <t xml:space="preserve">StateCard (soldout), TimeSlots, Toggle</t>
  </si>
  <si>
    <t xml:space="preserve">EX-04-012</t>
  </si>
  <si>
    <t xml:space="preserve">Check what to bring</t>
  </si>
  <si>
    <t xml:space="preserve">What do I need to bring to surf lessons?</t>
  </si>
  <si>
    <t xml:space="preserve">Lists what is provided and what to bring</t>
  </si>
  <si>
    <t xml:space="preserve">From the partner</t>
  </si>
  <si>
    <t xml:space="preserve">EX-04-013</t>
  </si>
  <si>
    <t xml:space="preserve">Agree safety terms</t>
  </si>
  <si>
    <t xml:space="preserve">Adventure sport</t>
  </si>
  <si>
    <t xml:space="preserve">Book the climbing session</t>
  </si>
  <si>
    <t xml:space="preserve">Shows the partner's safety terms and health declaration and asks them to accept</t>
  </si>
  <si>
    <t xml:space="preserve">NEW: Waiver, ConfirmSheet</t>
  </si>
  <si>
    <t xml:space="preserve">Terms from the partner; acceptance recorded; health answers go to the partner, not kept</t>
  </si>
  <si>
    <t xml:space="preserve">EX-04-014</t>
  </si>
  <si>
    <t xml:space="preserve">Shows the points total, confirms and books</t>
  </si>
  <si>
    <t xml:space="preserve">Point value from the bank; re-price before pay</t>
  </si>
  <si>
    <t xml:space="preserve">EX-04-015</t>
  </si>
  <si>
    <t xml:space="preserve">Use my points and the rest on card</t>
  </si>
  <si>
    <t xml:space="preserve">EX-04-016</t>
  </si>
  <si>
    <t xml:space="preserve">Pay for a class</t>
  </si>
  <si>
    <t xml:space="preserve">Says nothing was booked and offers another way to pay</t>
  </si>
  <si>
    <t xml:space="preserve">EX-04-017</t>
  </si>
  <si>
    <t xml:space="preserve">I need an invoice for the team class</t>
  </si>
  <si>
    <t xml:space="preserve">Captures company details and sends the partner's invoice</t>
  </si>
  <si>
    <t xml:space="preserve">Invoice issued by the partner</t>
  </si>
  <si>
    <t xml:space="preserve">IN: GST invoice needs the company GSTIN at booking (to confirm per supplier). UK/EU: VAT receipt</t>
  </si>
  <si>
    <t xml:space="preserve">EX-04-018</t>
  </si>
  <si>
    <t xml:space="preserve">Gift a class</t>
  </si>
  <si>
    <t xml:space="preserve">A pasta class as a present for my dad</t>
  </si>
  <si>
    <t xml:space="preserve">Sends a gift voucher with a message</t>
  </si>
  <si>
    <t xml:space="preserve">Voucher terms and expiry from the partner</t>
  </si>
  <si>
    <t xml:space="preserve">EX-04-019</t>
  </si>
  <si>
    <t xml:space="preserve">Move to another session</t>
  </si>
  <si>
    <t xml:space="preserve">Can I switch to next Saturday's class?</t>
  </si>
  <si>
    <t xml:space="preserve">Checks space and change rules, asks to confirm</t>
  </si>
  <si>
    <t xml:space="preserve">Change rules from the partner</t>
  </si>
  <si>
    <t xml:space="preserve">EX-04-020</t>
  </si>
  <si>
    <t xml:space="preserve">Cancel a class</t>
  </si>
  <si>
    <t xml:space="preserve">Cancel my pottery class</t>
  </si>
  <si>
    <t xml:space="preserve">Refund from partner terms only</t>
  </si>
  <si>
    <t xml:space="preserve">EX-04-021</t>
  </si>
  <si>
    <t xml:space="preserve">Join an online class</t>
  </si>
  <si>
    <t xml:space="preserve">Where's the link for tonight?</t>
  </si>
  <si>
    <t xml:space="preserve">Shows the join link and start time</t>
  </si>
  <si>
    <t xml:space="preserve">Answer, Button</t>
  </si>
  <si>
    <t xml:space="preserve">Link from the partner</t>
  </si>
  <si>
    <t xml:space="preserve">EX-04-022</t>
  </si>
  <si>
    <t xml:space="preserve">Missed a session</t>
  </si>
  <si>
    <t xml:space="preserve">Course</t>
  </si>
  <si>
    <t xml:space="preserve">Missed session</t>
  </si>
  <si>
    <t xml:space="preserve">I missed week three</t>
  </si>
  <si>
    <t xml:space="preserve">Explains the partner's catch-up or make-up rules</t>
  </si>
  <si>
    <t xml:space="preserve">Make-up rules from the partner</t>
  </si>
  <si>
    <t xml:space="preserve">EX-04-023</t>
  </si>
  <si>
    <t xml:space="preserve">Class cancelled</t>
  </si>
  <si>
    <t xml:space="preserve">Instructor ill</t>
  </si>
  <si>
    <t xml:space="preserve">Tells them the class is off and offers another date or a refund</t>
  </si>
  <si>
    <t xml:space="preserve">StateCard, TimeSlots</t>
  </si>
  <si>
    <t xml:space="preserve">Full refund when the partner cancels, per terms</t>
  </si>
  <si>
    <t xml:space="preserve">EX-04-024</t>
  </si>
  <si>
    <t xml:space="preserve">The instructor didn't turn up and nobody told us</t>
  </si>
  <si>
    <t xml:space="preserve">Logs the complaint and hands to a person</t>
  </si>
  <si>
    <t xml:space="preserve">Refund decided by partner terms</t>
  </si>
  <si>
    <t xml:space="preserve">EX-04-025</t>
  </si>
  <si>
    <t xml:space="preserve">Book the next level</t>
  </si>
  <si>
    <t xml:space="preserve">I loved it, what's next?</t>
  </si>
  <si>
    <t xml:space="preserve">Shows the next level or similar classes</t>
  </si>
  <si>
    <t xml:space="preserve">Rail, ExperienceCard</t>
  </si>
  <si>
    <t xml:space="preserve">EX-05-001</t>
  </si>
  <si>
    <t xml:space="preserve">Find a spa</t>
  </si>
  <si>
    <t xml:space="preserve">Near me</t>
  </si>
  <si>
    <t xml:space="preserve">Somewhere for a massage this evening near the hotel</t>
  </si>
  <si>
    <t xml:space="preserve">Shows spas with slots tonight, treatment length and price</t>
  </si>
  <si>
    <t xml:space="preserve">Answer, Rail, ExperienceCard, TimeSlots</t>
  </si>
  <si>
    <t xml:space="preserve">Availability and price from the partner</t>
  </si>
  <si>
    <t xml:space="preserve">EX-05-002</t>
  </si>
  <si>
    <t xml:space="preserve">Does my card give me anything at spas?</t>
  </si>
  <si>
    <t xml:space="preserve">Shows spa benefits on the card and what is left</t>
  </si>
  <si>
    <t xml:space="preserve">BenefitRow, Rail</t>
  </si>
  <si>
    <t xml:space="preserve">Benefits and usage from the bank</t>
  </si>
  <si>
    <t xml:space="preserve">EX-05-003</t>
  </si>
  <si>
    <t xml:space="preserve">Find a wellness retreat</t>
  </si>
  <si>
    <t xml:space="preserve">A 5-day yoga retreat somewhere warm in January</t>
  </si>
  <si>
    <t xml:space="preserve">Suggests retreats with what is included, stays and total</t>
  </si>
  <si>
    <t xml:space="preserve">Answer, Rail, ExperienceCard, Compare</t>
  </si>
  <si>
    <t xml:space="preserve">Inclusions from the partner; package rules flagged if stay included</t>
  </si>
  <si>
    <t xml:space="preserve">UK and EU package travel rules may apply (to confirm)</t>
  </si>
  <si>
    <t xml:space="preserve">EX-05-004</t>
  </si>
  <si>
    <t xml:space="preserve">Unwind after a trip</t>
  </si>
  <si>
    <t xml:space="preserve">Long flight</t>
  </si>
  <si>
    <t xml:space="preserve">After a long-haul arrival, offers a massage slot near the hotel that evening</t>
  </si>
  <si>
    <t xml:space="preserve">Only for trips shared with Gratifi; marketing consent checked</t>
  </si>
  <si>
    <t xml:space="preserve">EX-05-005</t>
  </si>
  <si>
    <t xml:space="preserve">Book a treatment</t>
  </si>
  <si>
    <t xml:space="preserve">A 60-minute massage at 6pm tomorrow</t>
  </si>
  <si>
    <t xml:space="preserve">Shows open slots at 6pm or the nearest times, with the price</t>
  </si>
  <si>
    <t xml:space="preserve">Live slots from the partner</t>
  </si>
  <si>
    <t xml:space="preserve">EX-05-006</t>
  </si>
  <si>
    <t xml:space="preserve">Couple</t>
  </si>
  <si>
    <t xml:space="preserve">A couples massage for our anniversary</t>
  </si>
  <si>
    <t xml:space="preserve">Shows spas with couples rooms and times free for two</t>
  </si>
  <si>
    <t xml:space="preserve">ExperienceCard, TimeSlots, Travellers</t>
  </si>
  <si>
    <t xml:space="preserve">Room type from the partner</t>
  </si>
  <si>
    <t xml:space="preserve">EX-05-007</t>
  </si>
  <si>
    <t xml:space="preserve">Therapist preference</t>
  </si>
  <si>
    <t xml:space="preserve">I'd prefer a female therapist</t>
  </si>
  <si>
    <t xml:space="preserve">Filters to slots where the spa confirms a female therapist</t>
  </si>
  <si>
    <t xml:space="preserve">ExperienceCard, TimeSlots, Chips</t>
  </si>
  <si>
    <t xml:space="preserve">Preference sent to the spa; only shown as confirmed if the spa confirms</t>
  </si>
  <si>
    <t xml:space="preserve">Same-gender therapists and women-only facilities often expected in AE and MY</t>
  </si>
  <si>
    <t xml:space="preserve">EX-05-008</t>
  </si>
  <si>
    <t xml:space="preserve">Health</t>
  </si>
  <si>
    <t xml:space="preserve">I'm pregnant, is a massage OK?</t>
  </si>
  <si>
    <t xml:space="preserve">Says it cannot advise on health, shows the spa's own policy, and suggests asking a doctor</t>
  </si>
  <si>
    <t xml:space="preserve">Answer, StateCard</t>
  </si>
  <si>
    <t xml:space="preserve">Never gives health advice; health details not stored</t>
  </si>
  <si>
    <t xml:space="preserve">EX-05-009</t>
  </si>
  <si>
    <t xml:space="preserve">Buy a gym day pass</t>
  </si>
  <si>
    <t xml:space="preserve">Travelling</t>
  </si>
  <si>
    <t xml:space="preserve">A gym I can use for a day near my hotel</t>
  </si>
  <si>
    <t xml:space="preserve">Shows day passes nearby with hours and price</t>
  </si>
  <si>
    <t xml:space="preserve">Pass price from the partner</t>
  </si>
  <si>
    <t xml:space="preserve">EX-05-010</t>
  </si>
  <si>
    <t xml:space="preserve">Book a fitness class</t>
  </si>
  <si>
    <t xml:space="preserve">A yoga class at 7am tomorrow</t>
  </si>
  <si>
    <t xml:space="preserve">Shows classes at that time with places left</t>
  </si>
  <si>
    <t xml:space="preserve">Places from the partner</t>
  </si>
  <si>
    <t xml:space="preserve">EX-05-011</t>
  </si>
  <si>
    <t xml:space="preserve">(asks for 6pm)</t>
  </si>
  <si>
    <t xml:space="preserve">Says 6pm is gone and offers the nearest slot or a nearby spa</t>
  </si>
  <si>
    <t xml:space="preserve">StateCard (soldout), TimeSlots, Rail</t>
  </si>
  <si>
    <t xml:space="preserve">EX-05-012</t>
  </si>
  <si>
    <t xml:space="preserve">Book the hotel spa</t>
  </si>
  <si>
    <t xml:space="preserve">During a stay</t>
  </si>
  <si>
    <t xml:space="preserve">Book me into the hotel spa tomorrow morning</t>
  </si>
  <si>
    <t xml:space="preserve">Shows the hotel spa's slots and whether it can go on the room bill or card</t>
  </si>
  <si>
    <t xml:space="preserve">ExperienceCard, TimeSlots, ConfirmSheet</t>
  </si>
  <si>
    <t xml:space="preserve">Slots from the hotel; room-bill charging only if the hotel allows</t>
  </si>
  <si>
    <t xml:space="preserve">EX-05-013</t>
  </si>
  <si>
    <t xml:space="preserve">Fill in the health form</t>
  </si>
  <si>
    <t xml:space="preserve">Before treatment</t>
  </si>
  <si>
    <t xml:space="preserve">(before booking)</t>
  </si>
  <si>
    <t xml:space="preserve">Passes the spa's health form to the customer and sends answers straight to the spa</t>
  </si>
  <si>
    <t xml:space="preserve">Health answers go to the spa only with consent and are not kept by Gratifi</t>
  </si>
  <si>
    <t xml:space="preserve">EX-05-014</t>
  </si>
  <si>
    <t xml:space="preserve">Complimentary treatment</t>
  </si>
  <si>
    <t xml:space="preserve">Use my free spa visit</t>
  </si>
  <si>
    <t xml:space="preserve">Checks the benefit is left and books it at no cost</t>
  </si>
  <si>
    <t xml:space="preserve">BenefitRow, ConfirmSheet, Receipt</t>
  </si>
  <si>
    <t xml:space="preserve">Eligibility and usage from the bank</t>
  </si>
  <si>
    <t xml:space="preserve">EX-05-015</t>
  </si>
  <si>
    <t xml:space="preserve">Put the massage on points</t>
  </si>
  <si>
    <t xml:space="preserve">EX-05-016</t>
  </si>
  <si>
    <t xml:space="preserve">Pay a deposit</t>
  </si>
  <si>
    <t xml:space="preserve">Card hold</t>
  </si>
  <si>
    <t xml:space="preserve">Why do they need my card?</t>
  </si>
  <si>
    <t xml:space="preserve">Explains the spa's deposit or no-show charge before booking</t>
  </si>
  <si>
    <t xml:space="preserve">PriceLines, Cancellation, ConfirmSheet</t>
  </si>
  <si>
    <t xml:space="preserve">Deposit and no-show fee from the partner; card hold needs a yes</t>
  </si>
  <si>
    <t xml:space="preserve">EX-05-017</t>
  </si>
  <si>
    <t xml:space="preserve">Benefit used up</t>
  </si>
  <si>
    <t xml:space="preserve">Says the free visits are used for this year and shows the paid price</t>
  </si>
  <si>
    <t xml:space="preserve">BenefitRow, StateCard</t>
  </si>
  <si>
    <t xml:space="preserve">Usage from the bank</t>
  </si>
  <si>
    <t xml:space="preserve">EX-05-018</t>
  </si>
  <si>
    <t xml:space="preserve">Gift a spa day</t>
  </si>
  <si>
    <t xml:space="preserve">A spa voucher for my wife's birthday</t>
  </si>
  <si>
    <t xml:space="preserve">EX-05-019</t>
  </si>
  <si>
    <t xml:space="preserve">Can I move my massage to 7?</t>
  </si>
  <si>
    <t xml:space="preserve">Checks 7pm and any fee, asks to confirm</t>
  </si>
  <si>
    <t xml:space="preserve">EX-05-020</t>
  </si>
  <si>
    <t xml:space="preserve">Cancel a treatment</t>
  </si>
  <si>
    <t xml:space="preserve">Cancel my spa booking</t>
  </si>
  <si>
    <t xml:space="preserve">Shows any late cancellation fee and asks to confirm</t>
  </si>
  <si>
    <t xml:space="preserve">Fees from partner terms only</t>
  </si>
  <si>
    <t xml:space="preserve">EX-05-021</t>
  </si>
  <si>
    <t xml:space="preserve">I'll be 15 minutes late for my massage</t>
  </si>
  <si>
    <t xml:space="preserve">Tells the spa if possible and explains the treatment may be shorter</t>
  </si>
  <si>
    <t xml:space="preserve">Late policy from the partner</t>
  </si>
  <si>
    <t xml:space="preserve">EX-05-022</t>
  </si>
  <si>
    <t xml:space="preserve">Treatment cancelled</t>
  </si>
  <si>
    <t xml:space="preserve">Spa closed</t>
  </si>
  <si>
    <t xml:space="preserve">Tells them the spa cancelled, and offers another time or a refund</t>
  </si>
  <si>
    <t xml:space="preserve">Full refund when the partner cancels</t>
  </si>
  <si>
    <t xml:space="preserve">EX-05-023</t>
  </si>
  <si>
    <t xml:space="preserve">No-show charge</t>
  </si>
  <si>
    <t xml:space="preserve">Charged</t>
  </si>
  <si>
    <t xml:space="preserve">Charged wrongly</t>
  </si>
  <si>
    <t xml:space="preserve">They charged me a no-show fee but I was there</t>
  </si>
  <si>
    <t xml:space="preserve">Shows the charge and booking, and hands to a person to challenge it</t>
  </si>
  <si>
    <t xml:space="preserve">Dispute run by the bank</t>
  </si>
  <si>
    <t xml:space="preserve">EX-05-024</t>
  </si>
  <si>
    <t xml:space="preserve">Report a serious problem</t>
  </si>
  <si>
    <t xml:space="preserve">Injury or misconduct</t>
  </si>
  <si>
    <t xml:space="preserve">I was hurt during the treatment</t>
  </si>
  <si>
    <t xml:space="preserve">Takes it seriously, gives emergency and police numbers if needed, and hands to a person straight away</t>
  </si>
  <si>
    <t xml:space="preserve">Safety and conduct cases always go to a person</t>
  </si>
  <si>
    <t xml:space="preserve">EX-05-025</t>
  </si>
  <si>
    <t xml:space="preserve">Rate the treatment</t>
  </si>
  <si>
    <t xml:space="preserve">One-tap rating</t>
  </si>
  <si>
    <t xml:space="preserve">DN-01-001</t>
  </si>
  <si>
    <t xml:space="preserve">Find a restaurant</t>
  </si>
  <si>
    <t xml:space="preserve">Somewhere good for dinner near the hotel tonight</t>
  </si>
  <si>
    <t xml:space="preserve">Suggests three restaurants with tables tonight, cuisine, price level and walking time</t>
  </si>
  <si>
    <t xml:space="preserve">Answer, Rail, NEW: RestaurantCard, TimeSlots</t>
  </si>
  <si>
    <t xml:space="preserve">Only restaurants with live tables; price level from the restaurant</t>
  </si>
  <si>
    <t xml:space="preserve">DN-01-002</t>
  </si>
  <si>
    <t xml:space="preserve">A romantic place for our anniversary on Friday</t>
  </si>
  <si>
    <t xml:space="preserve">Suggests restaurants suited to the occasion with tables on Friday</t>
  </si>
  <si>
    <t xml:space="preserve">Answer, Rail, NEW: RestaurantCard</t>
  </si>
  <si>
    <t xml:space="preserve">Recommendation reason must be a stated fact</t>
  </si>
  <si>
    <t xml:space="preserve">DN-01-003</t>
  </si>
  <si>
    <t xml:space="preserve">Italian, under £50 a head, Saturday</t>
  </si>
  <si>
    <t xml:space="preserve">Filters to places whose stated price level fits</t>
  </si>
  <si>
    <t xml:space="preserve">Answer, Rail, NEW: RestaurantCard, FilterBar</t>
  </si>
  <si>
    <t xml:space="preserve">Price level from the restaurant; never invents a per-head cost</t>
  </si>
  <si>
    <t xml:space="preserve">DN-01-004</t>
  </si>
  <si>
    <t xml:space="preserve">Halal</t>
  </si>
  <si>
    <t xml:space="preserve">Halal restaurants near Bukit Bintang</t>
  </si>
  <si>
    <t xml:space="preserve">Filters to restaurants with stated halal certification</t>
  </si>
  <si>
    <t xml:space="preserve">Answer, Rail, NEW: RestaurantCard, Chips</t>
  </si>
  <si>
    <t xml:space="preserve">Halal claim from the restaurant's certification only</t>
  </si>
  <si>
    <t xml:space="preserve">DN-01-005</t>
  </si>
  <si>
    <t xml:space="preserve">Vegetarian</t>
  </si>
  <si>
    <t xml:space="preserve">Pure veg place in Bandra for six</t>
  </si>
  <si>
    <t xml:space="preserve">Filters to vegetarian restaurants with tables for six</t>
  </si>
  <si>
    <t xml:space="preserve">Dietary tags from the restaurant</t>
  </si>
  <si>
    <t xml:space="preserve">DN-01-006</t>
  </si>
  <si>
    <t xml:space="preserve">Family-friendly, we need a high chair</t>
  </si>
  <si>
    <t xml:space="preserve">Filters to places that state they have high chairs and a kids' menu</t>
  </si>
  <si>
    <t xml:space="preserve">Facilities from the restaurant</t>
  </si>
  <si>
    <t xml:space="preserve">DN-01-007</t>
  </si>
  <si>
    <t xml:space="preserve">Somewhere quiet for a client lunch near Canary Wharf</t>
  </si>
  <si>
    <t xml:space="preserve">Suggests restaurants suited to a business lunch with tables at that time</t>
  </si>
  <si>
    <t xml:space="preserve">Only facts the restaurant lists</t>
  </si>
  <si>
    <t xml:space="preserve">DN-01-008</t>
  </si>
  <si>
    <t xml:space="preserve">Get a dinner suggestion</t>
  </si>
  <si>
    <t xml:space="preserve">Arriving tonight</t>
  </si>
  <si>
    <t xml:space="preserve">After landing, offers a table near the hotel at a sensible time</t>
  </si>
  <si>
    <t xml:space="preserve">Moment, NEW: RestaurantCard, TimeSlots</t>
  </si>
  <si>
    <t xml:space="preserve">DN-01-009</t>
  </si>
  <si>
    <t xml:space="preserve">Where can we go for iftar on Thursday?</t>
  </si>
  <si>
    <t xml:space="preserve">Shows restaurants offering iftar with times and tables</t>
  </si>
  <si>
    <t xml:space="preserve">Iftar offer and timing from the restaurant</t>
  </si>
  <si>
    <t xml:space="preserve">Ramadan and Eid timings matter in AE and MY (and for many in IN, SG); dates move each year</t>
  </si>
  <si>
    <t xml:space="preserve">DN-01-010</t>
  </si>
  <si>
    <t xml:space="preserve">Weekend brunch</t>
  </si>
  <si>
    <t xml:space="preserve">A Friday brunch for four in Dubai Marina</t>
  </si>
  <si>
    <t xml:space="preserve">Shows brunch options with packages and prices</t>
  </si>
  <si>
    <t xml:space="preserve">Answer, Rail, NEW: RestaurantCard, PriceLines</t>
  </si>
  <si>
    <t xml:space="preserve">Packages from the restaurant</t>
  </si>
  <si>
    <t xml:space="preserve">Friday brunch is a norm in AE; alcohol packages follow local licensing (to confirm)</t>
  </si>
  <si>
    <t xml:space="preserve">DN-01-011</t>
  </si>
  <si>
    <t xml:space="preserve">Book a table</t>
  </si>
  <si>
    <t xml:space="preserve">Date and time fixed</t>
  </si>
  <si>
    <t xml:space="preserve">A table for two at 8 on Saturday at the place we looked at</t>
  </si>
  <si>
    <t xml:space="preserve">Checks and books 8pm for two, or offers the nearest times</t>
  </si>
  <si>
    <t xml:space="preserve">NEW: RestaurantCard, TimeSlots, Travellers, ConfirmSheet</t>
  </si>
  <si>
    <t xml:space="preserve">Availability from the restaurant system at that moment</t>
  </si>
  <si>
    <t xml:space="preserve">DN-01-012</t>
  </si>
  <si>
    <t xml:space="preserve">Flexible time</t>
  </si>
  <si>
    <t xml:space="preserve">Anywhere Italian, any time after 7</t>
  </si>
  <si>
    <t xml:space="preserve">Shows three restaurants with the earliest free times after 7</t>
  </si>
  <si>
    <t xml:space="preserve">Rail, NEW: RestaurantCard, TimeSlots</t>
  </si>
  <si>
    <t xml:space="preserve">DN-01-013</t>
  </si>
  <si>
    <t xml:space="preserve">Seating preference</t>
  </si>
  <si>
    <t xml:space="preserve">Outdoor table if possible</t>
  </si>
  <si>
    <t xml:space="preserve">Books with an outdoor request and says if it is a request or confirmed</t>
  </si>
  <si>
    <t xml:space="preserve">TimeSlots, Toast</t>
  </si>
  <si>
    <t xml:space="preserve">Seating type confirmed only if the restaurant confirms it</t>
  </si>
  <si>
    <t xml:space="preserve">DN-01-014</t>
  </si>
  <si>
    <t xml:space="preserve">Step-free access please, my father uses a wheelchair</t>
  </si>
  <si>
    <t xml:space="preserve">Shows the restaurant's access facts and adds the note to the booking</t>
  </si>
  <si>
    <t xml:space="preserve">Answer, NEW: RestaurantCard, Toast</t>
  </si>
  <si>
    <t xml:space="preserve">Access facts from the restaurant only</t>
  </si>
  <si>
    <t xml:space="preserve">DN-01-015</t>
  </si>
  <si>
    <t xml:space="preserve">A table for 14 on Friday</t>
  </si>
  <si>
    <t xml:space="preserve">Checks large-party options, and hands to a person or the restaurant if over the online limit</t>
  </si>
  <si>
    <t xml:space="preserve">Party size limits and deposits from the restaurant</t>
  </si>
  <si>
    <t xml:space="preserve">DN-01-016</t>
  </si>
  <si>
    <t xml:space="preserve">Special request</t>
  </si>
  <si>
    <t xml:space="preserve">It's her birthday, can they bring a cake?</t>
  </si>
  <si>
    <t xml:space="preserve">Adds the note and says it is a request, not a promise</t>
  </si>
  <si>
    <t xml:space="preserve">Requests are passed on; never guaranteed</t>
  </si>
  <si>
    <t xml:space="preserve">DN-01-017</t>
  </si>
  <si>
    <t xml:space="preserve">Allergy</t>
  </si>
  <si>
    <t xml:space="preserve">One of us has a shellfish allergy</t>
  </si>
  <si>
    <t xml:space="preserve">Adds the note with their yes and shows the restaurant's allergy policy</t>
  </si>
  <si>
    <t xml:space="preserve">Toast, Answer, ConfirmSheet</t>
  </si>
  <si>
    <t xml:space="preserve">Allergy note shared only with consent and not kept after the booking; the restaurant decides</t>
  </si>
  <si>
    <t xml:space="preserve">DN-01-018</t>
  </si>
  <si>
    <t xml:space="preserve">No tables</t>
  </si>
  <si>
    <t xml:space="preserve">8pm Saturday at the steakhouse</t>
  </si>
  <si>
    <t xml:space="preserve">Says it is full, offers other times, a waitlist, or similar places</t>
  </si>
  <si>
    <t xml:space="preserve">StateCard (soldout), TimeSlots, Rail, Toggle</t>
  </si>
  <si>
    <t xml:space="preserve">Never says a table is held when it is not</t>
  </si>
  <si>
    <t xml:space="preserve">DN-01-019</t>
  </si>
  <si>
    <t xml:space="preserve">(any booking)</t>
  </si>
  <si>
    <t xml:space="preserve">Says the booking system is not answering and nothing is booked, offers to retry or call</t>
  </si>
  <si>
    <t xml:space="preserve">Retry with backoff</t>
  </si>
  <si>
    <t xml:space="preserve">DN-01-020</t>
  </si>
  <si>
    <t xml:space="preserve">Arabic</t>
  </si>
  <si>
    <t xml:space="preserve">(in Arabic) A table for four tonight in Jumeirah</t>
  </si>
  <si>
    <t xml:space="preserve">Replies in Arabic and shows the same cards, right to left</t>
  </si>
  <si>
    <t xml:space="preserve">ArabicScreens, NEW: RestaurantCard, TimeSlots</t>
  </si>
  <si>
    <t xml:space="preserve">Same rules as English; restaurant names as the restaurant writes them</t>
  </si>
  <si>
    <t xml:space="preserve">Arabic replies need native review (AE)</t>
  </si>
  <si>
    <t xml:space="preserve">DN-01-021</t>
  </si>
  <si>
    <t xml:space="preserve">Choose between restaurants</t>
  </si>
  <si>
    <t xml:space="preserve">Which of the two is better for a first date?</t>
  </si>
  <si>
    <t xml:space="preserve">Compares on what differs: setting, price level, menu, walk time</t>
  </si>
  <si>
    <t xml:space="preserve">Only facts from the restaurants</t>
  </si>
  <si>
    <t xml:space="preserve">DN-01-022</t>
  </si>
  <si>
    <t xml:space="preserve">See the menu</t>
  </si>
  <si>
    <t xml:space="preserve">What's on the menu?</t>
  </si>
  <si>
    <t xml:space="preserve">Shows the menu the restaurant publishes, with prices if listed</t>
  </si>
  <si>
    <t xml:space="preserve">Answer, NEW: MenuCard</t>
  </si>
  <si>
    <t xml:space="preserve">Menu from the restaurant; says when it was last updated</t>
  </si>
  <si>
    <t xml:space="preserve">DN-01-023</t>
  </si>
  <si>
    <t xml:space="preserve">Check the dress code</t>
  </si>
  <si>
    <t xml:space="preserve">Smart venue</t>
  </si>
  <si>
    <t xml:space="preserve">Is there a dress code?</t>
  </si>
  <si>
    <t xml:space="preserve">Shows the restaurant's stated dress code, or says none is listed</t>
  </si>
  <si>
    <t xml:space="preserve">Only what the restaurant lists</t>
  </si>
  <si>
    <t xml:space="preserve">DN-01-024</t>
  </si>
  <si>
    <t xml:space="preserve">Hold the table with a card</t>
  </si>
  <si>
    <t xml:space="preserve">Deposit or card hold</t>
  </si>
  <si>
    <t xml:space="preserve">(books a table that needs a card)</t>
  </si>
  <si>
    <t xml:space="preserve">Explains the deposit or no-show fee and asks for a yes before holding the card</t>
  </si>
  <si>
    <t xml:space="preserve">Deposit and fee from the restaurant; card hold needs a button with the amount</t>
  </si>
  <si>
    <t xml:space="preserve">DN-01-025</t>
  </si>
  <si>
    <t xml:space="preserve">Pay a deposit with points</t>
  </si>
  <si>
    <t xml:space="preserve">Can I pay the deposit with points?</t>
  </si>
  <si>
    <t xml:space="preserve">Pays the deposit with points if the bank allows, shows the total</t>
  </si>
  <si>
    <t xml:space="preserve">Points use for deposits set by the bank</t>
  </si>
  <si>
    <t xml:space="preserve">DN-01-026</t>
  </si>
  <si>
    <t xml:space="preserve">Says the table is not held and offers another card</t>
  </si>
  <si>
    <t xml:space="preserve">No booking without a successful hold</t>
  </si>
  <si>
    <t xml:space="preserve">DN-01-027</t>
  </si>
  <si>
    <t xml:space="preserve">Day of booking</t>
  </si>
  <si>
    <t xml:space="preserve">Reminder with time, address, and the restaurant's cancellation window</t>
  </si>
  <si>
    <t xml:space="preserve">DN-01-028</t>
  </si>
  <si>
    <t xml:space="preserve">Confirm attendance</t>
  </si>
  <si>
    <t xml:space="preserve">Restaurant asks</t>
  </si>
  <si>
    <t xml:space="preserve">Passes on the restaurant's request to confirm and does it with one tap</t>
  </si>
  <si>
    <t xml:space="preserve">StickyNote, Button</t>
  </si>
  <si>
    <t xml:space="preserve">Confirmation goes to the restaurant system</t>
  </si>
  <si>
    <t xml:space="preserve">DN-01-029</t>
  </si>
  <si>
    <t xml:space="preserve">Move our booking to 8:30</t>
  </si>
  <si>
    <t xml:space="preserve">Checks 8:30 and moves it, or offers the nearest times</t>
  </si>
  <si>
    <t xml:space="preserve">Change from the restaurant system</t>
  </si>
  <si>
    <t xml:space="preserve">DN-01-030</t>
  </si>
  <si>
    <t xml:space="preserve">Change party size</t>
  </si>
  <si>
    <t xml:space="preserve">We're six now, not four</t>
  </si>
  <si>
    <t xml:space="preserve">Checks if the restaurant can take six and updates, or offers other times</t>
  </si>
  <si>
    <t xml:space="preserve">Travellers, TimeSlots, StateCard</t>
  </si>
  <si>
    <t xml:space="preserve">Capacity from the restaurant</t>
  </si>
  <si>
    <t xml:space="preserve">DN-01-031</t>
  </si>
  <si>
    <t xml:space="preserve">Cancel a booking</t>
  </si>
  <si>
    <t xml:space="preserve">Cancel tonight's table</t>
  </si>
  <si>
    <t xml:space="preserve">Fee from the restaurant's terms</t>
  </si>
  <si>
    <t xml:space="preserve">DN-01-032</t>
  </si>
  <si>
    <t xml:space="preserve">Share the booking</t>
  </si>
  <si>
    <t xml:space="preserve">Send the booking to the group</t>
  </si>
  <si>
    <t xml:space="preserve">Shares time, place and a map link</t>
  </si>
  <si>
    <t xml:space="preserve">SendTo</t>
  </si>
  <si>
    <t xml:space="preserve">DN-01-033</t>
  </si>
  <si>
    <t xml:space="preserve">We'll be 20 minutes late</t>
  </si>
  <si>
    <t xml:space="preserve">Tells the restaurant if it has a channel and says how long they hold tables</t>
  </si>
  <si>
    <t xml:space="preserve">Hold time from the restaurant</t>
  </si>
  <si>
    <t xml:space="preserve">DN-01-034</t>
  </si>
  <si>
    <t xml:space="preserve">No record</t>
  </si>
  <si>
    <t xml:space="preserve">They say we're not booked</t>
  </si>
  <si>
    <t xml:space="preserve">Shows the confirmation, contacts the restaurant, and offers nearby tables or a person</t>
  </si>
  <si>
    <t xml:space="preserve">Receipt, StateCard (error), Rail, Handoff</t>
  </si>
  <si>
    <t xml:space="preserve">Booking record from the restaurant system</t>
  </si>
  <si>
    <t xml:space="preserve">DN-01-035</t>
  </si>
  <si>
    <t xml:space="preserve">Get directions</t>
  </si>
  <si>
    <t xml:space="preserve">On the way</t>
  </si>
  <si>
    <t xml:space="preserve">How do I get there?</t>
  </si>
  <si>
    <t xml:space="preserve">Shows the route and offers a ride</t>
  </si>
  <si>
    <t xml:space="preserve">NEW: Map, RideOption</t>
  </si>
  <si>
    <t xml:space="preserve">DN-01-036</t>
  </si>
  <si>
    <t xml:space="preserve">Restaurant cancels</t>
  </si>
  <si>
    <t xml:space="preserve">Closure</t>
  </si>
  <si>
    <t xml:space="preserve">Tells them the restaurant cancelled, and offers three similar tables at the same time</t>
  </si>
  <si>
    <t xml:space="preserve">StateCard, Rail, TimeSlots</t>
  </si>
  <si>
    <t xml:space="preserve">Deposit refunded in full per restaurant terms</t>
  </si>
  <si>
    <t xml:space="preserve">DN-01-037</t>
  </si>
  <si>
    <t xml:space="preserve">Challenge a no-show fee</t>
  </si>
  <si>
    <t xml:space="preserve">They charged me £40 but I cancelled</t>
  </si>
  <si>
    <t xml:space="preserve">Shows the cancellation record and charge, and hands to a person</t>
  </si>
  <si>
    <t xml:space="preserve">TransactionRow, Receipt, Handoff</t>
  </si>
  <si>
    <t xml:space="preserve">Dispute run by the bank; cancellation record from the restaurant system</t>
  </si>
  <si>
    <t xml:space="preserve">DN-01-038</t>
  </si>
  <si>
    <t xml:space="preserve">Pay the bill</t>
  </si>
  <si>
    <t xml:space="preserve">At the table</t>
  </si>
  <si>
    <t xml:space="preserve">Can I pay the bill here?</t>
  </si>
  <si>
    <t xml:space="preserve">Pays in chat if the restaurant supports it, otherwise says to pay at the table</t>
  </si>
  <si>
    <t xml:space="preserve">Only where the restaurant's tools allow payment</t>
  </si>
  <si>
    <t xml:space="preserve">Service charge and tipping norms differ by market (to confirm)</t>
  </si>
  <si>
    <t xml:space="preserve">DN-01-039</t>
  </si>
  <si>
    <t xml:space="preserve">Rate the meal</t>
  </si>
  <si>
    <t xml:space="preserve">DN-01-040</t>
  </si>
  <si>
    <t xml:space="preserve">Book again</t>
  </si>
  <si>
    <t xml:space="preserve">Same place next Friday</t>
  </si>
  <si>
    <t xml:space="preserve">Books the same table size for next Friday</t>
  </si>
  <si>
    <t xml:space="preserve">DN-01-041</t>
  </si>
  <si>
    <t xml:space="preserve">The service was awful and they overcharged us</t>
  </si>
  <si>
    <t xml:space="preserve">Logs the complaint and hands to a person; starts a dispute if money is involved</t>
  </si>
  <si>
    <t xml:space="preserve">Handoff, TransactionRow</t>
  </si>
  <si>
    <t xml:space="preserve">Complaints handled by the bank</t>
  </si>
  <si>
    <t xml:space="preserve">DN-01-042</t>
  </si>
  <si>
    <t xml:space="preserve">Save dining preferences</t>
  </si>
  <si>
    <t xml:space="preserve">Profile</t>
  </si>
  <si>
    <t xml:space="preserve">Remember I'm vegetarian and like window tables</t>
  </si>
  <si>
    <t xml:space="preserve">Saves the preferences and uses them in future bookings</t>
  </si>
  <si>
    <t xml:space="preserve">Toggle, Toast</t>
  </si>
  <si>
    <t xml:space="preserve">Saved only with consent; allergies asked each time, not stored</t>
  </si>
  <si>
    <t xml:space="preserve">DN-01-043</t>
  </si>
  <si>
    <t xml:space="preserve">See my bookings</t>
  </si>
  <si>
    <t xml:space="preserve">Upcoming</t>
  </si>
  <si>
    <t xml:space="preserve">What have I got booked this week?</t>
  </si>
  <si>
    <t xml:space="preserve">Lists upcoming table bookings</t>
  </si>
  <si>
    <t xml:space="preserve">TripFolder, Rail</t>
  </si>
  <si>
    <t xml:space="preserve">DN-02-001</t>
  </si>
  <si>
    <t xml:space="preserve">Find a tasting menu</t>
  </si>
  <si>
    <t xml:space="preserve">A tasting menu somewhere special for my wife's birthday</t>
  </si>
  <si>
    <t xml:space="preserve">Suggests three tasting menus with courses, price and dates free</t>
  </si>
  <si>
    <t xml:space="preserve">Answer, Rail, NEW: RestaurantCard, NEW: MenuCard</t>
  </si>
  <si>
    <t xml:space="preserve">Menus and prices from the partner</t>
  </si>
  <si>
    <t xml:space="preserve">DN-02-002</t>
  </si>
  <si>
    <t xml:space="preserve">Find a chef's table</t>
  </si>
  <si>
    <t xml:space="preserve">Is there a chef's table in London in November?</t>
  </si>
  <si>
    <t xml:space="preserve">Shows chef's tables with seats, dates and full prepaid price</t>
  </si>
  <si>
    <t xml:space="preserve">Answer, Rail, NEW: MenuCard, TimeSlots</t>
  </si>
  <si>
    <t xml:space="preserve">Availability from the partner</t>
  </si>
  <si>
    <t xml:space="preserve">DN-02-003</t>
  </si>
  <si>
    <t xml:space="preserve">Find a one-off dinner</t>
  </si>
  <si>
    <t xml:space="preserve">Event</t>
  </si>
  <si>
    <t xml:space="preserve">Tells them about a guest chef dinner in their city on a free evening</t>
  </si>
  <si>
    <t xml:space="preserve">Moment, NEW: MenuCard</t>
  </si>
  <si>
    <t xml:space="preserve">Marketing consent checked; event details from the partner</t>
  </si>
  <si>
    <t xml:space="preserve">DN-02-004</t>
  </si>
  <si>
    <t xml:space="preserve">Book a tasting menu</t>
  </si>
  <si>
    <t xml:space="preserve">Two for the tasting menu on the 18th</t>
  </si>
  <si>
    <t xml:space="preserve">Shows the seating times on the 18th, the prepaid total and terms</t>
  </si>
  <si>
    <t xml:space="preserve">NEW: MenuCard, TimeSlots, Travellers, PriceLines</t>
  </si>
  <si>
    <t xml:space="preserve">Price from the partner; total includes service if prepaid</t>
  </si>
  <si>
    <t xml:space="preserve">Service charge shown if the venue adds it (to confirm per market)</t>
  </si>
  <si>
    <t xml:space="preserve">DN-02-005</t>
  </si>
  <si>
    <t xml:space="preserve">Add wine pairing</t>
  </si>
  <si>
    <t xml:space="preserve">Add-on</t>
  </si>
  <si>
    <t xml:space="preserve">Add the wine pairing</t>
  </si>
  <si>
    <t xml:space="preserve">Adds the pairing and updates the total</t>
  </si>
  <si>
    <t xml:space="preserve">Alcohol only where the venue is licensed; age rules apply</t>
  </si>
  <si>
    <t xml:space="preserve">DN-02-006</t>
  </si>
  <si>
    <t xml:space="preserve">My husband doesn't eat meat, can they adapt it?</t>
  </si>
  <si>
    <t xml:space="preserve">Asks the restaurant before payment and only books once they confirm</t>
  </si>
  <si>
    <t xml:space="preserve">Dietary change confirmed by the restaurant before pay</t>
  </si>
  <si>
    <t xml:space="preserve">DN-02-007</t>
  </si>
  <si>
    <t xml:space="preserve">Book private dining</t>
  </si>
  <si>
    <t xml:space="preserve">A private room for 20 for a work dinner</t>
  </si>
  <si>
    <t xml:space="preserve">Takes the brief and hands to a person for a quote and minimum spend</t>
  </si>
  <si>
    <t xml:space="preserve">Minimum spend and deposit from the partner</t>
  </si>
  <si>
    <t xml:space="preserve">DN-02-008</t>
  </si>
  <si>
    <t xml:space="preserve">(taps the 18th)</t>
  </si>
  <si>
    <t xml:space="preserve">Says it is full and offers other dates or a waitlist</t>
  </si>
  <si>
    <t xml:space="preserve">DN-02-009</t>
  </si>
  <si>
    <t xml:space="preserve">Check terms before paying</t>
  </si>
  <si>
    <t xml:space="preserve">Prepaid</t>
  </si>
  <si>
    <t xml:space="preserve">What if we can't make it?</t>
  </si>
  <si>
    <t xml:space="preserve">Shows cancellation and transfer terms in plain words</t>
  </si>
  <si>
    <t xml:space="preserve">Terms from the partner; shown before pay</t>
  </si>
  <si>
    <t xml:space="preserve">DN-02-010</t>
  </si>
  <si>
    <t xml:space="preserve">Prepay with points</t>
  </si>
  <si>
    <t xml:space="preserve">Pay for it with points</t>
  </si>
  <si>
    <t xml:space="preserve">Shows the points total, confirms, issues the booking</t>
  </si>
  <si>
    <t xml:space="preserve">DN-02-011</t>
  </si>
  <si>
    <t xml:space="preserve">Prepay with points and card</t>
  </si>
  <si>
    <t xml:space="preserve">Half points, half card</t>
  </si>
  <si>
    <t xml:space="preserve">DN-02-012</t>
  </si>
  <si>
    <t xml:space="preserve">Private dining</t>
  </si>
  <si>
    <t xml:space="preserve">(accepts the quote)</t>
  </si>
  <si>
    <t xml:space="preserve">Takes the deposit shown in the quote and gives the balance due date</t>
  </si>
  <si>
    <t xml:space="preserve">PriceLines, ConfirmSheet, Receipt</t>
  </si>
  <si>
    <t xml:space="preserve">Deposit and balance from the partner quote</t>
  </si>
  <si>
    <t xml:space="preserve">DN-02-013</t>
  </si>
  <si>
    <t xml:space="preserve">Prepay at final check</t>
  </si>
  <si>
    <t xml:space="preserve">Stops and shows the new price, asks again</t>
  </si>
  <si>
    <t xml:space="preserve">DN-02-014</t>
  </si>
  <si>
    <t xml:space="preserve">Business dinner</t>
  </si>
  <si>
    <t xml:space="preserve">I need a VAT receipt for the client dinner</t>
  </si>
  <si>
    <t xml:space="preserve">Sends the partner's invoice with company details</t>
  </si>
  <si>
    <t xml:space="preserve">Receipt</t>
  </si>
  <si>
    <t xml:space="preserve">Invoice from the partner</t>
  </si>
  <si>
    <t xml:space="preserve">DN-02-015</t>
  </si>
  <si>
    <t xml:space="preserve">Give the booking to someone</t>
  </si>
  <si>
    <t xml:space="preserve">Can't go</t>
  </si>
  <si>
    <t xml:space="preserve">Can my friend use our booking instead?</t>
  </si>
  <si>
    <t xml:space="preserve">Checks the restaurant's transfer rules and changes the name if allowed</t>
  </si>
  <si>
    <t xml:space="preserve">Name change rules from the partner</t>
  </si>
  <si>
    <t xml:space="preserve">DN-02-016</t>
  </si>
  <si>
    <t xml:space="preserve">Move our chef's table to next month</t>
  </si>
  <si>
    <t xml:space="preserve">Shows whether it can move and any cost, asks to confirm</t>
  </si>
  <si>
    <t xml:space="preserve">DN-02-017</t>
  </si>
  <si>
    <t xml:space="preserve">Cancel a prepaid dinner</t>
  </si>
  <si>
    <t xml:space="preserve">Cancel the tasting menu</t>
  </si>
  <si>
    <t xml:space="preserve">Shows what comes back, if anything, and asks to confirm</t>
  </si>
  <si>
    <t xml:space="preserve">Refund from partner terms only; never promised otherwise</t>
  </si>
  <si>
    <t xml:space="preserve">DN-02-018</t>
  </si>
  <si>
    <t xml:space="preserve">Menu changed</t>
  </si>
  <si>
    <t xml:space="preserve">On the night</t>
  </si>
  <si>
    <t xml:space="preserve">Half the menu is different from what we paid for</t>
  </si>
  <si>
    <t xml:space="preserve">Logs it with the booking and hands to a person</t>
  </si>
  <si>
    <t xml:space="preserve">Partial refund decided by partner terms</t>
  </si>
  <si>
    <t xml:space="preserve">DN-02-019</t>
  </si>
  <si>
    <t xml:space="preserve">Dinner cancelled</t>
  </si>
  <si>
    <t xml:space="preserve">Chef ill</t>
  </si>
  <si>
    <t xml:space="preserve">Tells them the dinner is off, offers a full refund or a new date</t>
  </si>
  <si>
    <t xml:space="preserve">StateCard, TimeSlots, Receipt</t>
  </si>
  <si>
    <t xml:space="preserve">DN-02-020</t>
  </si>
  <si>
    <t xml:space="preserve">£400 and they rushed us out</t>
  </si>
  <si>
    <t xml:space="preserve">Listens, logs the complaint, hands to a person</t>
  </si>
  <si>
    <t xml:space="preserve">DN-02-021</t>
  </si>
  <si>
    <t xml:space="preserve">Rate the dinner</t>
  </si>
  <si>
    <t xml:space="preserve">DN-03-001</t>
  </si>
  <si>
    <t xml:space="preserve">See dining offers</t>
  </si>
  <si>
    <t xml:space="preserve">What dining offers do I get with my card?</t>
  </si>
  <si>
    <t xml:space="preserve">Lists the card's dining offers and programmes with what is left to use</t>
  </si>
  <si>
    <t xml:space="preserve">BenefitRow, OfferCard, Rail</t>
  </si>
  <si>
    <t xml:space="preserve">Offers and eligibility from the bank</t>
  </si>
  <si>
    <t xml:space="preserve">DN-03-002</t>
  </si>
  <si>
    <t xml:space="preserve">Any restaurant offers near here tonight?</t>
  </si>
  <si>
    <t xml:space="preserve">Shows offers nearby that apply to this card</t>
  </si>
  <si>
    <t xml:space="preserve">OfferCard, Rail, NEW: Map</t>
  </si>
  <si>
    <t xml:space="preserve">Location only with permission; offers from the bank</t>
  </si>
  <si>
    <t xml:space="preserve">DN-03-003</t>
  </si>
  <si>
    <t xml:space="preserve">Check an offer at a restaurant</t>
  </si>
  <si>
    <t xml:space="preserve">Booking</t>
  </si>
  <si>
    <t xml:space="preserve">Does my card get anything at this restaurant?</t>
  </si>
  <si>
    <t xml:space="preserve">Says if there is an offer, what it is, and the conditions</t>
  </si>
  <si>
    <t xml:space="preserve">OfferCard, Answer</t>
  </si>
  <si>
    <t xml:space="preserve">Offer terms from the bank or partner</t>
  </si>
  <si>
    <t xml:space="preserve">DN-03-004</t>
  </si>
  <si>
    <t xml:space="preserve">Get told about an offer</t>
  </si>
  <si>
    <t xml:space="preserve">When they book a table, flags a card offer at that restaurant</t>
  </si>
  <si>
    <t xml:space="preserve">Only eligible offers; marketing consent checked</t>
  </si>
  <si>
    <t xml:space="preserve">DN-03-005</t>
  </si>
  <si>
    <t xml:space="preserve">Suggests iftar offers on the card during Ramadan</t>
  </si>
  <si>
    <t xml:space="preserve">Moment, OfferCard</t>
  </si>
  <si>
    <t xml:space="preserve">Only eligible offers; consent checked</t>
  </si>
  <si>
    <t xml:space="preserve">DN-03-006</t>
  </si>
  <si>
    <t xml:space="preserve">Do my dining offers work in Singapore?</t>
  </si>
  <si>
    <t xml:space="preserve">Shows which offers work abroad and which are home market only</t>
  </si>
  <si>
    <t xml:space="preserve">BenefitRow, OfferCard</t>
  </si>
  <si>
    <t xml:space="preserve">Market scope from the bank</t>
  </si>
  <si>
    <t xml:space="preserve">DN-03-007</t>
  </si>
  <si>
    <t xml:space="preserve">Understand offer conditions</t>
  </si>
  <si>
    <t xml:space="preserve">Does the 20% off include drinks?</t>
  </si>
  <si>
    <t xml:space="preserve">Explains the conditions in plain words: days, minimum spend, exclusions, cap</t>
  </si>
  <si>
    <t xml:space="preserve">Conditions quoted from the offer terms</t>
  </si>
  <si>
    <t xml:space="preserve">In IN, dining discounts often exclude alcohol (to confirm per offer)</t>
  </si>
  <si>
    <t xml:space="preserve">DN-03-008</t>
  </si>
  <si>
    <t xml:space="preserve">Activate an offer</t>
  </si>
  <si>
    <t xml:space="preserve">Card-linked</t>
  </si>
  <si>
    <t xml:space="preserve">Add the restaurant offer to my card</t>
  </si>
  <si>
    <t xml:space="preserve">Adds the card-linked offer and says how and when the saving comes</t>
  </si>
  <si>
    <t xml:space="preserve">OfferCard, Toggle, Toast</t>
  </si>
  <si>
    <t xml:space="preserve">Activation and payout rules from the bank</t>
  </si>
  <si>
    <t xml:space="preserve">DN-03-009</t>
  </si>
  <si>
    <t xml:space="preserve">Join a dining programme</t>
  </si>
  <si>
    <t xml:space="preserve">Included with card</t>
  </si>
  <si>
    <t xml:space="preserve">My card comes with a dining membership, how do I start it?</t>
  </si>
  <si>
    <t xml:space="preserve">Activates the included membership and explains the benefit</t>
  </si>
  <si>
    <t xml:space="preserve">BenefitRow, ConfirmSheet</t>
  </si>
  <si>
    <t xml:space="preserve">Eligibility from the bank; enrolment shares details only with consent</t>
  </si>
  <si>
    <t xml:space="preserve">DN-03-010</t>
  </si>
  <si>
    <t xml:space="preserve">Use an offer</t>
  </si>
  <si>
    <t xml:space="preserve">Card not eligible</t>
  </si>
  <si>
    <t xml:space="preserve">Why can't I use this offer?</t>
  </si>
  <si>
    <t xml:space="preserve">Explains which cards qualify and shows offers they can use</t>
  </si>
  <si>
    <t xml:space="preserve">StateCard, OfferCard</t>
  </si>
  <si>
    <t xml:space="preserve">Eligibility from the bank</t>
  </si>
  <si>
    <t xml:space="preserve">DN-03-011</t>
  </si>
  <si>
    <t xml:space="preserve">Limit reached</t>
  </si>
  <si>
    <t xml:space="preserve">Offer used up</t>
  </si>
  <si>
    <t xml:space="preserve">Use the free dessert offer again</t>
  </si>
  <si>
    <t xml:space="preserve">Says the offer is used for this month and when it resets</t>
  </si>
  <si>
    <t xml:space="preserve">Usage count from the bank</t>
  </si>
  <si>
    <t xml:space="preserve">DN-03-012</t>
  </si>
  <si>
    <t xml:space="preserve">Pay to get the offer</t>
  </si>
  <si>
    <t xml:space="preserve">At the restaurant</t>
  </si>
  <si>
    <t xml:space="preserve">What do I do to get the discount?</t>
  </si>
  <si>
    <t xml:space="preserve">Tells them exactly what to do: pay with this card, show a code, or book through Gratifi</t>
  </si>
  <si>
    <t xml:space="preserve">Redemption method from the offer terms</t>
  </si>
  <si>
    <t xml:space="preserve">DN-03-013</t>
  </si>
  <si>
    <t xml:space="preserve">Pay the bill with points</t>
  </si>
  <si>
    <t xml:space="preserve">Can I use points on this dinner?</t>
  </si>
  <si>
    <t xml:space="preserve">Uses points against the charge if the bank allows, and shows the value</t>
  </si>
  <si>
    <t xml:space="preserve">TransactionRow, PointsSlider, ConfirmSheet</t>
  </si>
  <si>
    <t xml:space="preserve">Points-against-purchase allowed and valued by the bank</t>
  </si>
  <si>
    <t xml:space="preserve">DN-03-014</t>
  </si>
  <si>
    <t xml:space="preserve">Get a complimentary item</t>
  </si>
  <si>
    <t xml:space="preserve">Voucher</t>
  </si>
  <si>
    <t xml:space="preserve">Show me my free drinks voucher</t>
  </si>
  <si>
    <t xml:space="preserve">Shows the voucher code and how to use it</t>
  </si>
  <si>
    <t xml:space="preserve">NEW: TicketWallet, OfferCard</t>
  </si>
  <si>
    <t xml:space="preserve">DN-03-015</t>
  </si>
  <si>
    <t xml:space="preserve">Offer not applied</t>
  </si>
  <si>
    <t xml:space="preserve">After paying</t>
  </si>
  <si>
    <t xml:space="preserve">Offer missing</t>
  </si>
  <si>
    <t xml:space="preserve">I didn't get the 15% off last night</t>
  </si>
  <si>
    <t xml:space="preserve">Checks the transaction against the offer terms, logs a claim, and says when it should appear</t>
  </si>
  <si>
    <t xml:space="preserve">TransactionRow, OfferCard, StateCard</t>
  </si>
  <si>
    <t xml:space="preserve">Payout timing and eligibility from the bank</t>
  </si>
  <si>
    <t xml:space="preserve">DN-03-016</t>
  </si>
  <si>
    <t xml:space="preserve">Restaurant refused the offer</t>
  </si>
  <si>
    <t xml:space="preserve">Offer refused</t>
  </si>
  <si>
    <t xml:space="preserve">The restaurant says they don't do the card offer</t>
  </si>
  <si>
    <t xml:space="preserve">Shows the offer terms to show staff, and logs it for a person to follow up</t>
  </si>
  <si>
    <t xml:space="preserve">OfferCard, Handoff</t>
  </si>
  <si>
    <t xml:space="preserve">Offer honoured or compensated by the bank's decision</t>
  </si>
  <si>
    <t xml:space="preserve">DN-03-017</t>
  </si>
  <si>
    <t xml:space="preserve">Offer ended</t>
  </si>
  <si>
    <t xml:space="preserve">Expired</t>
  </si>
  <si>
    <t xml:space="preserve">Offer withdrawn</t>
  </si>
  <si>
    <t xml:space="preserve">Where did the dinner offer go?</t>
  </si>
  <si>
    <t xml:space="preserve">Says the offer ended and shows current ones</t>
  </si>
  <si>
    <t xml:space="preserve">Offer dates from the bank</t>
  </si>
  <si>
    <t xml:space="preserve">DN-03-018</t>
  </si>
  <si>
    <t xml:space="preserve">Check cashback</t>
  </si>
  <si>
    <t xml:space="preserve">Offer used</t>
  </si>
  <si>
    <t xml:space="preserve">Has my dining cashback come in?</t>
  </si>
  <si>
    <t xml:space="preserve">Shows the cashback state and expected date</t>
  </si>
  <si>
    <t xml:space="preserve">TransactionRow, StateCard</t>
  </si>
  <si>
    <t xml:space="preserve">Cashback from the bank ledger</t>
  </si>
  <si>
    <t xml:space="preserve">DN-03-019</t>
  </si>
  <si>
    <t xml:space="preserve">Get told about an expiring offer</t>
  </si>
  <si>
    <t xml:space="preserve">Offer expiring</t>
  </si>
  <si>
    <t xml:space="preserve">Reminds them a dining benefit expires this month</t>
  </si>
  <si>
    <t xml:space="preserve">Expiry from the bank; consent checked</t>
  </si>
  <si>
    <t xml:space="preserve">DN-03-020</t>
  </si>
  <si>
    <t xml:space="preserve">See savings from dining offers</t>
  </si>
  <si>
    <t xml:space="preserve">Year so far</t>
  </si>
  <si>
    <t xml:space="preserve">How much have I saved on dining this year?</t>
  </si>
  <si>
    <t xml:space="preserve">Shows total saved from dining offers this year</t>
  </si>
  <si>
    <t xml:space="preserve">Dial, TransactionRow</t>
  </si>
  <si>
    <t xml:space="preserve">Figures from the bank ledger</t>
  </si>
  <si>
    <t xml:space="preserve">DN-03-021</t>
  </si>
  <si>
    <t xml:space="preserve">Leave a dining programme</t>
  </si>
  <si>
    <t xml:space="preserve">No longer wanted</t>
  </si>
  <si>
    <t xml:space="preserve">Cancel the dining membership that came with my card</t>
  </si>
  <si>
    <t xml:space="preserve">Explains what they lose and ends the enrolment after a yes</t>
  </si>
  <si>
    <t xml:space="preserve">Enrolment ended by the bank or partner; data deletion per data law</t>
  </si>
  <si>
    <t xml:space="preserve">DN-03-022</t>
  </si>
  <si>
    <t xml:space="preserve">Remove an offer</t>
  </si>
  <si>
    <t xml:space="preserve">Take that restaurant offer off my card</t>
  </si>
  <si>
    <t xml:space="preserve">Removes the card-linked offer and confirms</t>
  </si>
  <si>
    <t xml:space="preserve">Removal handled by the bank</t>
  </si>
  <si>
    <t xml:space="preserve">DN-04-001</t>
  </si>
  <si>
    <t xml:space="preserve">Get told when bookings open</t>
  </si>
  <si>
    <t xml:space="preserve">Release date</t>
  </si>
  <si>
    <t xml:space="preserve">Tell me when they open December bookings</t>
  </si>
  <si>
    <t xml:space="preserve">Sets a reminder for the release time from the restaurant's own policy</t>
  </si>
  <si>
    <t xml:space="preserve">Release time from the restaurant; never guessed</t>
  </si>
  <si>
    <t xml:space="preserve">DN-04-002</t>
  </si>
  <si>
    <t xml:space="preserve">Alert set</t>
  </si>
  <si>
    <t xml:space="preserve">Bookings just opened; offers the best free slot with one tap</t>
  </si>
  <si>
    <t xml:space="preserve">Moment, TimeSlots, Button</t>
  </si>
  <si>
    <t xml:space="preserve">Consent for alerts; quiet hours respected</t>
  </si>
  <si>
    <t xml:space="preserve">DN-04-003</t>
  </si>
  <si>
    <t xml:space="preserve">Join a waitlist</t>
  </si>
  <si>
    <t xml:space="preserve">Put me on the waitlist for Saturday at the sushi place</t>
  </si>
  <si>
    <t xml:space="preserve">Joins the waitlist for the time window they choose and says how it works</t>
  </si>
  <si>
    <t xml:space="preserve">StateCard, TimeSlots, Toggle, Toast</t>
  </si>
  <si>
    <t xml:space="preserve">Waitlist rules from the restaurant system</t>
  </si>
  <si>
    <t xml:space="preserve">DN-04-004</t>
  </si>
  <si>
    <t xml:space="preserve">Join several waitlists</t>
  </si>
  <si>
    <t xml:space="preserve">Any of them</t>
  </si>
  <si>
    <t xml:space="preserve">Any of these three, Friday or Saturday</t>
  </si>
  <si>
    <t xml:space="preserve">Joins all three waitlists and stops the others once one is booked</t>
  </si>
  <si>
    <t xml:space="preserve">Rail, Toggle, Toast</t>
  </si>
  <si>
    <t xml:space="preserve">One booking per slot; others released on success</t>
  </si>
  <si>
    <t xml:space="preserve">DN-04-005</t>
  </si>
  <si>
    <t xml:space="preserve">Book automatically when a table frees up</t>
  </si>
  <si>
    <t xml:space="preserve">Pre-agreed</t>
  </si>
  <si>
    <t xml:space="preserve">If a table for two comes up Saturday 7 to 9, just book it</t>
  </si>
  <si>
    <t xml:space="preserve">Sets an auto-book with the limits they give and explains any deposit</t>
  </si>
  <si>
    <t xml:space="preserve">StateCard, TimeSlots, Toggle, ConfirmSheet</t>
  </si>
  <si>
    <t xml:space="preserve">Auto-book only within limits the customer confirmed; any deposit needs prior consent with an amount cap</t>
  </si>
  <si>
    <t xml:space="preserve">DN-04-006</t>
  </si>
  <si>
    <t xml:space="preserve">Book a freed-up table</t>
  </si>
  <si>
    <t xml:space="preserve">Alert fired</t>
  </si>
  <si>
    <t xml:space="preserve">A table just came free; shows it with a book button and how long it is held</t>
  </si>
  <si>
    <t xml:space="preserve">Hold time from the restaurant system</t>
  </si>
  <si>
    <t xml:space="preserve">DN-04-007</t>
  </si>
  <si>
    <t xml:space="preserve">Table gone</t>
  </si>
  <si>
    <t xml:space="preserve">(taps the alert)</t>
  </si>
  <si>
    <t xml:space="preserve">Says it was taken, keeps them on the waitlist</t>
  </si>
  <si>
    <t xml:space="preserve">StateCard (soldout), Toast</t>
  </si>
  <si>
    <t xml:space="preserve">DN-04-008</t>
  </si>
  <si>
    <t xml:space="preserve">Join a walk-in queue</t>
  </si>
  <si>
    <t xml:space="preserve">Get us in the queue at the ramen place</t>
  </si>
  <si>
    <t xml:space="preserve">Joins the restaurant's live queue and shows place and wait time</t>
  </si>
  <si>
    <t xml:space="preserve">NEW: Queue, Status</t>
  </si>
  <si>
    <t xml:space="preserve">Queue data from the restaurant</t>
  </si>
  <si>
    <t xml:space="preserve">DN-04-009</t>
  </si>
  <si>
    <t xml:space="preserve">Get concierge help</t>
  </si>
  <si>
    <t xml:space="preserve">Can someone get me in if the waitlist doesn't work?</t>
  </si>
  <si>
    <t xml:space="preserve">Checks the card includes concierge, and passes the request to a lifestyle manager</t>
  </si>
  <si>
    <t xml:space="preserve">BenefitRow, Handoff, NEW: ClaimTracker</t>
  </si>
  <si>
    <t xml:space="preserve">Concierge eligibility from the bank</t>
  </si>
  <si>
    <t xml:space="preserve">DN-04-010</t>
  </si>
  <si>
    <t xml:space="preserve">Standard card</t>
  </si>
  <si>
    <t xml:space="preserve">Can your concierge get me a table?</t>
  </si>
  <si>
    <t xml:space="preserve">Says concierge is not on this card, and offers waitlist and alerts instead</t>
  </si>
  <si>
    <t xml:space="preserve">DN-04-011</t>
  </si>
  <si>
    <t xml:space="preserve">Pay a deposit for a freed-up table</t>
  </si>
  <si>
    <t xml:space="preserve">(taps book on an alert)</t>
  </si>
  <si>
    <t xml:space="preserve">Shows the deposit and asks for a yes with the amount</t>
  </si>
  <si>
    <t xml:space="preserve">Deposit from the restaurant; spend needs a button with the amount</t>
  </si>
  <si>
    <t xml:space="preserve">DN-04-012</t>
  </si>
  <si>
    <t xml:space="preserve">Leave a waitlist</t>
  </si>
  <si>
    <t xml:space="preserve">Take me off the waitlist</t>
  </si>
  <si>
    <t xml:space="preserve">Removes them and confirms</t>
  </si>
  <si>
    <t xml:space="preserve">DN-04-013</t>
  </si>
  <si>
    <t xml:space="preserve">Cancel an auto-booked table</t>
  </si>
  <si>
    <t xml:space="preserve">Can't make it</t>
  </si>
  <si>
    <t xml:space="preserve">It booked Saturday but I can't go now</t>
  </si>
  <si>
    <t xml:space="preserve">Shows any cancellation fee and asks to confirm</t>
  </si>
  <si>
    <t xml:space="preserve">Fee from the restaurant terms</t>
  </si>
  <si>
    <t xml:space="preserve">DN-04-014</t>
  </si>
  <si>
    <t xml:space="preserve">Manage alerts</t>
  </si>
  <si>
    <t xml:space="preserve">Too many</t>
  </si>
  <si>
    <t xml:space="preserve">Stop the waitlist alerts at night</t>
  </si>
  <si>
    <t xml:space="preserve">Sets quiet hours for these alerts</t>
  </si>
  <si>
    <t xml:space="preserve">Alert settings saved with consent</t>
  </si>
  <si>
    <t xml:space="preserve">DN-04-015</t>
  </si>
  <si>
    <t xml:space="preserve">Stop a resale attempt</t>
  </si>
  <si>
    <t xml:space="preserve">Reselling</t>
  </si>
  <si>
    <t xml:space="preserve">Policy breach</t>
  </si>
  <si>
    <t xml:space="preserve">Can you book five slots so I can sell them on?</t>
  </si>
  <si>
    <t xml:space="preserve">Says it will not book tables for resale</t>
  </si>
  <si>
    <t xml:space="preserve">No bookings for resale; one booking per customer per slot</t>
  </si>
  <si>
    <t xml:space="preserve">DN-04-016</t>
  </si>
  <si>
    <t xml:space="preserve">See my waitlists</t>
  </si>
  <si>
    <t xml:space="preserve">Status</t>
  </si>
  <si>
    <t xml:space="preserve">What am I waiting on?</t>
  </si>
  <si>
    <t xml:space="preserve">Lists active waitlists and alerts</t>
  </si>
  <si>
    <t xml:space="preserve">Rail, Status</t>
  </si>
  <si>
    <t xml:space="preserve">QC-01-001</t>
  </si>
  <si>
    <t xml:space="preserve">Find out what I can get delivered now</t>
  </si>
  <si>
    <t xml:space="preserve">Near home</t>
  </si>
  <si>
    <t xml:space="preserve">What can I get delivered in 10 minutes?</t>
  </si>
  <si>
    <t xml:space="preserve">Checks the address is served, shows the promised time and the most-ordered items nearby</t>
  </si>
  <si>
    <t xml:space="preserve">Answer, Status, Rail, ProductCard</t>
  </si>
  <si>
    <t xml:space="preserve">Serviceable area and promised time from the partner, live</t>
  </si>
  <si>
    <t xml:space="preserve">Live in India (ICICI); other markets to confirm</t>
  </si>
  <si>
    <t xml:space="preserve">QC-01-002</t>
  </si>
  <si>
    <t xml:space="preserve">Get a deal on quick delivery</t>
  </si>
  <si>
    <t xml:space="preserve">Card offer</t>
  </si>
  <si>
    <t xml:space="preserve">Moment: a bank offer on quick delivery this weekend, with the saving shown</t>
  </si>
  <si>
    <t xml:space="preserve">Moment, OfferCard, Button</t>
  </si>
  <si>
    <t xml:space="preserve">Consent rules: UK GDPR, EU GDPR, India DPDP Act, Singapore PDPA, Malaysia PDPA, UAE PDPL</t>
  </si>
  <si>
    <t xml:space="preserve">QC-01-003</t>
  </si>
  <si>
    <t xml:space="preserve">Order essentials</t>
  </si>
  <si>
    <t xml:space="preserve">Short list</t>
  </si>
  <si>
    <t xml:space="preserve">Milk, a loaf of bread and six eggs</t>
  </si>
  <si>
    <t xml:space="preserve">Builds a basket from the nearest store and shows the total in points and cash</t>
  </si>
  <si>
    <t xml:space="preserve">YouSaid, NEW: Basket, PriceLines</t>
  </si>
  <si>
    <t xml:space="preserve">Stock and prices from the store at that moment</t>
  </si>
  <si>
    <t xml:space="preserve">IN: mixed Hindi-English lists are common; understanding must be tested</t>
  </si>
  <si>
    <t xml:space="preserve">QC-01-004</t>
  </si>
  <si>
    <t xml:space="preserve">Usual order</t>
  </si>
  <si>
    <t xml:space="preserve">Same as last Sunday</t>
  </si>
  <si>
    <t xml:space="preserve">Rebuilds the last basket and flags anything out of stock or dearer than last time</t>
  </si>
  <si>
    <t xml:space="preserve">NEW: Basket, StateCard</t>
  </si>
  <si>
    <t xml:space="preserve">Every item re-priced; old prices never reused</t>
  </si>
  <si>
    <t xml:space="preserve">QC-01-005</t>
  </si>
  <si>
    <t xml:space="preserve">What can I get for 500 points for tonight's dinner?</t>
  </si>
  <si>
    <t xml:space="preserve">Suggests a basket that fits the points and shows what is left</t>
  </si>
  <si>
    <t xml:space="preserve">NEW: Basket, PointsSlider, Price</t>
  </si>
  <si>
    <t xml:space="preserve">QC-01-006</t>
  </si>
  <si>
    <t xml:space="preserve">Guests arriving</t>
  </si>
  <si>
    <t xml:space="preserve">Guests in 20 minutes, need snacks and cold drinks for six</t>
  </si>
  <si>
    <t xml:space="preserve">Suggests a party basket for six from nearby stock, editable before paying</t>
  </si>
  <si>
    <t xml:space="preserve">Answer, NEW: Basket, Chips</t>
  </si>
  <si>
    <t xml:space="preserve">Only in-stock items; quantities editable</t>
  </si>
  <si>
    <t xml:space="preserve">QC-01-007</t>
  </si>
  <si>
    <t xml:space="preserve">For someone nearby</t>
  </si>
  <si>
    <t xml:space="preserve">Send some fruit and milk to my mum's flat, she can't go out</t>
  </si>
  <si>
    <t xml:space="preserve">Orders to a saved second address and adds her number for the rider</t>
  </si>
  <si>
    <t xml:space="preserve">NEW: AddressPicker, NEW: Basket, ConfirmSheet</t>
  </si>
  <si>
    <t xml:space="preserve">Recipient's number used only for this delivery</t>
  </si>
  <si>
    <t xml:space="preserve">QC-01-008</t>
  </si>
  <si>
    <t xml:space="preserve">Order from a recipe</t>
  </si>
  <si>
    <t xml:space="preserve">Recipe</t>
  </si>
  <si>
    <t xml:space="preserve">Everything for a paneer butter masala for four</t>
  </si>
  <si>
    <t xml:space="preserve">Turns the recipe into items and amounts and lets them tick off what they already have</t>
  </si>
  <si>
    <t xml:space="preserve">Only items the store has; amounts editable</t>
  </si>
  <si>
    <t xml:space="preserve">QC-01-009</t>
  </si>
  <si>
    <t xml:space="preserve">Order household items</t>
  </si>
  <si>
    <t xml:space="preserve">Non-food</t>
  </si>
  <si>
    <t xml:space="preserve">AA batteries and a phone charger cable</t>
  </si>
  <si>
    <t xml:space="preserve">Finds them in the nearby store with the type and fit clearly shown</t>
  </si>
  <si>
    <t xml:space="preserve">ProductCard, NEW: Basket</t>
  </si>
  <si>
    <t xml:space="preserve">Stock from the store; compatibility from product data</t>
  </si>
  <si>
    <t xml:space="preserve">QC-01-010</t>
  </si>
  <si>
    <t xml:space="preserve">Choose between items</t>
  </si>
  <si>
    <t xml:space="preserve">Size or brand</t>
  </si>
  <si>
    <t xml:space="preserve">Which is better value, the 1 litre or the 2 litre?</t>
  </si>
  <si>
    <t xml:space="preserve">Compares price per unit and says which is cheaper per litre</t>
  </si>
  <si>
    <t xml:space="preserve">Compare, Price</t>
  </si>
  <si>
    <t xml:space="preserve">Unit prices from the store</t>
  </si>
  <si>
    <t xml:space="preserve">QC-01-011</t>
  </si>
  <si>
    <t xml:space="preserve">Set swaps in advance</t>
  </si>
  <si>
    <t xml:space="preserve">Item might run out</t>
  </si>
  <si>
    <t xml:space="preserve">If there's no full cream milk, get toned</t>
  </si>
  <si>
    <t xml:space="preserve">Saves the swap rule for this order</t>
  </si>
  <si>
    <t xml:space="preserve">NEW: SubstitutionPicker</t>
  </si>
  <si>
    <t xml:space="preserve">A swap never costs more than the set limit without a new yes</t>
  </si>
  <si>
    <t xml:space="preserve">QC-01-012</t>
  </si>
  <si>
    <t xml:space="preserve">Pay for the order</t>
  </si>
  <si>
    <t xml:space="preserve">Shows the total with delivery and fees, confirms, places the order</t>
  </si>
  <si>
    <t xml:space="preserve">PayWith, PriceLines, ConfirmSheet, Receipt</t>
  </si>
  <si>
    <t xml:space="preserve">Delivery, small-basket and busy-time fees set by the partner and shown before paying</t>
  </si>
  <si>
    <t xml:space="preserve">QC-01-013</t>
  </si>
  <si>
    <t xml:space="preserve">Splits points and card and shows both amounts before confirming</t>
  </si>
  <si>
    <t xml:space="preserve">QC-01-014</t>
  </si>
  <si>
    <t xml:space="preserve">Below minimum order</t>
  </si>
  <si>
    <t xml:space="preserve">Basket too small</t>
  </si>
  <si>
    <t xml:space="preserve">Just a lemon</t>
  </si>
  <si>
    <t xml:space="preserve">Says the minimum or small-order fee and suggests adding an item or paying the fee</t>
  </si>
  <si>
    <t xml:space="preserve">StateCard, PriceLines, Suggestions</t>
  </si>
  <si>
    <t xml:space="preserve">Minimum and fee from the partner</t>
  </si>
  <si>
    <t xml:space="preserve">QC-01-015</t>
  </si>
  <si>
    <t xml:space="preserve">Stops, shows which items changed and the new total, asks again</t>
  </si>
  <si>
    <t xml:space="preserve">QC-01-016</t>
  </si>
  <si>
    <t xml:space="preserve">Card part</t>
  </si>
  <si>
    <t xml:space="preserve">Says nothing was ordered and no points were taken, offers points only or another card</t>
  </si>
  <si>
    <t xml:space="preserve">StateCard, PayWith</t>
  </si>
  <si>
    <t xml:space="preserve">No order without payment success; held points released</t>
  </si>
  <si>
    <t xml:space="preserve">QC-01-017</t>
  </si>
  <si>
    <t xml:space="preserve">Tip the rider</t>
  </si>
  <si>
    <t xml:space="preserve">After delivery</t>
  </si>
  <si>
    <t xml:space="preserve">Add a tip for the rider</t>
  </si>
  <si>
    <t xml:space="preserve">Adds a tip and says it goes to the rider as the partner states</t>
  </si>
  <si>
    <t xml:space="preserve">Chips, PriceLines, ConfirmSheet</t>
  </si>
  <si>
    <t xml:space="preserve">Tip optional; whether tips can be paid in points set by the bank and partner</t>
  </si>
  <si>
    <t xml:space="preserve">IN: tips in points to confirm</t>
  </si>
  <si>
    <t xml:space="preserve">QC-01-018</t>
  </si>
  <si>
    <t xml:space="preserve">Add delivery instructions</t>
  </si>
  <si>
    <t xml:space="preserve">Quiet arrival</t>
  </si>
  <si>
    <t xml:space="preserve">Baby's asleep, please don't ring the bell</t>
  </si>
  <si>
    <t xml:space="preserve">Adds the note to the order for the rider</t>
  </si>
  <si>
    <t xml:space="preserve">Note passed to the partner as text only</t>
  </si>
  <si>
    <t xml:space="preserve">QC-01-019</t>
  </si>
  <si>
    <t xml:space="preserve">Change the order</t>
  </si>
  <si>
    <t xml:space="preserve">Add an item</t>
  </si>
  <si>
    <t xml:space="preserve">Add a packet of biscuits to that</t>
  </si>
  <si>
    <t xml:space="preserve">Adds it if packing has not started, otherwise offers a second small order</t>
  </si>
  <si>
    <t xml:space="preserve">Changes allowed only before packing, per partner</t>
  </si>
  <si>
    <t xml:space="preserve">QC-01-020</t>
  </si>
  <si>
    <t xml:space="preserve">Cancel the order</t>
  </si>
  <si>
    <t xml:space="preserve">Cancel that order</t>
  </si>
  <si>
    <t xml:space="preserve">Checks whether packing has started, cancels and returns points if allowed</t>
  </si>
  <si>
    <t xml:space="preserve">StateCard, ConfirmSheet, Receipt</t>
  </si>
  <si>
    <t xml:space="preserve">Cancel window and any fee from partner terms; refund in the same points and card split</t>
  </si>
  <si>
    <t xml:space="preserve">QC-01-021</t>
  </si>
  <si>
    <t xml:space="preserve">Track the delivery</t>
  </si>
  <si>
    <t xml:space="preserve">Where's my order?</t>
  </si>
  <si>
    <t xml:space="preserve">Live status, minutes left and rider name</t>
  </si>
  <si>
    <t xml:space="preserve">NEW: DeliveryTracker, Status</t>
  </si>
  <si>
    <t xml:space="preserve">Status from the partner feed</t>
  </si>
  <si>
    <t xml:space="preserve">QC-01-022</t>
  </si>
  <si>
    <t xml:space="preserve">Late delivery</t>
  </si>
  <si>
    <t xml:space="preserve">Says it is late, gives the new time and what the partner offers for late orders</t>
  </si>
  <si>
    <t xml:space="preserve">NEW: DeliveryTracker, StateCard</t>
  </si>
  <si>
    <t xml:space="preserve">Any compensation only as partner terms state</t>
  </si>
  <si>
    <t xml:space="preserve">QC-01-023</t>
  </si>
  <si>
    <t xml:space="preserve">Heavy rain</t>
  </si>
  <si>
    <t xml:space="preserve">Delays across the area</t>
  </si>
  <si>
    <t xml:space="preserve">Warns before ordering that deliveries are slower right now and gives the current time</t>
  </si>
  <si>
    <t xml:space="preserve">Times from the partner, never guessed</t>
  </si>
  <si>
    <t xml:space="preserve">IN: monsoon delays common</t>
  </si>
  <si>
    <t xml:space="preserve">QC-01-024</t>
  </si>
  <si>
    <t xml:space="preserve">Contact the rider</t>
  </si>
  <si>
    <t xml:space="preserve">Can't find the house</t>
  </si>
  <si>
    <t xml:space="preserve">The rider can't find us</t>
  </si>
  <si>
    <t xml:space="preserve">Opens a masked call or chat with the rider and resends the pin</t>
  </si>
  <si>
    <t xml:space="preserve">NEW: RiderContact, Button</t>
  </si>
  <si>
    <t xml:space="preserve">Number masking by the partner; customer's number never shared</t>
  </si>
  <si>
    <t xml:space="preserve">QC-01-025</t>
  </si>
  <si>
    <t xml:space="preserve">Report a problem with the order</t>
  </si>
  <si>
    <t xml:space="preserve">Delivered</t>
  </si>
  <si>
    <t xml:space="preserve">Item missing</t>
  </si>
  <si>
    <t xml:space="preserve">No bread in the bag</t>
  </si>
  <si>
    <t xml:space="preserve">Checks the order and refunds that item in points or re-sends it</t>
  </si>
  <si>
    <t xml:space="preserve">NEW: IssuePicker, StateCard, Receipt</t>
  </si>
  <si>
    <t xml:space="preserve">Refund value is what was paid for the item; partner approves</t>
  </si>
  <si>
    <t xml:space="preserve">QC-01-026</t>
  </si>
  <si>
    <t xml:space="preserve">Damaged or spoilt</t>
  </si>
  <si>
    <t xml:space="preserve">The eggs are all cracked</t>
  </si>
  <si>
    <t xml:space="preserve">Asks for a photo, then refunds or replaces under partner rules</t>
  </si>
  <si>
    <t xml:space="preserve">NEW: IssuePicker, NEW: Upload, Receipt</t>
  </si>
  <si>
    <t xml:space="preserve">Photo proof and refund limits from the partner</t>
  </si>
  <si>
    <t xml:space="preserve">QC-01-027</t>
  </si>
  <si>
    <t xml:space="preserve">Wrong item</t>
  </si>
  <si>
    <t xml:space="preserve">I got skimmed milk, not full cream</t>
  </si>
  <si>
    <t xml:space="preserve">Refunds or replaces the item and notes it for the store</t>
  </si>
  <si>
    <t xml:space="preserve">Partner rules on replacement or refund</t>
  </si>
  <si>
    <t xml:space="preserve">QC-01-028</t>
  </si>
  <si>
    <t xml:space="preserve">Near expiry</t>
  </si>
  <si>
    <t xml:space="preserve">Expired or nearly expired</t>
  </si>
  <si>
    <t xml:space="preserve">The yoghurt is past its date</t>
  </si>
  <si>
    <t xml:space="preserve">Refunds it straight away and tells them not to eat it</t>
  </si>
  <si>
    <t xml:space="preserve">NEW: IssuePicker, Receipt</t>
  </si>
  <si>
    <t xml:space="preserve">Expired food always refunded; partner informed</t>
  </si>
  <si>
    <t xml:space="preserve">QC-01-029</t>
  </si>
  <si>
    <t xml:space="preserve">Handle an item that ran out</t>
  </si>
  <si>
    <t xml:space="preserve">No swap set</t>
  </si>
  <si>
    <t xml:space="preserve">Out of stock at packing</t>
  </si>
  <si>
    <t xml:space="preserve">Asks to swap, remove or cancel, one tap each</t>
  </si>
  <si>
    <t xml:space="preserve">StateCard, NEW: SubstitutionPicker</t>
  </si>
  <si>
    <t xml:space="preserve">Removed items refunded automatically in the same split</t>
  </si>
  <si>
    <t xml:space="preserve">QC-01-030</t>
  </si>
  <si>
    <t xml:space="preserve">Order to an address</t>
  </si>
  <si>
    <t xml:space="preserve">New address</t>
  </si>
  <si>
    <t xml:space="preserve">Not served</t>
  </si>
  <si>
    <t xml:space="preserve">Deliver to my parents in Pune</t>
  </si>
  <si>
    <t xml:space="preserve">Says 10-minute delivery does not reach that address and offers a scheduled grocery order</t>
  </si>
  <si>
    <t xml:space="preserve">Serviceability from the partner</t>
  </si>
  <si>
    <t xml:space="preserve">IN: serviceability by pincode; MY: East Malaysia delivery times longer (to confirm)</t>
  </si>
  <si>
    <t xml:space="preserve">QC-01-031</t>
  </si>
  <si>
    <t xml:space="preserve">Order late at night</t>
  </si>
  <si>
    <t xml:space="preserve">After hours</t>
  </si>
  <si>
    <t xml:space="preserve">Store closed</t>
  </si>
  <si>
    <t xml:space="preserve">Can I order at 2am?</t>
  </si>
  <si>
    <t xml:space="preserve">Says when the store opens and offers to schedule for then</t>
  </si>
  <si>
    <t xml:space="preserve">Store hours from the partner</t>
  </si>
  <si>
    <t xml:space="preserve">QC-01-032</t>
  </si>
  <si>
    <t xml:space="preserve">Find my missing points</t>
  </si>
  <si>
    <t xml:space="preserve">Order failed after paying</t>
  </si>
  <si>
    <t xml:space="preserve">Points taken, no order</t>
  </si>
  <si>
    <t xml:space="preserve">My points went but there is no order</t>
  </si>
  <si>
    <t xml:space="preserve">Checks the order; if it failed, returns the points automatically and shows when</t>
  </si>
  <si>
    <t xml:space="preserve">Automatic reversal within a set time; the bank ledger decides</t>
  </si>
  <si>
    <t xml:space="preserve">QC-01-033</t>
  </si>
  <si>
    <t xml:space="preserve">Order an age-restricted item</t>
  </si>
  <si>
    <t xml:space="preserve">Alcohol or tobacco</t>
  </si>
  <si>
    <t xml:space="preserve">Not allowed</t>
  </si>
  <si>
    <t xml:space="preserve">Add a pack of beer</t>
  </si>
  <si>
    <t xml:space="preserve">Says it cannot be ordered here</t>
  </si>
  <si>
    <t xml:space="preserve">Excluded categories from the bank and partner; local law</t>
  </si>
  <si>
    <t xml:space="preserve">IN: alcohol delivery depends on the state (to confirm)</t>
  </si>
  <si>
    <t xml:space="preserve">QC-01-034</t>
  </si>
  <si>
    <t xml:space="preserve">Order medicines</t>
  </si>
  <si>
    <t xml:space="preserve">Pharmacy item</t>
  </si>
  <si>
    <t xml:space="preserve">Add some cough syrup</t>
  </si>
  <si>
    <t xml:space="preserve">Says medicines are not sold through quick delivery here</t>
  </si>
  <si>
    <t xml:space="preserve">Regulated items blocked by the partner and bank lists</t>
  </si>
  <si>
    <t xml:space="preserve">Pharmacy rules differ per market (to confirm)</t>
  </si>
  <si>
    <t xml:space="preserve">QC-01-035</t>
  </si>
  <si>
    <t xml:space="preserve">Report the rider</t>
  </si>
  <si>
    <t xml:space="preserve">The delivery man was rude and threatening</t>
  </si>
  <si>
    <t xml:space="preserve">Takes it seriously, records it and hands to a person at once</t>
  </si>
  <si>
    <t xml:space="preserve">Safety complaints always go to a person; partner informed</t>
  </si>
  <si>
    <t xml:space="preserve">QC-01-036</t>
  </si>
  <si>
    <t xml:space="preserve">Complain about the service</t>
  </si>
  <si>
    <t xml:space="preserve">Repeated problems</t>
  </si>
  <si>
    <t xml:space="preserve">Third time items are missing, I'm fed up</t>
  </si>
  <si>
    <t xml:space="preserve">Logs the complaint with the order history and hands to a person</t>
  </si>
  <si>
    <t xml:space="preserve">Complaints process set by the bank</t>
  </si>
  <si>
    <t xml:space="preserve">QC-01-037</t>
  </si>
  <si>
    <t xml:space="preserve">Get the bill</t>
  </si>
  <si>
    <t xml:space="preserve">Records</t>
  </si>
  <si>
    <t xml:space="preserve">Send me the invoice for that order</t>
  </si>
  <si>
    <t xml:space="preserve">Sends the store invoice</t>
  </si>
  <si>
    <t xml:space="preserve">Invoice issued by the seller</t>
  </si>
  <si>
    <t xml:space="preserve">IN: GST invoice from the seller</t>
  </si>
  <si>
    <t xml:space="preserve">QC-01-038</t>
  </si>
  <si>
    <t xml:space="preserve">Rate the order</t>
  </si>
  <si>
    <t xml:space="preserve">One-tap rating for the order and the rider</t>
  </si>
  <si>
    <t xml:space="preserve">QC-01-039</t>
  </si>
  <si>
    <t xml:space="preserve">See what I spent</t>
  </si>
  <si>
    <t xml:space="preserve">Monthly</t>
  </si>
  <si>
    <t xml:space="preserve">How many points did I spend on quick delivery this month?</t>
  </si>
  <si>
    <t xml:space="preserve">Totals points and cash spent on quick delivery</t>
  </si>
  <si>
    <t xml:space="preserve">TransactionRow, Dial</t>
  </si>
  <si>
    <t xml:space="preserve">QC-02-001</t>
  </si>
  <si>
    <t xml:space="preserve">Find out if groceries can be delivered here</t>
  </si>
  <si>
    <t xml:space="preserve">New customer</t>
  </si>
  <si>
    <t xml:space="preserve">Can you do my food shop?</t>
  </si>
  <si>
    <t xml:space="preserve">Checks the address, names the grocers that deliver there and the next free slot</t>
  </si>
  <si>
    <t xml:space="preserve">Answer, TimeSlots</t>
  </si>
  <si>
    <t xml:space="preserve">Coverage and slots from grocery partners</t>
  </si>
  <si>
    <t xml:space="preserve">Instacart coverage in these six markets to confirm; local grocery partners needed</t>
  </si>
  <si>
    <t xml:space="preserve">QC-02-002</t>
  </si>
  <si>
    <t xml:space="preserve">Do the weekly shop</t>
  </si>
  <si>
    <t xml:space="preserve">Scheduled slot</t>
  </si>
  <si>
    <t xml:space="preserve">Do my usual weekly shop for Saturday morning</t>
  </si>
  <si>
    <t xml:space="preserve">Rebuilds the usual list, offers Saturday slots and shows the total</t>
  </si>
  <si>
    <t xml:space="preserve">NEW: Basket, TimeSlots, PriceLines</t>
  </si>
  <si>
    <t xml:space="preserve">Slots, prices and stock from the grocer</t>
  </si>
  <si>
    <t xml:space="preserve">QC-02-003</t>
  </si>
  <si>
    <t xml:space="preserve">Keep this week under 8,000 points</t>
  </si>
  <si>
    <t xml:space="preserve">Builds the basket to fit and suggests cheaper swaps where it goes over</t>
  </si>
  <si>
    <t xml:space="preserve">NEW: Basket, PointsSlider, Suggestions</t>
  </si>
  <si>
    <t xml:space="preserve">Point value from the bank; swaps suggested, never made without a yes</t>
  </si>
  <si>
    <t xml:space="preserve">QC-02-004</t>
  </si>
  <si>
    <t xml:space="preserve">Only vegetarian things, please</t>
  </si>
  <si>
    <t xml:space="preserve">Shows only items the grocer labels vegetarian</t>
  </si>
  <si>
    <t xml:space="preserve">NEW: Basket, FilterBar, Badge</t>
  </si>
  <si>
    <t xml:space="preserve">Diet labels from the grocer; never guessed</t>
  </si>
  <si>
    <t xml:space="preserve">IN: green and brown food marks shown as labelled</t>
  </si>
  <si>
    <t xml:space="preserve">QC-02-005</t>
  </si>
  <si>
    <t xml:space="preserve">Make sure the meat is halal</t>
  </si>
  <si>
    <t xml:space="preserve">Filters to items labelled halal and shows the certifier where given</t>
  </si>
  <si>
    <t xml:space="preserve">Halal status only as labelled by the grocer</t>
  </si>
  <si>
    <t xml:space="preserve">MY and AE: halal certification matters; show certifier as labelled</t>
  </si>
  <si>
    <t xml:space="preserve">QC-02-006</t>
  </si>
  <si>
    <t xml:space="preserve">Check what is in a product</t>
  </si>
  <si>
    <t xml:space="preserve">Does this granola have nuts in it?</t>
  </si>
  <si>
    <t xml:space="preserve">Shows the ingredients and allergen label from the product data and says to check the pack</t>
  </si>
  <si>
    <t xml:space="preserve">Answer, ProductCard</t>
  </si>
  <si>
    <t xml:space="preserve">Allergen information word for word from product data; if missing, says so; never guessed</t>
  </si>
  <si>
    <t xml:space="preserve">QC-02-007</t>
  </si>
  <si>
    <t xml:space="preserve">Plan meals for the week</t>
  </si>
  <si>
    <t xml:space="preserve">Family of four</t>
  </si>
  <si>
    <t xml:space="preserve">Plan five dinners for four and order what I need</t>
  </si>
  <si>
    <t xml:space="preserve">Suggests five meals and turns them into one basket to edit</t>
  </si>
  <si>
    <t xml:space="preserve">Answer, Rail, NEW: Basket</t>
  </si>
  <si>
    <t xml:space="preserve">Only items in stock at the grocer</t>
  </si>
  <si>
    <t xml:space="preserve">QC-02-008</t>
  </si>
  <si>
    <t xml:space="preserve">Order for someone else</t>
  </si>
  <si>
    <t xml:space="preserve">Another address</t>
  </si>
  <si>
    <t xml:space="preserve">Send a weekly shop to my dad in Leeds</t>
  </si>
  <si>
    <t xml:space="preserve">Builds a basket for his address, books a slot and adds his number for the driver</t>
  </si>
  <si>
    <t xml:space="preserve">NEW: AddressPicker, NEW: Basket, TimeSlots</t>
  </si>
  <si>
    <t xml:space="preserve">Recipient's details used only for delivery</t>
  </si>
  <si>
    <t xml:space="preserve">QC-02-009</t>
  </si>
  <si>
    <t xml:space="preserve">Order for a party</t>
  </si>
  <si>
    <t xml:space="preserve">Large quantities</t>
  </si>
  <si>
    <t xml:space="preserve">Food and drinks for 30 people on Saturday</t>
  </si>
  <si>
    <t xml:space="preserve">Builds a party basket, checks quantity limits and hands very large orders to the grocer</t>
  </si>
  <si>
    <t xml:space="preserve">NEW: Basket, StateCard, Handoff</t>
  </si>
  <si>
    <t xml:space="preserve">Per-item quantity limits from the grocer</t>
  </si>
  <si>
    <t xml:space="preserve">QC-02-010</t>
  </si>
  <si>
    <t xml:space="preserve">Keep a shopping list</t>
  </si>
  <si>
    <t xml:space="preserve">During the week</t>
  </si>
  <si>
    <t xml:space="preserve">(spoken) Add washing-up liquid to my list</t>
  </si>
  <si>
    <t xml:space="preserve">Shows what it heard and adds it to the list for the next shop</t>
  </si>
  <si>
    <t xml:space="preserve">AskBar, YouSaid, NEW: Basket</t>
  </si>
  <si>
    <t xml:space="preserve">Voice in English first; Hindi, Arabic and Malay later</t>
  </si>
  <si>
    <t xml:space="preserve">QC-02-011</t>
  </si>
  <si>
    <t xml:space="preserve">Pick a delivery slot</t>
  </si>
  <si>
    <t xml:space="preserve">Evening</t>
  </si>
  <si>
    <t xml:space="preserve">After 7 on Thursday</t>
  </si>
  <si>
    <t xml:space="preserve">Shows evening slots and their fees</t>
  </si>
  <si>
    <t xml:space="preserve">TimeSlots, Price</t>
  </si>
  <si>
    <t xml:space="preserve">Slot fees from the grocer</t>
  </si>
  <si>
    <t xml:space="preserve">QC-02-012</t>
  </si>
  <si>
    <t xml:space="preserve">Busy week</t>
  </si>
  <si>
    <t xml:space="preserve">No slots left</t>
  </si>
  <si>
    <t xml:space="preserve">Nothing on Saturday?</t>
  </si>
  <si>
    <t xml:space="preserve">Offers the nearest free slots and an alert if a Saturday slot frees up</t>
  </si>
  <si>
    <t xml:space="preserve">TimeSlots, StateCard, Toggle</t>
  </si>
  <si>
    <t xml:space="preserve">Slot data live from the grocer</t>
  </si>
  <si>
    <t xml:space="preserve">QC-02-013</t>
  </si>
  <si>
    <t xml:space="preserve">Set swap preferences</t>
  </si>
  <si>
    <t xml:space="preserve">Brand loyal</t>
  </si>
  <si>
    <t xml:space="preserve">Never swap my coffee</t>
  </si>
  <si>
    <t xml:space="preserve">Saves per-item swap rules for future orders</t>
  </si>
  <si>
    <t xml:space="preserve">NEW: SubstitutionPicker, Toast</t>
  </si>
  <si>
    <t xml:space="preserve">Rules saved to the profile with consent</t>
  </si>
  <si>
    <t xml:space="preserve">QC-02-014</t>
  </si>
  <si>
    <t xml:space="preserve">Buy loose or weighed items</t>
  </si>
  <si>
    <t xml:space="preserve">Fresh produce</t>
  </si>
  <si>
    <t xml:space="preserve">A kilo of tomatoes, ripe ones</t>
  </si>
  <si>
    <t xml:space="preserve">Adds it at an estimated price and explains the final charge depends on the weight</t>
  </si>
  <si>
    <t xml:space="preserve">NEW: Basket, PriceLines</t>
  </si>
  <si>
    <t xml:space="preserve">Estimate plus a set margin held; final charge on actual weight</t>
  </si>
  <si>
    <t xml:space="preserve">QC-02-015</t>
  </si>
  <si>
    <t xml:space="preserve">Pay for the shop</t>
  </si>
  <si>
    <t xml:space="preserve">Shows the full total with delivery, confirms and books the order</t>
  </si>
  <si>
    <t xml:space="preserve">Re-price before payment; delivery fee from the grocer</t>
  </si>
  <si>
    <t xml:space="preserve">QC-02-016</t>
  </si>
  <si>
    <t xml:space="preserve">Points first, then my card</t>
  </si>
  <si>
    <t xml:space="preserve">Splits points and card and shows both before confirming</t>
  </si>
  <si>
    <t xml:space="preserve">QC-02-017</t>
  </si>
  <si>
    <t xml:space="preserve">Settle weighed items</t>
  </si>
  <si>
    <t xml:space="preserve">Final price higher than estimate</t>
  </si>
  <si>
    <t xml:space="preserve">(after delivery)</t>
  </si>
  <si>
    <t xml:space="preserve">Shows the difference and settles it from the hold; anything above the hold needs a yes</t>
  </si>
  <si>
    <t xml:space="preserve">PriceLines, Receipt</t>
  </si>
  <si>
    <t xml:space="preserve">Never take more than the hold without consent</t>
  </si>
  <si>
    <t xml:space="preserve">QC-02-018</t>
  </si>
  <si>
    <t xml:space="preserve">Says the order was not booked, the slot is held briefly, offers another card</t>
  </si>
  <si>
    <t xml:space="preserve">Slot hold time from the grocer; no order without payment</t>
  </si>
  <si>
    <t xml:space="preserve">QC-02-019</t>
  </si>
  <si>
    <t xml:space="preserve">Add the grocer's own loyalty card</t>
  </si>
  <si>
    <t xml:space="preserve">Earn with the grocer too</t>
  </si>
  <si>
    <t xml:space="preserve">Add my supermarket card number</t>
  </si>
  <si>
    <t xml:space="preserve">Saves it to orders where the grocer allows</t>
  </si>
  <si>
    <t xml:space="preserve">Only if the grocer accepts it through its tools</t>
  </si>
  <si>
    <t xml:space="preserve">QC-02-020</t>
  </si>
  <si>
    <t xml:space="preserve">Make it a repeat order</t>
  </si>
  <si>
    <t xml:space="preserve">Every week</t>
  </si>
  <si>
    <t xml:space="preserve">Send this every Saturday</t>
  </si>
  <si>
    <t xml:space="preserve">Sets a repeat with a reminder the day before to review; each week is re-priced and confirmed</t>
  </si>
  <si>
    <t xml:space="preserve">Toggle, Toast, NEW: Basket</t>
  </si>
  <si>
    <t xml:space="preserve">No silent charges: every repeat needs its own confirm or a stated standing consent</t>
  </si>
  <si>
    <t xml:space="preserve">QC-02-021</t>
  </si>
  <si>
    <t xml:space="preserve">Before cut-off</t>
  </si>
  <si>
    <t xml:space="preserve">Add oat milk to Saturday's order</t>
  </si>
  <si>
    <t xml:space="preserve">Adds it and shows the new total</t>
  </si>
  <si>
    <t xml:space="preserve">NEW: Basket, Status</t>
  </si>
  <si>
    <t xml:space="preserve">Cut-off time from the grocer</t>
  </si>
  <si>
    <t xml:space="preserve">QC-02-022</t>
  </si>
  <si>
    <t xml:space="preserve">After cut-off</t>
  </si>
  <si>
    <t xml:space="preserve">Too late to change</t>
  </si>
  <si>
    <t xml:space="preserve">Can I add bananas?</t>
  </si>
  <si>
    <t xml:space="preserve">Says the order is locked and offers a small quick-delivery order instead</t>
  </si>
  <si>
    <t xml:space="preserve">QC-02-023</t>
  </si>
  <si>
    <t xml:space="preserve">Change the slot</t>
  </si>
  <si>
    <t xml:space="preserve">Plans moved</t>
  </si>
  <si>
    <t xml:space="preserve">Can you move my delivery to Sunday?</t>
  </si>
  <si>
    <t xml:space="preserve">Shows Sunday slots and any fee difference, confirms</t>
  </si>
  <si>
    <t xml:space="preserve">Slot change rules from the grocer</t>
  </si>
  <si>
    <t xml:space="preserve">QC-02-024</t>
  </si>
  <si>
    <t xml:space="preserve">Cancel Saturday's shop</t>
  </si>
  <si>
    <t xml:space="preserve">Cancels if before cut-off and releases the points</t>
  </si>
  <si>
    <t xml:space="preserve">Cancel terms and refunds from the grocer</t>
  </si>
  <si>
    <t xml:space="preserve">QC-02-025</t>
  </si>
  <si>
    <t xml:space="preserve">Last chance to change</t>
  </si>
  <si>
    <t xml:space="preserve">The evening before: shows the basket and the cut-off time</t>
  </si>
  <si>
    <t xml:space="preserve">Moment, NEW: Basket, Button</t>
  </si>
  <si>
    <t xml:space="preserve">Notification consent and quiet hours</t>
  </si>
  <si>
    <t xml:space="preserve">QC-02-026</t>
  </si>
  <si>
    <t xml:space="preserve">On the day</t>
  </si>
  <si>
    <t xml:space="preserve">When is the shopping coming?</t>
  </si>
  <si>
    <t xml:space="preserve">Shows the driver window and live position when near</t>
  </si>
  <si>
    <t xml:space="preserve">Times from the grocer</t>
  </si>
  <si>
    <t xml:space="preserve">QC-02-027</t>
  </si>
  <si>
    <t xml:space="preserve">Approve swaps</t>
  </si>
  <si>
    <t xml:space="preserve">During picking</t>
  </si>
  <si>
    <t xml:space="preserve">Items unavailable</t>
  </si>
  <si>
    <t xml:space="preserve">Shows each proposed swap to accept or reject</t>
  </si>
  <si>
    <t xml:space="preserve">NEW: SubstitutionPicker, StateCard</t>
  </si>
  <si>
    <t xml:space="preserve">Rejected swaps refunded automatically</t>
  </si>
  <si>
    <t xml:space="preserve">QC-02-028</t>
  </si>
  <si>
    <t xml:space="preserve">Sort out a missed delivery</t>
  </si>
  <si>
    <t xml:space="preserve">Not home</t>
  </si>
  <si>
    <t xml:space="preserve">Missed slot</t>
  </si>
  <si>
    <t xml:space="preserve">I missed the delivery</t>
  </si>
  <si>
    <t xml:space="preserve">Checks what happened, rebooks and explains any fee</t>
  </si>
  <si>
    <t xml:space="preserve">Redelivery fee per grocer terms</t>
  </si>
  <si>
    <t xml:space="preserve">QC-02-029</t>
  </si>
  <si>
    <t xml:space="preserve">Sort out a late delivery</t>
  </si>
  <si>
    <t xml:space="preserve">Slot passed</t>
  </si>
  <si>
    <t xml:space="preserve">Says the driver is late, gives the new time and lets them cancel if it no longer works</t>
  </si>
  <si>
    <t xml:space="preserve">Late-delivery terms from the grocer</t>
  </si>
  <si>
    <t xml:space="preserve">QC-02-030</t>
  </si>
  <si>
    <t xml:space="preserve">Report a problem with the shop</t>
  </si>
  <si>
    <t xml:space="preserve">Chilled or frozen</t>
  </si>
  <si>
    <t xml:space="preserve">Arrived warm</t>
  </si>
  <si>
    <t xml:space="preserve">The ice cream arrived melted</t>
  </si>
  <si>
    <t xml:space="preserve">Asks for a photo, refunds the item and notes it for the grocer</t>
  </si>
  <si>
    <t xml:space="preserve">Refund rules from the grocer</t>
  </si>
  <si>
    <t xml:space="preserve">QC-02-031</t>
  </si>
  <si>
    <t xml:space="preserve">Short date</t>
  </si>
  <si>
    <t xml:space="preserve">The chicken goes off tomorrow</t>
  </si>
  <si>
    <t xml:space="preserve">Checks the freshness promise and refunds if it falls short</t>
  </si>
  <si>
    <t xml:space="preserve">Grocer's freshness policy decides</t>
  </si>
  <si>
    <t xml:space="preserve">QC-02-032</t>
  </si>
  <si>
    <t xml:space="preserve">Bags missing</t>
  </si>
  <si>
    <t xml:space="preserve">Items missing</t>
  </si>
  <si>
    <t xml:space="preserve">Half the order is missing</t>
  </si>
  <si>
    <t xml:space="preserve">Lists what was paid for, marks what is missing and refunds or redelivers</t>
  </si>
  <si>
    <t xml:space="preserve">Refund value from what was paid</t>
  </si>
  <si>
    <t xml:space="preserve">QC-02-033</t>
  </si>
  <si>
    <t xml:space="preserve">Swap refused at the door</t>
  </si>
  <si>
    <t xml:space="preserve">Charged for a rejected swap</t>
  </si>
  <si>
    <t xml:space="preserve">I sent back the swap but I was charged</t>
  </si>
  <si>
    <t xml:space="preserve">Checks the order and refunds the swap</t>
  </si>
  <si>
    <t xml:space="preserve">Returned swaps refunded in full</t>
  </si>
  <si>
    <t xml:space="preserve">QC-02-034</t>
  </si>
  <si>
    <t xml:space="preserve">Place an order</t>
  </si>
  <si>
    <t xml:space="preserve">Grocer not answering</t>
  </si>
  <si>
    <t xml:space="preserve">(any order)</t>
  </si>
  <si>
    <t xml:space="preserve">Says the grocer cannot take orders right now, nothing charged, offers an alert or quick delivery</t>
  </si>
  <si>
    <t xml:space="preserve">Retry, then switch off supplier automatically</t>
  </si>
  <si>
    <t xml:space="preserve">QC-02-035</t>
  </si>
  <si>
    <t xml:space="preserve">Report unsafe food</t>
  </si>
  <si>
    <t xml:space="preserve">Something in the food</t>
  </si>
  <si>
    <t xml:space="preserve">I found a piece of glass in the salad</t>
  </si>
  <si>
    <t xml:space="preserve">Tells them not to eat it, asks for a photo, records it and hands to a person</t>
  </si>
  <si>
    <t xml:space="preserve">NEW: Upload, Handoff</t>
  </si>
  <si>
    <t xml:space="preserve">Food safety reports always go to a person; grocer informed</t>
  </si>
  <si>
    <t xml:space="preserve">QC-02-036</t>
  </si>
  <si>
    <t xml:space="preserve">Buy alcohol with the shop</t>
  </si>
  <si>
    <t xml:space="preserve">Age check</t>
  </si>
  <si>
    <t xml:space="preserve">Add two bottles of wine</t>
  </si>
  <si>
    <t xml:space="preserve">Adds it if allowed and says ID will be checked at the door</t>
  </si>
  <si>
    <t xml:space="preserve">Bank's excluded categories; age check by the grocer</t>
  </si>
  <si>
    <t xml:space="preserve">UK: ID check on delivery; AE: licensed sellers only; IN and MY: rules vary; whether points can pay for alcohol to confirm</t>
  </si>
  <si>
    <t xml:space="preserve">QC-02-037</t>
  </si>
  <si>
    <t xml:space="preserve">Get the receipt</t>
  </si>
  <si>
    <t xml:space="preserve">Sends the itemised receipt with any refunds shown</t>
  </si>
  <si>
    <t xml:space="preserve">Receipt from the grocer</t>
  </si>
  <si>
    <t xml:space="preserve">QC-02-038</t>
  </si>
  <si>
    <t xml:space="preserve">Restock before running out</t>
  </si>
  <si>
    <t xml:space="preserve">Regular items</t>
  </si>
  <si>
    <t xml:space="preserve">Notes they usually buy rice every three weeks and offers to add it</t>
  </si>
  <si>
    <t xml:space="preserve">Only with personalisation consent</t>
  </si>
  <si>
    <t xml:space="preserve">QC-02-039</t>
  </si>
  <si>
    <t xml:space="preserve">Save delivery details</t>
  </si>
  <si>
    <t xml:space="preserve">Access notes</t>
  </si>
  <si>
    <t xml:space="preserve">Remember we're vegetarian and the flat is on the 4th floor, no lift</t>
  </si>
  <si>
    <t xml:space="preserve">Saves the diet preference and access note for future orders</t>
  </si>
  <si>
    <t xml:space="preserve">Toast, NEW: AddressPicker</t>
  </si>
  <si>
    <t xml:space="preserve">Saved with consent; editable and deletable</t>
  </si>
  <si>
    <t xml:space="preserve">QC-03-001</t>
  </si>
  <si>
    <t xml:space="preserve">Order a takeaway</t>
  </si>
  <si>
    <t xml:space="preserve">Not live yet</t>
  </si>
  <si>
    <t xml:space="preserve">Can you order me a pizza?</t>
  </si>
  <si>
    <t xml:space="preserve">Says food delivery is not available here yet and offers what is (table booking, quick delivery)</t>
  </si>
  <si>
    <t xml:space="preserve">Answer, Suggestions</t>
  </si>
  <si>
    <t xml:space="preserve">Parked: hidden until switched on per bank and market</t>
  </si>
  <si>
    <t xml:space="preserve">Parked; Swiggy serves India only; other markets need partners (to confirm)</t>
  </si>
  <si>
    <t xml:space="preserve">QC-03-002</t>
  </si>
  <si>
    <t xml:space="preserve">Get told when food delivery goes live</t>
  </si>
  <si>
    <t xml:space="preserve">Waiting list</t>
  </si>
  <si>
    <t xml:space="preserve">Tells customers who asked before that food delivery is now available</t>
  </si>
  <si>
    <t xml:space="preserve">Moment, Button</t>
  </si>
  <si>
    <t xml:space="preserve">Only customers who asked to be told; consent</t>
  </si>
  <si>
    <t xml:space="preserve">QC-03-003</t>
  </si>
  <si>
    <t xml:space="preserve">Cuisine</t>
  </si>
  <si>
    <t xml:space="preserve">Biryani near me, somewhere well rated</t>
  </si>
  <si>
    <t xml:space="preserve">Three restaurants with delivery time, rating and total in points</t>
  </si>
  <si>
    <t xml:space="preserve">Menus, prices and times from the partner</t>
  </si>
  <si>
    <t xml:space="preserve">QC-03-004</t>
  </si>
  <si>
    <t xml:space="preserve">Dinner for two under 1,500 points</t>
  </si>
  <si>
    <t xml:space="preserve">Shows meals that fit, including delivery and fees</t>
  </si>
  <si>
    <t xml:space="preserve">Rail, NEW: RestaurantCard, Price</t>
  </si>
  <si>
    <t xml:space="preserve">Totals include all fees from the partner</t>
  </si>
  <si>
    <t xml:space="preserve">QC-03-005</t>
  </si>
  <si>
    <t xml:space="preserve">Pure vegetarian</t>
  </si>
  <si>
    <t xml:space="preserve">Pure veg places only</t>
  </si>
  <si>
    <t xml:space="preserve">Filters to restaurants the partner marks pure vegetarian</t>
  </si>
  <si>
    <t xml:space="preserve">FilterBar, Chips, NEW: RestaurantCard</t>
  </si>
  <si>
    <t xml:space="preserve">Labels from the partner; never guessed</t>
  </si>
  <si>
    <t xml:space="preserve">IN: pure veg and Jain options common</t>
  </si>
  <si>
    <t xml:space="preserve">QC-03-006</t>
  </si>
  <si>
    <t xml:space="preserve">Late night</t>
  </si>
  <si>
    <t xml:space="preserve">What's open after midnight?</t>
  </si>
  <si>
    <t xml:space="preserve">Shows restaurants open now that deliver to the address</t>
  </si>
  <si>
    <t xml:space="preserve">Rail, NEW: RestaurantCard, Status</t>
  </si>
  <si>
    <t xml:space="preserve">Opening hours live from the partner</t>
  </si>
  <si>
    <t xml:space="preserve">QC-03-007</t>
  </si>
  <si>
    <t xml:space="preserve">Reorder a favourite</t>
  </si>
  <si>
    <t xml:space="preserve">Usual</t>
  </si>
  <si>
    <t xml:space="preserve">My usual from Friday</t>
  </si>
  <si>
    <t xml:space="preserve">Rebuilds the last order, re-priced, and flags missing dishes</t>
  </si>
  <si>
    <t xml:space="preserve">Items and prices re-checked</t>
  </si>
  <si>
    <t xml:space="preserve">QC-03-008</t>
  </si>
  <si>
    <t xml:space="preserve">Build the order</t>
  </si>
  <si>
    <t xml:space="preserve">Changes to a dish</t>
  </si>
  <si>
    <t xml:space="preserve">Large, extra cheese, no onions</t>
  </si>
  <si>
    <t xml:space="preserve">Adds the dish with the chosen options and price change</t>
  </si>
  <si>
    <t xml:space="preserve">NEW: MenuCard, NEW: Basket</t>
  </si>
  <si>
    <t xml:space="preserve">Options and prices from the menu</t>
  </si>
  <si>
    <t xml:space="preserve">QC-03-009</t>
  </si>
  <si>
    <t xml:space="preserve">Check allergens in a dish</t>
  </si>
  <si>
    <t xml:space="preserve">Does the korma have nuts?</t>
  </si>
  <si>
    <t xml:space="preserve">Shows the restaurant's allergen note if given, otherwise says to ask the restaurant and offers to add a note</t>
  </si>
  <si>
    <t xml:space="preserve">Allergen information only from the restaurant; never guessed</t>
  </si>
  <si>
    <t xml:space="preserve">QC-03-010</t>
  </si>
  <si>
    <t xml:space="preserve">Order for a group</t>
  </si>
  <si>
    <t xml:space="preserve">Office lunch</t>
  </si>
  <si>
    <t xml:space="preserve">Lunch for eight in the team</t>
  </si>
  <si>
    <t xml:space="preserve">Collects choices, builds one order and shows the total</t>
  </si>
  <si>
    <t xml:space="preserve">NEW: Basket, AvatarStack, PriceLines</t>
  </si>
  <si>
    <t xml:space="preserve">Group order limits from the partner</t>
  </si>
  <si>
    <t xml:space="preserve">QC-03-011</t>
  </si>
  <si>
    <t xml:space="preserve">Schedule an order</t>
  </si>
  <si>
    <t xml:space="preserve">Later</t>
  </si>
  <si>
    <t xml:space="preserve">Deliver at 8pm</t>
  </si>
  <si>
    <t xml:space="preserve">Books the order for 8pm if the restaurant allows scheduling</t>
  </si>
  <si>
    <t xml:space="preserve">Scheduling from the partner</t>
  </si>
  <si>
    <t xml:space="preserve">QC-03-012</t>
  </si>
  <si>
    <t xml:space="preserve">Pay for the takeaway</t>
  </si>
  <si>
    <t xml:space="preserve">Shows total with delivery, packing and taxes, confirms, places the order</t>
  </si>
  <si>
    <t xml:space="preserve">All fees from the partner and shown before paying</t>
  </si>
  <si>
    <t xml:space="preserve">QC-03-013</t>
  </si>
  <si>
    <t xml:space="preserve">Points and the rest on card</t>
  </si>
  <si>
    <t xml:space="preserve">Splits points and card, confirms</t>
  </si>
  <si>
    <t xml:space="preserve">QC-03-014</t>
  </si>
  <si>
    <t xml:space="preserve">Use a card offer</t>
  </si>
  <si>
    <t xml:space="preserve">Offer on food</t>
  </si>
  <si>
    <t xml:space="preserve">Is there a discount with my card?</t>
  </si>
  <si>
    <t xml:space="preserve">Applies an eligible bank offer and shows the saving</t>
  </si>
  <si>
    <t xml:space="preserve">OfferCard, PriceLines</t>
  </si>
  <si>
    <t xml:space="preserve">Offer terms from the bank</t>
  </si>
  <si>
    <t xml:space="preserve">QC-03-015</t>
  </si>
  <si>
    <t xml:space="preserve">Stops and shows the new total before asking again</t>
  </si>
  <si>
    <t xml:space="preserve">QC-03-016</t>
  </si>
  <si>
    <t xml:space="preserve">Good service</t>
  </si>
  <si>
    <t xml:space="preserve">Give the rider a tip</t>
  </si>
  <si>
    <t xml:space="preserve">Adds a tip and confirms it goes to the rider</t>
  </si>
  <si>
    <t xml:space="preserve">Chips, PriceLines</t>
  </si>
  <si>
    <t xml:space="preserve">Tip handling from the partner</t>
  </si>
  <si>
    <t xml:space="preserve">QC-03-017</t>
  </si>
  <si>
    <t xml:space="preserve">Just placed</t>
  </si>
  <si>
    <t xml:space="preserve">Cancel it, I ordered by mistake</t>
  </si>
  <si>
    <t xml:space="preserve">Cancels if the restaurant hasn't accepted; says any fee first</t>
  </si>
  <si>
    <t xml:space="preserve">Cancel fee and refund from partner terms</t>
  </si>
  <si>
    <t xml:space="preserve">QC-03-018</t>
  </si>
  <si>
    <t xml:space="preserve">Track the order</t>
  </si>
  <si>
    <t xml:space="preserve">How long for the food?</t>
  </si>
  <si>
    <t xml:space="preserve">Shows cooking and delivery status and minutes left</t>
  </si>
  <si>
    <t xml:space="preserve">QC-03-019</t>
  </si>
  <si>
    <t xml:space="preserve">Sort out a late order</t>
  </si>
  <si>
    <t xml:space="preserve">Very late</t>
  </si>
  <si>
    <t xml:space="preserve">Says it is late, gives the new time and the options the partner allows</t>
  </si>
  <si>
    <t xml:space="preserve">Compensation only per partner terms</t>
  </si>
  <si>
    <t xml:space="preserve">QC-03-020</t>
  </si>
  <si>
    <t xml:space="preserve">Sort out a cancelled order</t>
  </si>
  <si>
    <t xml:space="preserve">Restaurant cancelled</t>
  </si>
  <si>
    <t xml:space="preserve">Says the restaurant cancelled, returns points and card in full, offers similar places</t>
  </si>
  <si>
    <t xml:space="preserve">Full refund when the supplier cancels</t>
  </si>
  <si>
    <t xml:space="preserve">QC-03-021</t>
  </si>
  <si>
    <t xml:space="preserve">Report a problem with the food</t>
  </si>
  <si>
    <t xml:space="preserve">Missing or wrong item</t>
  </si>
  <si>
    <t xml:space="preserve">They forgot the naan</t>
  </si>
  <si>
    <t xml:space="preserve">Refunds the missing item or asks the restaurant to send it</t>
  </si>
  <si>
    <t xml:space="preserve">Refund value and approval from the partner</t>
  </si>
  <si>
    <t xml:space="preserve">QC-03-022</t>
  </si>
  <si>
    <t xml:space="preserve">Spilled or cold</t>
  </si>
  <si>
    <t xml:space="preserve">The curry has leaked everywhere</t>
  </si>
  <si>
    <t xml:space="preserve">Asks for a photo and refunds per partner rules</t>
  </si>
  <si>
    <t xml:space="preserve">Photo proof and limits from the partner</t>
  </si>
  <si>
    <t xml:space="preserve">QC-03-023</t>
  </si>
  <si>
    <t xml:space="preserve">Report feeling unwell after food</t>
  </si>
  <si>
    <t xml:space="preserve">Food safety</t>
  </si>
  <si>
    <t xml:space="preserve">I think the food made me ill</t>
  </si>
  <si>
    <t xml:space="preserve">Suggests medical help if needed, records it and hands to a person</t>
  </si>
  <si>
    <t xml:space="preserve">Food safety always to a person; restaurant and partner informed</t>
  </si>
  <si>
    <t xml:space="preserve">QC-03-024</t>
  </si>
  <si>
    <t xml:space="preserve">Business meal</t>
  </si>
  <si>
    <t xml:space="preserve">I need an invoice for my expenses</t>
  </si>
  <si>
    <t xml:space="preserve">Sends the restaurant invoice with tax shown</t>
  </si>
  <si>
    <t xml:space="preserve">Invoice issued by the restaurant or partner</t>
  </si>
  <si>
    <t xml:space="preserve">IN: GST invoice needs the company GSTIN; UK and EU: VAT invoice</t>
  </si>
  <si>
    <t xml:space="preserve">QC-03-025</t>
  </si>
  <si>
    <t xml:space="preserve">One-tap rating for food and delivery</t>
  </si>
  <si>
    <t xml:space="preserve">SH-01-001</t>
  </si>
  <si>
    <t xml:space="preserve">Find the right product</t>
  </si>
  <si>
    <t xml:space="preserve">I need a new laptop for work and some video editing</t>
  </si>
  <si>
    <t xml:space="preserve">Asks budget and size, then shows three picks with the reason for each</t>
  </si>
  <si>
    <t xml:space="preserve">Answer, Suggestions, Rail, ProductCard</t>
  </si>
  <si>
    <t xml:space="preserve">Specs and prices from the catalogue; each reason must be a listed spec</t>
  </si>
  <si>
    <t xml:space="preserve">SH-01-002</t>
  </si>
  <si>
    <t xml:space="preserve">Best headphones I can get with 60,000 points</t>
  </si>
  <si>
    <t xml:space="preserve">Shows options the points cover, best match first</t>
  </si>
  <si>
    <t xml:space="preserve">Dial, Rail, ProductCard</t>
  </si>
  <si>
    <t xml:space="preserve">Point prices from the catalogue</t>
  </si>
  <si>
    <t xml:space="preserve">SH-01-003</t>
  </si>
  <si>
    <t xml:space="preserve">The best noise-cancelling headphones, price not an issue</t>
  </si>
  <si>
    <t xml:space="preserve">Shows top-rated premium models and what sets each apart</t>
  </si>
  <si>
    <t xml:space="preserve">Rail, ProductCard, Compare</t>
  </si>
  <si>
    <t xml:space="preserve">Only listed specs and verified ratings</t>
  </si>
  <si>
    <t xml:space="preserve">SH-01-004</t>
  </si>
  <si>
    <t xml:space="preserve">Find a gift</t>
  </si>
  <si>
    <t xml:space="preserve">A gadget for my dad, he likes cricket and gardening, around 30,000 points</t>
  </si>
  <si>
    <t xml:space="preserve">Suggests three gifts that fit and offers gift delivery</t>
  </si>
  <si>
    <t xml:space="preserve">Answer, Rail, ProductCard</t>
  </si>
  <si>
    <t xml:space="preserve">Only in-stock items within budget</t>
  </si>
  <si>
    <t xml:space="preserve">Peaks differ: Diwali and wedding season (IN), Eid (AE, MY), Hari Raya (MY), Chinese New Year (SG, MY), Christmas (UK, EU)</t>
  </si>
  <si>
    <t xml:space="preserve">SH-01-005</t>
  </si>
  <si>
    <t xml:space="preserve">Get more from points than a voucher</t>
  </si>
  <si>
    <t xml:space="preserve">Usually redeems vouchers</t>
  </si>
  <si>
    <t xml:space="preserve">Shows a product the points cover with value per point beside the usual voucher</t>
  </si>
  <si>
    <t xml:space="preserve">Moment, Compare, ProductCard</t>
  </si>
  <si>
    <t xml:space="preserve">Values from live prices; both options shown fairly</t>
  </si>
  <si>
    <t xml:space="preserve">SH-01-006</t>
  </si>
  <si>
    <t xml:space="preserve">Understand a spec</t>
  </si>
  <si>
    <t xml:space="preserve">Not technical</t>
  </si>
  <si>
    <t xml:space="preserve">What does 120Hz mean and do I need it?</t>
  </si>
  <si>
    <t xml:space="preserve">Explains in plain words and whether it matters for how they use it</t>
  </si>
  <si>
    <t xml:space="preserve">General explanation; never invents product specs</t>
  </si>
  <si>
    <t xml:space="preserve">SH-01-007</t>
  </si>
  <si>
    <t xml:space="preserve">Pre-order a new launch</t>
  </si>
  <si>
    <t xml:space="preserve">New model</t>
  </si>
  <si>
    <t xml:space="preserve">Can I pre-order the new phone?</t>
  </si>
  <si>
    <t xml:space="preserve">Shows pre-order terms and expected date if the catalogue has it</t>
  </si>
  <si>
    <t xml:space="preserve">ProductCard, StateCard</t>
  </si>
  <si>
    <t xml:space="preserve">When points are taken (order or dispatch) set by terms</t>
  </si>
  <si>
    <t xml:space="preserve">SH-01-008</t>
  </si>
  <si>
    <t xml:space="preserve">Buy refurbished or used</t>
  </si>
  <si>
    <t xml:space="preserve">Anything cheaper? Refurbished is fine</t>
  </si>
  <si>
    <t xml:space="preserve">Shows refurbished options with condition grade and warranty</t>
  </si>
  <si>
    <t xml:space="preserve">Rail, ProductCard, Badge</t>
  </si>
  <si>
    <t xml:space="preserve">Condition grade and warranty from the seller</t>
  </si>
  <si>
    <t xml:space="preserve">eBay supply: seller and condition vary by market</t>
  </si>
  <si>
    <t xml:space="preserve">SH-01-009</t>
  </si>
  <si>
    <t xml:space="preserve">Find an easy-to-use device</t>
  </si>
  <si>
    <t xml:space="preserve">A phone that is easy for my dad, his eyesight is poor</t>
  </si>
  <si>
    <t xml:space="preserve">Shows phones with large text, loud speakers and simple modes, with the reason</t>
  </si>
  <si>
    <t xml:space="preserve">Features from product data only</t>
  </si>
  <si>
    <t xml:space="preserve">SH-01-010</t>
  </si>
  <si>
    <t xml:space="preserve">Find a specific model</t>
  </si>
  <si>
    <t xml:space="preserve">Model known</t>
  </si>
  <si>
    <t xml:space="preserve">The latest 256GB phone in black</t>
  </si>
  <si>
    <t xml:space="preserve">Finds the exact model and shows colour and storage options</t>
  </si>
  <si>
    <t xml:space="preserve">ProductCard, NEW: VariantPicker</t>
  </si>
  <si>
    <t xml:space="preserve">Variants and stock from the catalogue</t>
  </si>
  <si>
    <t xml:space="preserve">SH-01-011</t>
  </si>
  <si>
    <t xml:space="preserve">Filter results</t>
  </si>
  <si>
    <t xml:space="preserve">Specs</t>
  </si>
  <si>
    <t xml:space="preserve">Only laptops with 16GB memory and under 1.5kg</t>
  </si>
  <si>
    <t xml:space="preserve">Applies the filters and says how many match</t>
  </si>
  <si>
    <t xml:space="preserve">FilterBar, Chips, Rail</t>
  </si>
  <si>
    <t xml:space="preserve">SH-01-012</t>
  </si>
  <si>
    <t xml:space="preserve">Get told about a price drop</t>
  </si>
  <si>
    <t xml:space="preserve">Tell me if this drops below 50,000 points</t>
  </si>
  <si>
    <t xml:space="preserve">Sets an alert at that points price</t>
  </si>
  <si>
    <t xml:space="preserve">Alert fires on the catalogue price only</t>
  </si>
  <si>
    <t xml:space="preserve">SH-01-013</t>
  </si>
  <si>
    <t xml:space="preserve">Find a product that is out of stock</t>
  </si>
  <si>
    <t xml:space="preserve">Wanted item</t>
  </si>
  <si>
    <t xml:space="preserve">(taps product)</t>
  </si>
  <si>
    <t xml:space="preserve">Says it is out of stock, offers a back-in-stock alert and the nearest alternatives</t>
  </si>
  <si>
    <t xml:space="preserve">StateCard, NEW: StockAlert, Rail</t>
  </si>
  <si>
    <t xml:space="preserve">Stock live from the catalogue</t>
  </si>
  <si>
    <t xml:space="preserve">SH-01-014</t>
  </si>
  <si>
    <t xml:space="preserve">Browse the catalogue</t>
  </si>
  <si>
    <t xml:space="preserve">Catalogue unavailable</t>
  </si>
  <si>
    <t xml:space="preserve">Says the shop is not answering, nothing was ordered, try again shortly</t>
  </si>
  <si>
    <t xml:space="preserve">Retry, then fall back to another supplier where listed</t>
  </si>
  <si>
    <t xml:space="preserve">SH-01-015</t>
  </si>
  <si>
    <t xml:space="preserve">Compare products</t>
  </si>
  <si>
    <t xml:space="preserve">Two or three options</t>
  </si>
  <si>
    <t xml:space="preserve">Compare these two earbuds</t>
  </si>
  <si>
    <t xml:space="preserve">Side by side on what differs: battery, noise cancelling, warranty, points price</t>
  </si>
  <si>
    <t xml:space="preserve">Only listed specs</t>
  </si>
  <si>
    <t xml:space="preserve">SH-01-016</t>
  </si>
  <si>
    <t xml:space="preserve">Choose colour and storage</t>
  </si>
  <si>
    <t xml:space="preserve">Variant</t>
  </si>
  <si>
    <t xml:space="preserve">The blue one with more storage</t>
  </si>
  <si>
    <t xml:space="preserve">Switches the variant and shows the new points price</t>
  </si>
  <si>
    <t xml:space="preserve">NEW: VariantPicker, Price</t>
  </si>
  <si>
    <t xml:space="preserve">Each variant priced separately</t>
  </si>
  <si>
    <t xml:space="preserve">SH-01-017</t>
  </si>
  <si>
    <t xml:space="preserve">Variant gone</t>
  </si>
  <si>
    <t xml:space="preserve">The blue one</t>
  </si>
  <si>
    <t xml:space="preserve">Says blue is out of stock and shows the colours in stock</t>
  </si>
  <si>
    <t xml:space="preserve">NEW: VariantPicker, StateCard</t>
  </si>
  <si>
    <t xml:space="preserve">Stock per variant</t>
  </si>
  <si>
    <t xml:space="preserve">SH-01-018</t>
  </si>
  <si>
    <t xml:space="preserve">Check compatibility</t>
  </si>
  <si>
    <t xml:space="preserve">Accessory</t>
  </si>
  <si>
    <t xml:space="preserve">Will this case fit my phone?</t>
  </si>
  <si>
    <t xml:space="preserve">Checks the listed compatible models and says clearly if it is not listed</t>
  </si>
  <si>
    <t xml:space="preserve">Compatibility from product data only; never guessed</t>
  </si>
  <si>
    <t xml:space="preserve">SH-01-019</t>
  </si>
  <si>
    <t xml:space="preserve">Read what buyers say</t>
  </si>
  <si>
    <t xml:space="preserve">Reviews</t>
  </si>
  <si>
    <t xml:space="preserve">Are people happy with this one?</t>
  </si>
  <si>
    <t xml:space="preserve">Summarises ratings and common complaints from verified reviews, with the count</t>
  </si>
  <si>
    <t xml:space="preserve">NEW: ReviewSummary</t>
  </si>
  <si>
    <t xml:space="preserve">Only real reviews from the source; never written by Gratifi</t>
  </si>
  <si>
    <t xml:space="preserve">SH-01-020</t>
  </si>
  <si>
    <t xml:space="preserve">Check warranty and plug</t>
  </si>
  <si>
    <t xml:space="preserve">Imported model</t>
  </si>
  <si>
    <t xml:space="preserve">Is the warranty valid here and does it have the right plug?</t>
  </si>
  <si>
    <t xml:space="preserve">Shows warranty region, length and plug type</t>
  </si>
  <si>
    <t xml:space="preserve">Answer, Meta</t>
  </si>
  <si>
    <t xml:space="preserve">From the listing and maker</t>
  </si>
  <si>
    <t xml:space="preserve">Plug type: UK, AE, SG and MY use the UK three-pin type; EU and IN use other types</t>
  </si>
  <si>
    <t xml:space="preserve">SH-01-021</t>
  </si>
  <si>
    <t xml:space="preserve">Check the delivery date</t>
  </si>
  <si>
    <t xml:space="preserve">Needed by a date</t>
  </si>
  <si>
    <t xml:space="preserve">Will it arrive before Friday?</t>
  </si>
  <si>
    <t xml:space="preserve">Shows the promised date for their address</t>
  </si>
  <si>
    <t xml:space="preserve">Date from the seller for the postcode or pincode</t>
  </si>
  <si>
    <t xml:space="preserve">SH-01-022</t>
  </si>
  <si>
    <t xml:space="preserve">Buy for the business</t>
  </si>
  <si>
    <t xml:space="preserve">Company invoice</t>
  </si>
  <si>
    <t xml:space="preserve">I need a GST invoice with my company details</t>
  </si>
  <si>
    <t xml:space="preserve">Captures company details before the order so the invoice is right</t>
  </si>
  <si>
    <t xml:space="preserve">Invoice issued by the seller; details must be set before ordering</t>
  </si>
  <si>
    <t xml:space="preserve">SH-01-023</t>
  </si>
  <si>
    <t xml:space="preserve">Pay for the product</t>
  </si>
  <si>
    <t xml:space="preserve">Buy it with points</t>
  </si>
  <si>
    <t xml:space="preserve">Shows the points total, confirms and places the order</t>
  </si>
  <si>
    <t xml:space="preserve">Re-price before payment; spend needs a button with the amount</t>
  </si>
  <si>
    <t xml:space="preserve">SH-01-024</t>
  </si>
  <si>
    <t xml:space="preserve">SH-01-025</t>
  </si>
  <si>
    <t xml:space="preserve">Just points please</t>
  </si>
  <si>
    <t xml:space="preserve">Says how many points short, offers points and card or a saving goal</t>
  </si>
  <si>
    <t xml:space="preserve">PayWith, StateCard, Suggestions</t>
  </si>
  <si>
    <t xml:space="preserve">Balance from the bank</t>
  </si>
  <si>
    <t xml:space="preserve">SH-01-026</t>
  </si>
  <si>
    <t xml:space="preserve">Can I spread the card part over six months?</t>
  </si>
  <si>
    <t xml:space="preserve">Shows the bank's instalment options if eligible, with total cost</t>
  </si>
  <si>
    <t xml:space="preserve">NEW: InstalmentPlan, Answer</t>
  </si>
  <si>
    <t xml:space="preserve">Eligibility, rates and fees from the bank only</t>
  </si>
  <si>
    <t xml:space="preserve">SH-01-027</t>
  </si>
  <si>
    <t xml:space="preserve">Stops, shows the old and new price and asks again</t>
  </si>
  <si>
    <t xml:space="preserve">SH-01-028</t>
  </si>
  <si>
    <t xml:space="preserve">Says nothing was ordered and no points were taken, offers another card</t>
  </si>
  <si>
    <t xml:space="preserve">No order without payment success</t>
  </si>
  <si>
    <t xml:space="preserve">SH-01-029</t>
  </si>
  <si>
    <t xml:space="preserve">Buy several expensive items</t>
  </si>
  <si>
    <t xml:space="preserve">Unusual order</t>
  </si>
  <si>
    <t xml:space="preserve">Fraud flag</t>
  </si>
  <si>
    <t xml:space="preserve">(confirms an order for three phones)</t>
  </si>
  <si>
    <t xml:space="preserve">Pauses the order and hands to the bank's fraud team</t>
  </si>
  <si>
    <t xml:space="preserve">Fraud checks and quantity limits set by the bank</t>
  </si>
  <si>
    <t xml:space="preserve">SH-01-030</t>
  </si>
  <si>
    <t xml:space="preserve">Add extra cover</t>
  </si>
  <si>
    <t xml:space="preserve">Protection</t>
  </si>
  <si>
    <t xml:space="preserve">Can I add extra cover on this?</t>
  </si>
  <si>
    <t xml:space="preserve">Checks the card's own purchase cover first, then shows extended warranty if a licensed partner sells it</t>
  </si>
  <si>
    <t xml:space="preserve">Card cover from the bank; insurance sold only by a licensed partner</t>
  </si>
  <si>
    <t xml:space="preserve">Insurance selling needs licences per market (to confirm)</t>
  </si>
  <si>
    <t xml:space="preserve">SH-01-031</t>
  </si>
  <si>
    <t xml:space="preserve">Trade in an old device</t>
  </si>
  <si>
    <t xml:space="preserve">Exchange</t>
  </si>
  <si>
    <t xml:space="preserve">Can I trade in my old phone?</t>
  </si>
  <si>
    <t xml:space="preserve">Asks model and condition and shows the trade-in value from the partner</t>
  </si>
  <si>
    <t xml:space="preserve">NEW: TradeInQuote</t>
  </si>
  <si>
    <t xml:space="preserve">Value from the partner; final after inspection</t>
  </si>
  <si>
    <t xml:space="preserve">Exchange offers common in IN; others to confirm</t>
  </si>
  <si>
    <t xml:space="preserve">SH-01-032</t>
  </si>
  <si>
    <t xml:space="preserve">Add matching accessories</t>
  </si>
  <si>
    <t xml:space="preserve">Complete the setup</t>
  </si>
  <si>
    <t xml:space="preserve">What else do I need with this camera?</t>
  </si>
  <si>
    <t xml:space="preserve">Suggests a memory card and case that fit, with points prices</t>
  </si>
  <si>
    <t xml:space="preserve">Rail, ProductCard</t>
  </si>
  <si>
    <t xml:space="preserve">Compatibility from product data</t>
  </si>
  <si>
    <t xml:space="preserve">SH-01-033</t>
  </si>
  <si>
    <t xml:space="preserve">Book setup or wall mounting</t>
  </si>
  <si>
    <t xml:space="preserve">TV</t>
  </si>
  <si>
    <t xml:space="preserve">Can someone mount the TV on the wall?</t>
  </si>
  <si>
    <t xml:space="preserve">Offers setup if the seller provides it, with slots and price</t>
  </si>
  <si>
    <t xml:space="preserve">TimeSlots, PriceLines</t>
  </si>
  <si>
    <t xml:space="preserve">Service and price from the seller</t>
  </si>
  <si>
    <t xml:space="preserve">SH-01-034</t>
  </si>
  <si>
    <t xml:space="preserve">Cancel before dispatch</t>
  </si>
  <si>
    <t xml:space="preserve">Cancel the laptop order</t>
  </si>
  <si>
    <t xml:space="preserve">Cancels if not yet dispatched and returns points and card money the same way they were paid</t>
  </si>
  <si>
    <t xml:space="preserve">Cancel window from seller; refund mirrors payment</t>
  </si>
  <si>
    <t xml:space="preserve">UK and EU: 14 days to cancel most online orders from delivery (whether this covers points redemptions to confirm); IN, AE, SG, MY: seller terms and local consumer law (to confirm)</t>
  </si>
  <si>
    <t xml:space="preserve">SH-01-035</t>
  </si>
  <si>
    <t xml:space="preserve">Save up for a product</t>
  </si>
  <si>
    <t xml:space="preserve">Goal</t>
  </si>
  <si>
    <t xml:space="preserve">I want this laptop but I'm 20,000 points short</t>
  </si>
  <si>
    <t xml:space="preserve">Sets a goal and shows how fast they are earning towards it</t>
  </si>
  <si>
    <t xml:space="preserve">Dial, NEW: SavingsGoal</t>
  </si>
  <si>
    <t xml:space="preserve">Earning rate from the bank ledger</t>
  </si>
  <si>
    <t xml:space="preserve">SH-01-036</t>
  </si>
  <si>
    <t xml:space="preserve">Hear when a wishlist item is within reach</t>
  </si>
  <si>
    <t xml:space="preserve">Goal reached</t>
  </si>
  <si>
    <t xml:space="preserve">Tells them they now have enough points for the saved item</t>
  </si>
  <si>
    <t xml:space="preserve">Moment, ProductCard, Button</t>
  </si>
  <si>
    <t xml:space="preserve">Balance and price live; notification consent</t>
  </si>
  <si>
    <t xml:space="preserve">SH-02-001</t>
  </si>
  <si>
    <t xml:space="preserve">Find something to wear</t>
  </si>
  <si>
    <t xml:space="preserve">Something for a winter wedding, smart but not a suit</t>
  </si>
  <si>
    <t xml:space="preserve">Shows three looks with the reason for each</t>
  </si>
  <si>
    <t xml:space="preserve">Only in-stock items; reasons from product details</t>
  </si>
  <si>
    <t xml:space="preserve">SH-02-002</t>
  </si>
  <si>
    <t xml:space="preserve">Find a beauty gift</t>
  </si>
  <si>
    <t xml:space="preserve">A skincare gift set for my sister, around 15,000 points</t>
  </si>
  <si>
    <t xml:space="preserve">Suggests three sets within budget and offers gift wrap</t>
  </si>
  <si>
    <t xml:space="preserve">Prices from the catalogue</t>
  </si>
  <si>
    <t xml:space="preserve">SH-02-003</t>
  </si>
  <si>
    <t xml:space="preserve">Get style advice</t>
  </si>
  <si>
    <t xml:space="preserve">What goes with it</t>
  </si>
  <si>
    <t xml:space="preserve">What shoes go with a navy suit?</t>
  </si>
  <si>
    <t xml:space="preserve">Gives plain advice and shows matching items</t>
  </si>
  <si>
    <t xml:space="preserve">Advice general; products from the catalogue</t>
  </si>
  <si>
    <t xml:space="preserve">SH-02-004</t>
  </si>
  <si>
    <t xml:space="preserve">Hear about a sale</t>
  </si>
  <si>
    <t xml:space="preserve">Brands they buy</t>
  </si>
  <si>
    <t xml:space="preserve">Moment: a sale on a brand they have bought before</t>
  </si>
  <si>
    <t xml:space="preserve">Personalisation and marketing consent</t>
  </si>
  <si>
    <t xml:space="preserve">SH-02-005</t>
  </si>
  <si>
    <t xml:space="preserve">Search by photo</t>
  </si>
  <si>
    <t xml:space="preserve">Photo</t>
  </si>
  <si>
    <t xml:space="preserve">(uploads a photo) Something like this</t>
  </si>
  <si>
    <t xml:space="preserve">Finds similar items and says when nothing is close</t>
  </si>
  <si>
    <t xml:space="preserve">NEW: Upload, Rail</t>
  </si>
  <si>
    <t xml:space="preserve">Only catalogue matches</t>
  </si>
  <si>
    <t xml:space="preserve">SH-02-006</t>
  </si>
  <si>
    <t xml:space="preserve">Filter by style</t>
  </si>
  <si>
    <t xml:space="preserve">Modest wear</t>
  </si>
  <si>
    <t xml:space="preserve">Long-sleeve modest dresses for Eid</t>
  </si>
  <si>
    <t xml:space="preserve">Filters and shows matching items</t>
  </si>
  <si>
    <t xml:space="preserve">SH-02-007</t>
  </si>
  <si>
    <t xml:space="preserve">Buy for a child</t>
  </si>
  <si>
    <t xml:space="preserve">Age sizing</t>
  </si>
  <si>
    <t xml:space="preserve">School shoes for a seven-year-old</t>
  </si>
  <si>
    <t xml:space="preserve">Shows children's sizes and the brand's age guide</t>
  </si>
  <si>
    <t xml:space="preserve">Rail, NEW: SizePicker</t>
  </si>
  <si>
    <t xml:space="preserve">Size guides from the brand</t>
  </si>
  <si>
    <t xml:space="preserve">SH-02-008</t>
  </si>
  <si>
    <t xml:space="preserve">Find my size in stock</t>
  </si>
  <si>
    <t xml:space="preserve">Size gone</t>
  </si>
  <si>
    <t xml:space="preserve">Do you have it in a 12?</t>
  </si>
  <si>
    <t xml:space="preserve">Says 12 is sold out, offers an alert and similar items in 12</t>
  </si>
  <si>
    <t xml:space="preserve">Stock per size</t>
  </si>
  <si>
    <t xml:space="preserve">SH-02-009</t>
  </si>
  <si>
    <t xml:space="preserve">Pick the right size</t>
  </si>
  <si>
    <t xml:space="preserve">Unsure of size</t>
  </si>
  <si>
    <t xml:space="preserve">I'm usually a medium</t>
  </si>
  <si>
    <t xml:space="preserve">Shows the brand's size chart and suggests a size as a guide</t>
  </si>
  <si>
    <t xml:space="preserve">NEW: SizePicker</t>
  </si>
  <si>
    <t xml:space="preserve">Size charts from the brand; suggestion marked as a guide</t>
  </si>
  <si>
    <t xml:space="preserve">Size systems differ: UK, EU, IN and Asian sizing</t>
  </si>
  <si>
    <t xml:space="preserve">SH-02-010</t>
  </si>
  <si>
    <t xml:space="preserve">Shoes</t>
  </si>
  <si>
    <t xml:space="preserve">I'm a UK 9</t>
  </si>
  <si>
    <t xml:space="preserve">Converts to the brand's sizing and notes if it runs small</t>
  </si>
  <si>
    <t xml:space="preserve">NEW: SizePicker, Answer</t>
  </si>
  <si>
    <t xml:space="preserve">Conversion tables from the brand</t>
  </si>
  <si>
    <t xml:space="preserve">Shoe sizes: UK, EU and IN scales differ</t>
  </si>
  <si>
    <t xml:space="preserve">SH-02-011</t>
  </si>
  <si>
    <t xml:space="preserve">Check fabric and care</t>
  </si>
  <si>
    <t xml:space="preserve">Material</t>
  </si>
  <si>
    <t xml:space="preserve">Is it cotton, and can it go in the wash?</t>
  </si>
  <si>
    <t xml:space="preserve">Shows material and care label from the listing</t>
  </si>
  <si>
    <t xml:space="preserve">From product data only</t>
  </si>
  <si>
    <t xml:space="preserve">SH-02-012</t>
  </si>
  <si>
    <t xml:space="preserve">Find the right shade</t>
  </si>
  <si>
    <t xml:space="preserve">Beauty</t>
  </si>
  <si>
    <t xml:space="preserve">Foundation for medium skin with warm undertones</t>
  </si>
  <si>
    <t xml:space="preserve">Shows shades using the brand's shade guide, marked as a guide</t>
  </si>
  <si>
    <t xml:space="preserve">NEW: ShadeFinder, ProductCard</t>
  </si>
  <si>
    <t xml:space="preserve">Shade data from the brand; no skin analysis claims</t>
  </si>
  <si>
    <t xml:space="preserve">SH-02-013</t>
  </si>
  <si>
    <t xml:space="preserve">Check ingredients</t>
  </si>
  <si>
    <t xml:space="preserve">Sensitive skin</t>
  </si>
  <si>
    <t xml:space="preserve">Is this fragrance-free?</t>
  </si>
  <si>
    <t xml:space="preserve">Shows the full ingredient list from the brand</t>
  </si>
  <si>
    <t xml:space="preserve">Ingredients word for word; no medical claims</t>
  </si>
  <si>
    <t xml:space="preserve">SH-02-014</t>
  </si>
  <si>
    <t xml:space="preserve">Check it is genuine</t>
  </si>
  <si>
    <t xml:space="preserve">Authenticity</t>
  </si>
  <si>
    <t xml:space="preserve">Is this bag genuine?</t>
  </si>
  <si>
    <t xml:space="preserve">Shows the seller and its authenticity promise</t>
  </si>
  <si>
    <t xml:space="preserve">Answer, Badge</t>
  </si>
  <si>
    <t xml:space="preserve">Only authorised sellers in the catalogue</t>
  </si>
  <si>
    <t xml:space="preserve">SH-02-015</t>
  </si>
  <si>
    <t xml:space="preserve">Talk to a stylist</t>
  </si>
  <si>
    <t xml:space="preserve">Can a real person help me put together a wardrobe for a new job?</t>
  </si>
  <si>
    <t xml:space="preserve">Hands to a stylist or concierge where the card includes it</t>
  </si>
  <si>
    <t xml:space="preserve">BenefitRow, Handoff</t>
  </si>
  <si>
    <t xml:space="preserve">SH-02-016</t>
  </si>
  <si>
    <t xml:space="preserve">Pay for the item</t>
  </si>
  <si>
    <t xml:space="preserve">Buy with points</t>
  </si>
  <si>
    <t xml:space="preserve">Shows the total with delivery, confirms and orders</t>
  </si>
  <si>
    <t xml:space="preserve">Re-price before payment</t>
  </si>
  <si>
    <t xml:space="preserve">SH-02-017</t>
  </si>
  <si>
    <t xml:space="preserve">SH-02-018</t>
  </si>
  <si>
    <t xml:space="preserve">Sale ended</t>
  </si>
  <si>
    <t xml:space="preserve">Says the sale price has ended, shows the new price and asks again</t>
  </si>
  <si>
    <t xml:space="preserve">SH-02-019</t>
  </si>
  <si>
    <t xml:space="preserve">Add gift wrap and a note</t>
  </si>
  <si>
    <t xml:space="preserve">Gift</t>
  </si>
  <si>
    <t xml:space="preserve">Wrap it and add a note saying happy birthday</t>
  </si>
  <si>
    <t xml:space="preserve">Adds gift wrap if offered and the note, hides prices on the slip</t>
  </si>
  <si>
    <t xml:space="preserve">NEW: GiftMessage, PriceLines</t>
  </si>
  <si>
    <t xml:space="preserve">Gift options and fees from the seller</t>
  </si>
  <si>
    <t xml:space="preserve">SH-02-020</t>
  </si>
  <si>
    <t xml:space="preserve">Set up repeat delivery</t>
  </si>
  <si>
    <t xml:space="preserve">Beauty refill</t>
  </si>
  <si>
    <t xml:space="preserve">Send me this moisturiser every two months</t>
  </si>
  <si>
    <t xml:space="preserve">Sets a repeat order with a reminder and a confirm each time</t>
  </si>
  <si>
    <t xml:space="preserve">Toggle, ConfirmSheet</t>
  </si>
  <si>
    <t xml:space="preserve">Each repeat re-priced; standing consent recorded</t>
  </si>
  <si>
    <t xml:space="preserve">SH-02-021</t>
  </si>
  <si>
    <t xml:space="preserve">Cancel an order</t>
  </si>
  <si>
    <t xml:space="preserve">Cancel the dress order</t>
  </si>
  <si>
    <t xml:space="preserve">Cancels if not dispatched and returns points</t>
  </si>
  <si>
    <t xml:space="preserve">Cancel window from the seller</t>
  </si>
  <si>
    <t xml:space="preserve">SH-02-022</t>
  </si>
  <si>
    <t xml:space="preserve">Exchange for another size</t>
  </si>
  <si>
    <t xml:space="preserve">Too small</t>
  </si>
  <si>
    <t xml:space="preserve">Wrong size</t>
  </si>
  <si>
    <t xml:space="preserve">The shoes are too small</t>
  </si>
  <si>
    <t xml:space="preserve">Starts a size exchange if within the window, with pickup</t>
  </si>
  <si>
    <t xml:space="preserve">NEW: ReturnFlow, NEW: SizePicker</t>
  </si>
  <si>
    <t xml:space="preserve">Exchange rules from the seller</t>
  </si>
  <si>
    <t xml:space="preserve">SH-02-023</t>
  </si>
  <si>
    <t xml:space="preserve">Return an item</t>
  </si>
  <si>
    <t xml:space="preserve">Looks different</t>
  </si>
  <si>
    <t xml:space="preserve">The colour is nothing like the photo</t>
  </si>
  <si>
    <t xml:space="preserve">Starts a return and records the reason</t>
  </si>
  <si>
    <t xml:space="preserve">NEW: ReturnFlow, NEW: Upload</t>
  </si>
  <si>
    <t xml:space="preserve">Return rules from the seller; items not as described always accepted</t>
  </si>
  <si>
    <t xml:space="preserve">UK: 30 days to reject faulty goods (Consumer Rights Act 2015); EU: at least a 2-year legal guarantee; IN, AE, SG, MY: local consumer law and maker warranty (to confirm)</t>
  </si>
  <si>
    <t xml:space="preserve">SH-02-024</t>
  </si>
  <si>
    <t xml:space="preserve">Return a beauty item</t>
  </si>
  <si>
    <t xml:space="preserve">Opened</t>
  </si>
  <si>
    <t xml:space="preserve">Not returnable</t>
  </si>
  <si>
    <t xml:space="preserve">Can I return this lipstick? I opened it</t>
  </si>
  <si>
    <t xml:space="preserve">Explains the hygiene rule and offers help if it is faulty</t>
  </si>
  <si>
    <t xml:space="preserve">StateCard, Answer</t>
  </si>
  <si>
    <t xml:space="preserve">Hygiene exclusions from seller terms and law</t>
  </si>
  <si>
    <t xml:space="preserve">UK and EU: sealed hygiene goods can lose the cancellation right once unsealed</t>
  </si>
  <si>
    <t xml:space="preserve">SH-02-025</t>
  </si>
  <si>
    <t xml:space="preserve">Report a skin reaction</t>
  </si>
  <si>
    <t xml:space="preserve">Reaction to a product</t>
  </si>
  <si>
    <t xml:space="preserve">This cream made my face burn</t>
  </si>
  <si>
    <t xml:space="preserve">Tells them to stop using it and get medical help if it is severe, records it and hands to a person</t>
  </si>
  <si>
    <t xml:space="preserve">Product safety reports go to a person and the brand</t>
  </si>
  <si>
    <t xml:space="preserve">SH-02-026</t>
  </si>
  <si>
    <t xml:space="preserve">Report a suspected fake</t>
  </si>
  <si>
    <t xml:space="preserve">Suspected counterfeit</t>
  </si>
  <si>
    <t xml:space="preserve">This doesn't look like the real thing</t>
  </si>
  <si>
    <t xml:space="preserve">Records the concern with photos and hands to a person</t>
  </si>
  <si>
    <t xml:space="preserve">Counterfeit claims investigated by R360 with the seller</t>
  </si>
  <si>
    <t xml:space="preserve">SH-02-027</t>
  </si>
  <si>
    <t xml:space="preserve">Save my sizes</t>
  </si>
  <si>
    <t xml:space="preserve">Remember I'm a 10 in dresses and a 6 in shoes</t>
  </si>
  <si>
    <t xml:space="preserve">Saves sizes for future suggestions</t>
  </si>
  <si>
    <t xml:space="preserve">Saved only with consent; editable</t>
  </si>
  <si>
    <t xml:space="preserve">SH-03-001</t>
  </si>
  <si>
    <t xml:space="preserve">Find an appliance</t>
  </si>
  <si>
    <t xml:space="preserve">Needs advice</t>
  </si>
  <si>
    <t xml:space="preserve">Which air fryer suits a family of four?</t>
  </si>
  <si>
    <t xml:space="preserve">Asks one question on space, then shows three picks with the reason</t>
  </si>
  <si>
    <t xml:space="preserve">Specs from product data</t>
  </si>
  <si>
    <t xml:space="preserve">SH-03-002</t>
  </si>
  <si>
    <t xml:space="preserve">Set up a new home</t>
  </si>
  <si>
    <t xml:space="preserve">Moving house</t>
  </si>
  <si>
    <t xml:space="preserve">We've just moved; what do we need for the kitchen with 150,000 points?</t>
  </si>
  <si>
    <t xml:space="preserve">Builds a starter list within the points, grouped by room</t>
  </si>
  <si>
    <t xml:space="preserve">Only in-stock items; totals from the catalogue</t>
  </si>
  <si>
    <t xml:space="preserve">SH-03-003</t>
  </si>
  <si>
    <t xml:space="preserve">Find a housewarming gift</t>
  </si>
  <si>
    <t xml:space="preserve">A nice housewarming present, about 10,000 points</t>
  </si>
  <si>
    <t xml:space="preserve">Suggests three gifts and offers delivery to their address</t>
  </si>
  <si>
    <t xml:space="preserve">Only in-stock items</t>
  </si>
  <si>
    <t xml:space="preserve">SH-03-004</t>
  </si>
  <si>
    <t xml:space="preserve">Filter by material or style</t>
  </si>
  <si>
    <t xml:space="preserve">Style</t>
  </si>
  <si>
    <t xml:space="preserve">Stainless steel, not non-stick</t>
  </si>
  <si>
    <t xml:space="preserve">Filters by material</t>
  </si>
  <si>
    <t xml:space="preserve">SH-03-005</t>
  </si>
  <si>
    <t xml:space="preserve">Says it is out of stock and offers an alert and alternatives</t>
  </si>
  <si>
    <t xml:space="preserve">Stock from the catalogue</t>
  </si>
  <si>
    <t xml:space="preserve">SH-03-006</t>
  </si>
  <si>
    <t xml:space="preserve">Check it will fit</t>
  </si>
  <si>
    <t xml:space="preserve">Space limit</t>
  </si>
  <si>
    <t xml:space="preserve">Will this fridge fit a 60cm gap?</t>
  </si>
  <si>
    <t xml:space="preserve">Shows dimensions and the clearance the maker asks for</t>
  </si>
  <si>
    <t xml:space="preserve">Dimensions from product data only</t>
  </si>
  <si>
    <t xml:space="preserve">SH-03-007</t>
  </si>
  <si>
    <t xml:space="preserve">Compare running costs</t>
  </si>
  <si>
    <t xml:space="preserve">Energy</t>
  </si>
  <si>
    <t xml:space="preserve">Which washing machine uses less power?</t>
  </si>
  <si>
    <t xml:space="preserve">Compares energy labels side by side</t>
  </si>
  <si>
    <t xml:space="preserve">Ratings as labelled by the maker</t>
  </si>
  <si>
    <t xml:space="preserve">Energy labels differ: UK and EU A to G, IN star ratings; SG and MY labels to confirm</t>
  </si>
  <si>
    <t xml:space="preserve">SH-03-008</t>
  </si>
  <si>
    <t xml:space="preserve">Compare two products</t>
  </si>
  <si>
    <t xml:space="preserve">Two options</t>
  </si>
  <si>
    <t xml:space="preserve">This mixer or that one?</t>
  </si>
  <si>
    <t xml:space="preserve">Compares on what differs: power, bowl size, warranty, points</t>
  </si>
  <si>
    <t xml:space="preserve">SH-03-009</t>
  </si>
  <si>
    <t xml:space="preserve">Check voltage and plug</t>
  </si>
  <si>
    <t xml:space="preserve">Imported</t>
  </si>
  <si>
    <t xml:space="preserve">Will this work here?</t>
  </si>
  <si>
    <t xml:space="preserve">Shows voltage and plug type</t>
  </si>
  <si>
    <t xml:space="preserve">From product data</t>
  </si>
  <si>
    <t xml:space="preserve">SH-03-010</t>
  </si>
  <si>
    <t xml:space="preserve">Confirms and orders</t>
  </si>
  <si>
    <t xml:space="preserve">SH-03-011</t>
  </si>
  <si>
    <t xml:space="preserve">Points and the rest on my card</t>
  </si>
  <si>
    <t xml:space="preserve">SH-03-012</t>
  </si>
  <si>
    <t xml:space="preserve">Large appliance</t>
  </si>
  <si>
    <t xml:space="preserve">Can I pay for the washing machine monthly?</t>
  </si>
  <si>
    <t xml:space="preserve">Shows the bank's instalment options if eligible</t>
  </si>
  <si>
    <t xml:space="preserve">SH-03-013</t>
  </si>
  <si>
    <t xml:space="preserve">Says nothing was ordered and no points were taken</t>
  </si>
  <si>
    <t xml:space="preserve">SH-03-014</t>
  </si>
  <si>
    <t xml:space="preserve">Book installation and removal</t>
  </si>
  <si>
    <t xml:space="preserve">Can they install it and take the old one away?</t>
  </si>
  <si>
    <t xml:space="preserve">Offers install and old-appliance removal if the seller does it, with slots and price</t>
  </si>
  <si>
    <t xml:space="preserve">Services and fees from the seller</t>
  </si>
  <si>
    <t xml:space="preserve">UK: take-back of old electricals (to confirm how it applies)</t>
  </si>
  <si>
    <t xml:space="preserve">SH-03-015</t>
  </si>
  <si>
    <t xml:space="preserve">Reorder parts and refills</t>
  </si>
  <si>
    <t xml:space="preserve">Filter due</t>
  </si>
  <si>
    <t xml:space="preserve">Says the water purifier filter is due by the maker schedule and offers the right refill</t>
  </si>
  <si>
    <t xml:space="preserve">Part compatibility from product data; reminder only with consent</t>
  </si>
  <si>
    <t xml:space="preserve">IN: water purifiers common</t>
  </si>
  <si>
    <t xml:space="preserve">SH-03-016</t>
  </si>
  <si>
    <t xml:space="preserve">Book a delivery slot for a large item</t>
  </si>
  <si>
    <t xml:space="preserve">No lift</t>
  </si>
  <si>
    <t xml:space="preserve">Deliver the sofa on a Saturday; we're on the third floor with no lift</t>
  </si>
  <si>
    <t xml:space="preserve">Records access notes and shows two-person delivery slots</t>
  </si>
  <si>
    <t xml:space="preserve">TimeSlots, NEW: AddressPicker</t>
  </si>
  <si>
    <t xml:space="preserve">Access limits from the courier</t>
  </si>
  <si>
    <t xml:space="preserve">SH-03-017</t>
  </si>
  <si>
    <t xml:space="preserve">Change delivery address</t>
  </si>
  <si>
    <t xml:space="preserve">Before dispatch</t>
  </si>
  <si>
    <t xml:space="preserve">Send it to my office instead</t>
  </si>
  <si>
    <t xml:space="preserve">Changes the address if not dispatched and rechecks delivery</t>
  </si>
  <si>
    <t xml:space="preserve">NEW: AddressPicker, StateCard</t>
  </si>
  <si>
    <t xml:space="preserve">Address changes only before dispatch</t>
  </si>
  <si>
    <t xml:space="preserve">SH-03-018</t>
  </si>
  <si>
    <t xml:space="preserve">Cancel the fridge</t>
  </si>
  <si>
    <t xml:space="preserve">Cancel terms from the seller</t>
  </si>
  <si>
    <t xml:space="preserve">SH-03-019</t>
  </si>
  <si>
    <t xml:space="preserve">Get ready for installation</t>
  </si>
  <si>
    <t xml:space="preserve">The day before: confirms the installer slot and what to have ready (space cleared, water point, old unit emptied)</t>
  </si>
  <si>
    <t xml:space="preserve">Slot from the seller; notification consent</t>
  </si>
  <si>
    <t xml:space="preserve">SH-03-020</t>
  </si>
  <si>
    <t xml:space="preserve">Report a damaged delivery</t>
  </si>
  <si>
    <t xml:space="preserve">Large item</t>
  </si>
  <si>
    <t xml:space="preserve">The fridge door is dented</t>
  </si>
  <si>
    <t xml:space="preserve">Asks for photos and starts a replacement with the seller</t>
  </si>
  <si>
    <t xml:space="preserve">NEW: Upload, NEW: ReturnFlow</t>
  </si>
  <si>
    <t xml:space="preserve">Replacement rules from the seller</t>
  </si>
  <si>
    <t xml:space="preserve">SH-03-021</t>
  </si>
  <si>
    <t xml:space="preserve">Sort out a missed installation</t>
  </si>
  <si>
    <t xml:space="preserve">Installer did not come</t>
  </si>
  <si>
    <t xml:space="preserve">The installer never turned up</t>
  </si>
  <si>
    <t xml:space="preserve">Apologises, rebooks and hands to a person if it happens again</t>
  </si>
  <si>
    <t xml:space="preserve">TimeSlots, StateCard, Handoff</t>
  </si>
  <si>
    <t xml:space="preserve">Service terms from the seller</t>
  </si>
  <si>
    <t xml:space="preserve">SH-03-022</t>
  </si>
  <si>
    <t xml:space="preserve">Return something that does not fit</t>
  </si>
  <si>
    <t xml:space="preserve">Measured wrong</t>
  </si>
  <si>
    <t xml:space="preserve">Not faulty</t>
  </si>
  <si>
    <t xml:space="preserve">The table's too big for the room</t>
  </si>
  <si>
    <t xml:space="preserve">Checks change-of-mind returns and any collection fee</t>
  </si>
  <si>
    <t xml:space="preserve">NEW: ReturnFlow, PriceLines</t>
  </si>
  <si>
    <t xml:space="preserve">Return window and fees from seller terms</t>
  </si>
  <si>
    <t xml:space="preserve">SH-03-023</t>
  </si>
  <si>
    <t xml:space="preserve">Report a dangerous fault</t>
  </si>
  <si>
    <t xml:space="preserve">Sparks or smoke</t>
  </si>
  <si>
    <t xml:space="preserve">The kettle sparked when I switched it on</t>
  </si>
  <si>
    <t xml:space="preserve">Tells them to unplug it and stop using it, records it and hands to a person</t>
  </si>
  <si>
    <t xml:space="preserve">Safety reports always go to a person; maker informed</t>
  </si>
  <si>
    <t xml:space="preserve">SH-03-024</t>
  </si>
  <si>
    <t xml:space="preserve">Register the product</t>
  </si>
  <si>
    <t xml:space="preserve">Warranty</t>
  </si>
  <si>
    <t xml:space="preserve">Register my new oven for warranty</t>
  </si>
  <si>
    <t xml:space="preserve">Sends the invoice to the maker's registration where supported</t>
  </si>
  <si>
    <t xml:space="preserve">NEW: WarrantyCard, Toast</t>
  </si>
  <si>
    <t xml:space="preserve">Registration per maker</t>
  </si>
  <si>
    <t xml:space="preserve">SH-04-001</t>
  </si>
  <si>
    <t xml:space="preserve">See what my points buy</t>
  </si>
  <si>
    <t xml:space="preserve">What can I get with my points?</t>
  </si>
  <si>
    <t xml:space="preserve">Shows the balance and a mix of products it covers, ranked for them</t>
  </si>
  <si>
    <t xml:space="preserve">Balance and points prices from R360 core</t>
  </si>
  <si>
    <t xml:space="preserve">SH-04-002</t>
  </si>
  <si>
    <t xml:space="preserve">Browse by category</t>
  </si>
  <si>
    <t xml:space="preserve">Show me kitchen things</t>
  </si>
  <si>
    <t xml:space="preserve">Shows top items in the category with points prices</t>
  </si>
  <si>
    <t xml:space="preserve">Chips, Rail, ProductCard</t>
  </si>
  <si>
    <t xml:space="preserve">Catalogue live</t>
  </si>
  <si>
    <t xml:space="preserve">SH-04-003</t>
  </si>
  <si>
    <t xml:space="preserve">Get picks for me</t>
  </si>
  <si>
    <t xml:space="preserve">Personal</t>
  </si>
  <si>
    <t xml:space="preserve">Show me things I'd like</t>
  </si>
  <si>
    <t xml:space="preserve">Picks from past redemptions and stated interests, with the reason</t>
  </si>
  <si>
    <t xml:space="preserve">Personalisation needs consent; reason stated</t>
  </si>
  <si>
    <t xml:space="preserve">SH-04-004</t>
  </si>
  <si>
    <t xml:space="preserve">Use points before they expire</t>
  </si>
  <si>
    <t xml:space="preserve">Warns that points expire soon and shows products within that amount</t>
  </si>
  <si>
    <t xml:space="preserve">Moment, Rail, ProductCard</t>
  </si>
  <si>
    <t xml:space="preserve">Expiry from the bank ledger</t>
  </si>
  <si>
    <t xml:space="preserve">SH-04-005</t>
  </si>
  <si>
    <t xml:space="preserve">Compare a voucher with a product</t>
  </si>
  <si>
    <t xml:space="preserve">Is a voucher or a product better value for my points?</t>
  </si>
  <si>
    <t xml:space="preserve">Shows value per point for both, honestly</t>
  </si>
  <si>
    <t xml:space="preserve">Compare, Answer</t>
  </si>
  <si>
    <t xml:space="preserve">Values from live catalogue prices</t>
  </si>
  <si>
    <t xml:space="preserve">SH-04-006</t>
  </si>
  <si>
    <t xml:space="preserve">See festive picks</t>
  </si>
  <si>
    <t xml:space="preserve">Moment: gift ideas for the coming festival within their points</t>
  </si>
  <si>
    <t xml:space="preserve">Moment, Rail</t>
  </si>
  <si>
    <t xml:space="preserve">Marketing consent</t>
  </si>
  <si>
    <t xml:space="preserve">SH-04-007</t>
  </si>
  <si>
    <t xml:space="preserve">See premium picks</t>
  </si>
  <si>
    <t xml:space="preserve">Show me something special</t>
  </si>
  <si>
    <t xml:space="preserve">Shows high-value items for premium cards</t>
  </si>
  <si>
    <t xml:space="preserve">Some items limited to certain cards by the bank</t>
  </si>
  <si>
    <t xml:space="preserve">SH-04-008</t>
  </si>
  <si>
    <t xml:space="preserve">Search the catalogue</t>
  </si>
  <si>
    <t xml:space="preserve">Specific product</t>
  </si>
  <si>
    <t xml:space="preserve">Do you have a stand mixer?</t>
  </si>
  <si>
    <t xml:space="preserve">Shows matching items with points prices</t>
  </si>
  <si>
    <t xml:space="preserve">SH-04-009</t>
  </si>
  <si>
    <t xml:space="preserve">Filter by points</t>
  </si>
  <si>
    <t xml:space="preserve">Things between 10,000 and 20,000 points</t>
  </si>
  <si>
    <t xml:space="preserve">Filters to that range</t>
  </si>
  <si>
    <t xml:space="preserve">SH-04-010</t>
  </si>
  <si>
    <t xml:space="preserve">Says the catalogue is not answering and nothing was taken, try again</t>
  </si>
  <si>
    <t xml:space="preserve">Retry and alert operations</t>
  </si>
  <si>
    <t xml:space="preserve">SH-04-011</t>
  </si>
  <si>
    <t xml:space="preserve">Ask for a product not in the catalogue</t>
  </si>
  <si>
    <t xml:space="preserve">Not listed</t>
  </si>
  <si>
    <t xml:space="preserve">Not in catalogue</t>
  </si>
  <si>
    <t xml:space="preserve">Can you get a particular robot vacuum? I cannot find it</t>
  </si>
  <si>
    <t xml:space="preserve">Says it is not listed, offers the nearest items, a brand store in chat if connected, and logs the request</t>
  </si>
  <si>
    <t xml:space="preserve">StateCard, Rail, Toast</t>
  </si>
  <si>
    <t xml:space="preserve">Requests logged for the catalogue team; no promise of listing</t>
  </si>
  <si>
    <t xml:space="preserve">SH-04-012</t>
  </si>
  <si>
    <t xml:space="preserve">Understand the points price</t>
  </si>
  <si>
    <t xml:space="preserve">Why is this 42,000 points?</t>
  </si>
  <si>
    <t xml:space="preserve">Explains the points price and its cash value at the bank's rate</t>
  </si>
  <si>
    <t xml:space="preserve">Point value set by the bank; never invented</t>
  </si>
  <si>
    <t xml:space="preserve">SH-04-013</t>
  </si>
  <si>
    <t xml:space="preserve">Save to a wishlist</t>
  </si>
  <si>
    <t xml:space="preserve">Save this for later</t>
  </si>
  <si>
    <t xml:space="preserve">Adds it to the wishlist</t>
  </si>
  <si>
    <t xml:space="preserve">SH-04-014</t>
  </si>
  <si>
    <t xml:space="preserve">Question the points price</t>
  </si>
  <si>
    <t xml:space="preserve">Cheaper elsewhere</t>
  </si>
  <si>
    <t xml:space="preserve">It's cheaper on another website</t>
  </si>
  <si>
    <t xml:space="preserve">Explains the points price is set by the bank's rate and shows the value in money so they can decide</t>
  </si>
  <si>
    <t xml:space="preserve">Point value from the bank; no price matching unless the bank offers it</t>
  </si>
  <si>
    <t xml:space="preserve">SH-04-015</t>
  </si>
  <si>
    <t xml:space="preserve">Redeem points for a product</t>
  </si>
  <si>
    <t xml:space="preserve">Order it with points</t>
  </si>
  <si>
    <t xml:space="preserve">Shows the points total and delivery address, confirms, orders</t>
  </si>
  <si>
    <t xml:space="preserve">Points prices and eligibility from bank and R360 core</t>
  </si>
  <si>
    <t xml:space="preserve">SH-04-016</t>
  </si>
  <si>
    <t xml:space="preserve">Use my points and pay the rest</t>
  </si>
  <si>
    <t xml:space="preserve">Points-plus-pay allowed only where the bank enables it</t>
  </si>
  <si>
    <t xml:space="preserve">SH-04-017</t>
  </si>
  <si>
    <t xml:space="preserve">Between saving and paying</t>
  </si>
  <si>
    <t xml:space="preserve">Points price rose</t>
  </si>
  <si>
    <t xml:space="preserve">Shows the new points price and asks again</t>
  </si>
  <si>
    <t xml:space="preserve">Re-price before every redemption</t>
  </si>
  <si>
    <t xml:space="preserve">SH-04-018</t>
  </si>
  <si>
    <t xml:space="preserve">Account issue</t>
  </si>
  <si>
    <t xml:space="preserve">Redemption paused</t>
  </si>
  <si>
    <t xml:space="preserve">Order this</t>
  </si>
  <si>
    <t xml:space="preserve">Says redemptions are paused on the account and hands to the bank</t>
  </si>
  <si>
    <t xml:space="preserve">Eligibility from the bank (for example overdue or blocked cards)</t>
  </si>
  <si>
    <t xml:space="preserve">SH-04-019</t>
  </si>
  <si>
    <t xml:space="preserve">Use points from two cards</t>
  </si>
  <si>
    <t xml:space="preserve">Two cards</t>
  </si>
  <si>
    <t xml:space="preserve">Use points from my other card too</t>
  </si>
  <si>
    <t xml:space="preserve">Checks whether the bank lets balances combine and shows the result</t>
  </si>
  <si>
    <t xml:space="preserve">PayWith, Answer</t>
  </si>
  <si>
    <t xml:space="preserve">Pooling rules from the bank</t>
  </si>
  <si>
    <t xml:space="preserve">SH-04-020</t>
  </si>
  <si>
    <t xml:space="preserve">Send it to someone else</t>
  </si>
  <si>
    <t xml:space="preserve">Send this to my brother in Chennai</t>
  </si>
  <si>
    <t xml:space="preserve">Adds his address, checks it is served and confirms</t>
  </si>
  <si>
    <t xml:space="preserve">Serviceable areas from fulfilment</t>
  </si>
  <si>
    <t xml:space="preserve">SH-04-021</t>
  </si>
  <si>
    <t xml:space="preserve">Cancel a redemption</t>
  </si>
  <si>
    <t xml:space="preserve">Cancel my order, I picked the wrong one</t>
  </si>
  <si>
    <t xml:space="preserve">Cancels if not dispatched and returns points in full</t>
  </si>
  <si>
    <t xml:space="preserve">Cancel window from R360 fulfilment; points returned to the ledger</t>
  </si>
  <si>
    <t xml:space="preserve">SH-04-022</t>
  </si>
  <si>
    <t xml:space="preserve">Remote area</t>
  </si>
  <si>
    <t xml:space="preserve">Deliver to my village address</t>
  </si>
  <si>
    <t xml:space="preserve">Says the address is not served and offers another address or an e-voucher</t>
  </si>
  <si>
    <t xml:space="preserve">Serviceability from fulfilment</t>
  </si>
  <si>
    <t xml:space="preserve">SH-04-023</t>
  </si>
  <si>
    <t xml:space="preserve">Fix a double debit</t>
  </si>
  <si>
    <t xml:space="preserve">Duplicate</t>
  </si>
  <si>
    <t xml:space="preserve">Points taken twice</t>
  </si>
  <si>
    <t xml:space="preserve">My points went twice for one order</t>
  </si>
  <si>
    <t xml:space="preserve">Checks the ledger and reverses the duplicate, or hands to a person</t>
  </si>
  <si>
    <t xml:space="preserve">Ledger decides; reversal automatic when clear</t>
  </si>
  <si>
    <t xml:space="preserve">SH-04-024</t>
  </si>
  <si>
    <t xml:space="preserve">Get returned points that expired</t>
  </si>
  <si>
    <t xml:space="preserve">Return after expiry date</t>
  </si>
  <si>
    <t xml:space="preserve">Points expired</t>
  </si>
  <si>
    <t xml:space="preserve">My refund points came back already expired</t>
  </si>
  <si>
    <t xml:space="preserve">Checks the bank's rule on reinstating and hands to a person if needed</t>
  </si>
  <si>
    <t xml:space="preserve">Reinstatement rules from the bank</t>
  </si>
  <si>
    <t xml:space="preserve">SH-04-025</t>
  </si>
  <si>
    <t xml:space="preserve">Report a scam redemption</t>
  </si>
  <si>
    <t xml:space="preserve">Someone else redeemed</t>
  </si>
  <si>
    <t xml:space="preserve">Fraud</t>
  </si>
  <si>
    <t xml:space="preserve">I didn't order this, someone used my points</t>
  </si>
  <si>
    <t xml:space="preserve">Freezes redemptions on the account and hands to the fraud team</t>
  </si>
  <si>
    <t xml:space="preserve">Fraud team decides; points restoration by the bank</t>
  </si>
  <si>
    <t xml:space="preserve">SH-04-026</t>
  </si>
  <si>
    <t xml:space="preserve">Rate a product</t>
  </si>
  <si>
    <t xml:space="preserve">One-tap rating to improve picks</t>
  </si>
  <si>
    <t xml:space="preserve">SH-04-027</t>
  </si>
  <si>
    <t xml:space="preserve">See my redemptions</t>
  </si>
  <si>
    <t xml:space="preserve">History</t>
  </si>
  <si>
    <t xml:space="preserve">What have I redeemed this year?</t>
  </si>
  <si>
    <t xml:space="preserve">Lists redemptions with status and points</t>
  </si>
  <si>
    <t xml:space="preserve">Ledger and order data</t>
  </si>
  <si>
    <t xml:space="preserve">SH-04-028</t>
  </si>
  <si>
    <t xml:space="preserve">Shop in Arabic</t>
  </si>
  <si>
    <t xml:space="preserve">(switches to Arabic)</t>
  </si>
  <si>
    <t xml:space="preserve">Shows the catalogue and replies in Arabic, right to left</t>
  </si>
  <si>
    <t xml:space="preserve">ArabicScreens, Rail, ProductCard</t>
  </si>
  <si>
    <t xml:space="preserve">Product text translated and reviewed before going live</t>
  </si>
  <si>
    <t xml:space="preserve">AE: Arabic replies need native review</t>
  </si>
  <si>
    <t xml:space="preserve">SH-05-001</t>
  </si>
  <si>
    <t xml:space="preserve">Find brands that give extra points</t>
  </si>
  <si>
    <t xml:space="preserve">Browse</t>
  </si>
  <si>
    <t xml:space="preserve">Where can I earn extra points shopping?</t>
  </si>
  <si>
    <t xml:space="preserve">Shows brands in the programme with their rate (5x or 10x) and the key rules</t>
  </si>
  <si>
    <t xml:space="preserve">Rail, OfferCard, Badge</t>
  </si>
  <si>
    <t xml:space="preserve">Brand list and rates live from CACHE</t>
  </si>
  <si>
    <t xml:space="preserve">SH-05-002</t>
  </si>
  <si>
    <t xml:space="preserve">Earn most on a planned buy</t>
  </si>
  <si>
    <t xml:space="preserve">Specific purchase</t>
  </si>
  <si>
    <t xml:space="preserve">I'm buying trainers anyway, where do I get the most points?</t>
  </si>
  <si>
    <t xml:space="preserve">Shows programme brands that sell them and the points each would earn</t>
  </si>
  <si>
    <t xml:space="preserve">Compare, OfferCard</t>
  </si>
  <si>
    <t xml:space="preserve">Rates from CACHE; points estimate marked as estimate</t>
  </si>
  <si>
    <t xml:space="preserve">SH-05-003</t>
  </si>
  <si>
    <t xml:space="preserve">Hear about a higher rate</t>
  </si>
  <si>
    <t xml:space="preserve">Brand they buy from</t>
  </si>
  <si>
    <t xml:space="preserve">Moment: 10x at a brand they shop with, this weekend only</t>
  </si>
  <si>
    <t xml:space="preserve">Marketing and personalisation consent</t>
  </si>
  <si>
    <t xml:space="preserve">SH-05-004</t>
  </si>
  <si>
    <t xml:space="preserve">Stack with a card offer</t>
  </si>
  <si>
    <t xml:space="preserve">Card-linked offer too</t>
  </si>
  <si>
    <t xml:space="preserve">Can I get the card offer and the extra points together?</t>
  </si>
  <si>
    <t xml:space="preserve">Checks both sets of terms and says clearly if they stack</t>
  </si>
  <si>
    <t xml:space="preserve">Answer, OfferCard, BenefitRow</t>
  </si>
  <si>
    <t xml:space="preserve">Stacking rules from CACHE and the bank</t>
  </si>
  <si>
    <t xml:space="preserve">SH-05-005</t>
  </si>
  <si>
    <t xml:space="preserve">Understand how extra points work</t>
  </si>
  <si>
    <t xml:space="preserve">First time</t>
  </si>
  <si>
    <t xml:space="preserve">How does the extra points thing work?</t>
  </si>
  <si>
    <t xml:space="preserve">Explains: go through Gratifi's link, pay with this card, points land after the brand's return window</t>
  </si>
  <si>
    <t xml:space="preserve">Answer, Steps</t>
  </si>
  <si>
    <t xml:space="preserve">Terms from CACHE; eligible cards from the bank</t>
  </si>
  <si>
    <t xml:space="preserve">SH-05-006</t>
  </si>
  <si>
    <t xml:space="preserve">Check a brand's rules</t>
  </si>
  <si>
    <t xml:space="preserve">Exclusions</t>
  </si>
  <si>
    <t xml:space="preserve">Do gift cards on their site count?</t>
  </si>
  <si>
    <t xml:space="preserve">Shows the brand's excluded items and any cap on bonus points</t>
  </si>
  <si>
    <t xml:space="preserve">Exclusions and caps from CACHE terms, word for word</t>
  </si>
  <si>
    <t xml:space="preserve">SH-05-007</t>
  </si>
  <si>
    <t xml:space="preserve">Check if the brand is cheaper overall</t>
  </si>
  <si>
    <t xml:space="preserve">Price vs points</t>
  </si>
  <si>
    <t xml:space="preserve">Is the 10x brand actually cheaper overall?</t>
  </si>
  <si>
    <t xml:space="preserve">Compares price and points value where the brand shares prices, and says when it cannot</t>
  </si>
  <si>
    <t xml:space="preserve">Brand prices only if shared; never estimated</t>
  </si>
  <si>
    <t xml:space="preserve">SH-05-008</t>
  </si>
  <si>
    <t xml:space="preserve">Shop on the brand's site</t>
  </si>
  <si>
    <t xml:space="preserve">Go to shop</t>
  </si>
  <si>
    <t xml:space="preserve">Take me to the shop</t>
  </si>
  <si>
    <t xml:space="preserve">Opens the brand's site through a tracked link and says what breaks tracking (other coupon sites, ad blockers)</t>
  </si>
  <si>
    <t xml:space="preserve">Button, NEW: OutboundLink</t>
  </si>
  <si>
    <t xml:space="preserve">Link tagged per customer; tracking consent recorded</t>
  </si>
  <si>
    <t xml:space="preserve">UK and EU: cookie consent on the brand site can affect tracking (to confirm)</t>
  </si>
  <si>
    <t xml:space="preserve">SH-05-009</t>
  </si>
  <si>
    <t xml:space="preserve">Pay on the brand's site</t>
  </si>
  <si>
    <t xml:space="preserve">Which card</t>
  </si>
  <si>
    <t xml:space="preserve">Which card should I use on their site?</t>
  </si>
  <si>
    <t xml:space="preserve">Says to pay with this bank card; other cards and payment methods do not earn</t>
  </si>
  <si>
    <t xml:space="preserve">Eligible cards from the bank; payment methods from CACHE terms</t>
  </si>
  <si>
    <t xml:space="preserve">SH-05-010</t>
  </si>
  <si>
    <t xml:space="preserve">Pay later or wallet</t>
  </si>
  <si>
    <t xml:space="preserve">May not count</t>
  </si>
  <si>
    <t xml:space="preserve">Can I use pay-later on their site?</t>
  </si>
  <si>
    <t xml:space="preserve">Explains only card payments with this card earn, per the terms</t>
  </si>
  <si>
    <t xml:space="preserve">Payment-method rules from CACHE terms</t>
  </si>
  <si>
    <t xml:space="preserve">SH-05-011</t>
  </si>
  <si>
    <t xml:space="preserve">Check the purchase was tracked</t>
  </si>
  <si>
    <t xml:space="preserve">After buying</t>
  </si>
  <si>
    <t xml:space="preserve">Did my purchase get tracked?</t>
  </si>
  <si>
    <t xml:space="preserve">Shows the order as tracked, points pending, and the date they should land</t>
  </si>
  <si>
    <t xml:space="preserve">NEW: EarnTracker, Status</t>
  </si>
  <si>
    <t xml:space="preserve">Tracking status from the brand network; landing date from the return window</t>
  </si>
  <si>
    <t xml:space="preserve">SH-05-012</t>
  </si>
  <si>
    <t xml:space="preserve">Hear the purchase was tracked</t>
  </si>
  <si>
    <t xml:space="preserve">Tracked</t>
  </si>
  <si>
    <t xml:space="preserve">Confirms the brand recorded the order and when the points will land</t>
  </si>
  <si>
    <t xml:space="preserve">Toast, NEW: EarnTracker</t>
  </si>
  <si>
    <t xml:space="preserve">Notification consent</t>
  </si>
  <si>
    <t xml:space="preserve">SH-05-013</t>
  </si>
  <si>
    <t xml:space="preserve">Claim missing points</t>
  </si>
  <si>
    <t xml:space="preserve">Bought through the link</t>
  </si>
  <si>
    <t xml:space="preserve">Not tracked</t>
  </si>
  <si>
    <t xml:space="preserve">I bought from them yesterday and nothing shows</t>
  </si>
  <si>
    <t xml:space="preserve">Checks the normal tracking delay, then opens a missing points claim with order number and receipt</t>
  </si>
  <si>
    <t xml:space="preserve">Claims decided by the brand network within the claim window in the terms</t>
  </si>
  <si>
    <t xml:space="preserve">SH-05-014</t>
  </si>
  <si>
    <t xml:space="preserve">Went direct</t>
  </si>
  <si>
    <t xml:space="preserve">Link not used</t>
  </si>
  <si>
    <t xml:space="preserve">I forgot to go through Gratifi</t>
  </si>
  <si>
    <t xml:space="preserve">Explains it cannot be tracked and shows how to earn next time</t>
  </si>
  <si>
    <t xml:space="preserve">No manual credit unless terms allow</t>
  </si>
  <si>
    <t xml:space="preserve">SH-05-015</t>
  </si>
  <si>
    <t xml:space="preserve">Used another coupon</t>
  </si>
  <si>
    <t xml:space="preserve">Tracking lost</t>
  </si>
  <si>
    <t xml:space="preserve">I used a discount code from another site</t>
  </si>
  <si>
    <t xml:space="preserve">Explains the other code may have replaced the tracking; offers a claim if terms allow</t>
  </si>
  <si>
    <t xml:space="preserve">StateCard, NEW: ClaimTracker</t>
  </si>
  <si>
    <t xml:space="preserve">Coupon rules from CACHE terms</t>
  </si>
  <si>
    <t xml:space="preserve">SH-05-016</t>
  </si>
  <si>
    <t xml:space="preserve">Private browsing or blocker</t>
  </si>
  <si>
    <t xml:space="preserve">I shop in private mode, is that why?</t>
  </si>
  <si>
    <t xml:space="preserve">Explains blockers can stop tracking and offers a claim with the receipt</t>
  </si>
  <si>
    <t xml:space="preserve">Answer, NEW: ClaimTracker</t>
  </si>
  <si>
    <t xml:space="preserve">Claim decided by the brand network</t>
  </si>
  <si>
    <t xml:space="preserve">SH-05-017</t>
  </si>
  <si>
    <t xml:space="preserve">Paid with another card</t>
  </si>
  <si>
    <t xml:space="preserve">I paid with my debit card by mistake</t>
  </si>
  <si>
    <t xml:space="preserve">Explains only eligible cards earn, so there is nothing to claim</t>
  </si>
  <si>
    <t xml:space="preserve">Eligible cards from the bank</t>
  </si>
  <si>
    <t xml:space="preserve">SH-05-018</t>
  </si>
  <si>
    <t xml:space="preserve">Question the points amount</t>
  </si>
  <si>
    <t xml:space="preserve">Partial</t>
  </si>
  <si>
    <t xml:space="preserve">Fewer points than expected</t>
  </si>
  <si>
    <t xml:space="preserve">I got 5x, not 10x</t>
  </si>
  <si>
    <t xml:space="preserve">Shows the rate on the order date, excluded items and any cap</t>
  </si>
  <si>
    <t xml:space="preserve">PriceLines, StateCard</t>
  </si>
  <si>
    <t xml:space="preserve">Points equal eligible amount times the rate on the order date, from CACHE</t>
  </si>
  <si>
    <t xml:space="preserve">SH-05-019</t>
  </si>
  <si>
    <t xml:space="preserve">Rate ended mid-shop</t>
  </si>
  <si>
    <t xml:space="preserve">The 10x ended while I was shopping</t>
  </si>
  <si>
    <t xml:space="preserve">Explains which rate applies (time of order per terms)</t>
  </si>
  <si>
    <t xml:space="preserve">Rate timing from CACHE terms</t>
  </si>
  <si>
    <t xml:space="preserve">SH-05-020</t>
  </si>
  <si>
    <t xml:space="preserve">Understand points after a return</t>
  </si>
  <si>
    <t xml:space="preserve">Return in window</t>
  </si>
  <si>
    <t xml:space="preserve">Points reduced</t>
  </si>
  <si>
    <t xml:space="preserve">I returned one pair, what happens to my points?</t>
  </si>
  <si>
    <t xml:space="preserve">Explains points for the returned item will not land and shows the new pending amount</t>
  </si>
  <si>
    <t xml:space="preserve">NEW: EarnTracker</t>
  </si>
  <si>
    <t xml:space="preserve">Points adjusted from the brand's return data</t>
  </si>
  <si>
    <t xml:space="preserve">SH-05-021</t>
  </si>
  <si>
    <t xml:space="preserve">Understand a points reversal</t>
  </si>
  <si>
    <t xml:space="preserve">Late return or cancellation</t>
  </si>
  <si>
    <t xml:space="preserve">Points taken back</t>
  </si>
  <si>
    <t xml:space="preserve">Why did my points go down?</t>
  </si>
  <si>
    <t xml:space="preserve">Shows the reversal and the brand order it came from</t>
  </si>
  <si>
    <t xml:space="preserve">Reversals from brand data; terms decide</t>
  </si>
  <si>
    <t xml:space="preserve">SH-05-022</t>
  </si>
  <si>
    <t xml:space="preserve">Chase overdue points</t>
  </si>
  <si>
    <t xml:space="preserve">Past the landing date</t>
  </si>
  <si>
    <t xml:space="preserve">Points late</t>
  </si>
  <si>
    <t xml:space="preserve">It's been 45 days and they're still pending</t>
  </si>
  <si>
    <t xml:space="preserve">Checks with the brand network and hands to a person if overdue</t>
  </si>
  <si>
    <t xml:space="preserve">NEW: EarnTracker, Handoff</t>
  </si>
  <si>
    <t xml:space="preserve">Escalation times from CACHE terms</t>
  </si>
  <si>
    <t xml:space="preserve">SH-05-023</t>
  </si>
  <si>
    <t xml:space="preserve">Hear a brand has left</t>
  </si>
  <si>
    <t xml:space="preserve">Brand removed</t>
  </si>
  <si>
    <t xml:space="preserve">Tells them pending points still count as the terms say</t>
  </si>
  <si>
    <t xml:space="preserve">StateCard, NEW: EarnTracker</t>
  </si>
  <si>
    <t xml:space="preserve">Terms decide what happens to pending points</t>
  </si>
  <si>
    <t xml:space="preserve">SH-05-024</t>
  </si>
  <si>
    <t xml:space="preserve">Sort out a problem with the brand order</t>
  </si>
  <si>
    <t xml:space="preserve">Delivery or refund</t>
  </si>
  <si>
    <t xml:space="preserve">The brand hasn't delivered my order</t>
  </si>
  <si>
    <t xml:space="preserve">Explains the brand handles the order, gives its contact, and explains card protection through the bank</t>
  </si>
  <si>
    <t xml:space="preserve">Answer, BenefitRow, Handoff</t>
  </si>
  <si>
    <t xml:space="preserve">R360 is not the seller; card disputes run by the bank</t>
  </si>
  <si>
    <t xml:space="preserve">UK: Section 75 may cover credit card purchases over £100 up to £30,000; chargeback elsewhere; points-only payments may not be covered (to confirm)</t>
  </si>
  <si>
    <t xml:space="preserve">SH-05-025</t>
  </si>
  <si>
    <t xml:space="preserve">Cancel an order at the brand</t>
  </si>
  <si>
    <t xml:space="preserve">Before it ships</t>
  </si>
  <si>
    <t xml:space="preserve">I cancelled my order with the brand, what happens to my points?</t>
  </si>
  <si>
    <t xml:space="preserve">Explains the pending points will not land once the brand reports the cancellation</t>
  </si>
  <si>
    <t xml:space="preserve">NEW: EarnTracker, Answer</t>
  </si>
  <si>
    <t xml:space="preserve">Points follow brand order data; cancellation done with the brand</t>
  </si>
  <si>
    <t xml:space="preserve">SH-05-026</t>
  </si>
  <si>
    <t xml:space="preserve">Hear the points landed</t>
  </si>
  <si>
    <t xml:space="preserve">Credited</t>
  </si>
  <si>
    <t xml:space="preserve">Tells them the points have landed and suggests a use</t>
  </si>
  <si>
    <t xml:space="preserve">Toast, Moment</t>
  </si>
  <si>
    <t xml:space="preserve">Credit from the bank ledger</t>
  </si>
  <si>
    <t xml:space="preserve">SH-05-027</t>
  </si>
  <si>
    <t xml:space="preserve">See all my extra points</t>
  </si>
  <si>
    <t xml:space="preserve">How many extra points have I earned this year?</t>
  </si>
  <si>
    <t xml:space="preserve">Lists tracked orders with pending, landed and reversed points</t>
  </si>
  <si>
    <t xml:space="preserve">NEW: EarnTracker, TransactionRow</t>
  </si>
  <si>
    <t xml:space="preserve">Brand network and bank ledger</t>
  </si>
  <si>
    <t xml:space="preserve">SH-06-001</t>
  </si>
  <si>
    <t xml:space="preserve">Shop a brand in chat</t>
  </si>
  <si>
    <t xml:space="preserve">Brand known</t>
  </si>
  <si>
    <t xml:space="preserve">Can I order from that coffee roaster I like, here?</t>
  </si>
  <si>
    <t xml:space="preserve">Checks the brand is connected and what it allows, then shows its products</t>
  </si>
  <si>
    <t xml:space="preserve">Answer, Rail, ProductCard, Badge</t>
  </si>
  <si>
    <t xml:space="preserve">Capability register: order only where the brand tools allow</t>
  </si>
  <si>
    <t xml:space="preserve">SH-06-002</t>
  </si>
  <si>
    <t xml:space="preserve">Hear about a new brand</t>
  </si>
  <si>
    <t xml:space="preserve">Brand they like</t>
  </si>
  <si>
    <t xml:space="preserve">Moment: a brand they follow can now be ordered with points in chat</t>
  </si>
  <si>
    <t xml:space="preserve">SH-06-003</t>
  </si>
  <si>
    <t xml:space="preserve">Search a brand's products</t>
  </si>
  <si>
    <t xml:space="preserve">Details known</t>
  </si>
  <si>
    <t xml:space="preserve">Their decaf beans, 1kg, whole bean</t>
  </si>
  <si>
    <t xml:space="preserve">Asks the brand's tools and shows matches with the price in points</t>
  </si>
  <si>
    <t xml:space="preserve">Price from the brand at that moment, converted at the bank's rate</t>
  </si>
  <si>
    <t xml:space="preserve">SH-06-004</t>
  </si>
  <si>
    <t xml:space="preserve">Find a used or rare item on eBay</t>
  </si>
  <si>
    <t xml:space="preserve">Used</t>
  </si>
  <si>
    <t xml:space="preserve">A used film camera in good condition on eBay</t>
  </si>
  <si>
    <t xml:space="preserve">Shows buy-it-now listings with condition, seller rating, delivery and total in points</t>
  </si>
  <si>
    <t xml:space="preserve">Rail, ProductCard, NEW: ReviewSummary</t>
  </si>
  <si>
    <t xml:space="preserve">Buy-it-now only; auctions not supported; condition as listed</t>
  </si>
  <si>
    <t xml:space="preserve">Cross-border orders can add import duty and VAT (to confirm per market)</t>
  </si>
  <si>
    <t xml:space="preserve">SH-06-005</t>
  </si>
  <si>
    <t xml:space="preserve">Check delivery and total</t>
  </si>
  <si>
    <t xml:space="preserve">Delivery cost</t>
  </si>
  <si>
    <t xml:space="preserve">How much with delivery to Bangalore?</t>
  </si>
  <si>
    <t xml:space="preserve">Gets delivery options and the full total from the brand</t>
  </si>
  <si>
    <t xml:space="preserve">Total includes delivery and taxes from the brand</t>
  </si>
  <si>
    <t xml:space="preserve">SH-06-006</t>
  </si>
  <si>
    <t xml:space="preserve">Check the brand's returns</t>
  </si>
  <si>
    <t xml:space="preserve">Before buying</t>
  </si>
  <si>
    <t xml:space="preserve">Can I send it back if it doesn't suit me?</t>
  </si>
  <si>
    <t xml:space="preserve">Shows the brand's return policy and how refunds come back as points</t>
  </si>
  <si>
    <t xml:space="preserve">Brand policy word for word; refund route set by R360</t>
  </si>
  <si>
    <t xml:space="preserve">SH-06-007</t>
  </si>
  <si>
    <t xml:space="preserve">Order from a browse-only brand</t>
  </si>
  <si>
    <t xml:space="preserve">Show only</t>
  </si>
  <si>
    <t xml:space="preserve">Cannot order here</t>
  </si>
  <si>
    <t xml:space="preserve">Order this for me</t>
  </si>
  <si>
    <t xml:space="preserve">Says this brand can only be browsed here and offers its own site, with extra points if it is in the programme</t>
  </si>
  <si>
    <t xml:space="preserve">StateCard, Button</t>
  </si>
  <si>
    <t xml:space="preserve">Capability register</t>
  </si>
  <si>
    <t xml:space="preserve">SH-06-008</t>
  </si>
  <si>
    <t xml:space="preserve">Ask the brand a product question</t>
  </si>
  <si>
    <t xml:space="preserve">Detail not listed</t>
  </si>
  <si>
    <t xml:space="preserve">When were these beans roasted?</t>
  </si>
  <si>
    <t xml:space="preserve">Asks through the brand's tools if they answer questions, otherwise says it is not listed</t>
  </si>
  <si>
    <t xml:space="preserve">Only answers the brand gives; never guessed</t>
  </si>
  <si>
    <t xml:space="preserve">SH-06-009</t>
  </si>
  <si>
    <t xml:space="preserve">Order with points</t>
  </si>
  <si>
    <t xml:space="preserve">Takes the points, places the order with the brand and pays it, shows the receipt</t>
  </si>
  <si>
    <t xml:space="preserve">Re-price with the brand first; points taken only once the brand accepts; R360 pays by corporate card</t>
  </si>
  <si>
    <t xml:space="preserve">SH-06-010</t>
  </si>
  <si>
    <t xml:space="preserve">Card part through the bank; minimum set by the bank</t>
  </si>
  <si>
    <t xml:space="preserve">SH-06-011</t>
  </si>
  <si>
    <t xml:space="preserve">Price rose at the brand</t>
  </si>
  <si>
    <t xml:space="preserve">Stops, shows the new brand price in points and asks again</t>
  </si>
  <si>
    <t xml:space="preserve">Re-price before every order</t>
  </si>
  <si>
    <t xml:space="preserve">SH-06-012</t>
  </si>
  <si>
    <t xml:space="preserve">Brand refused</t>
  </si>
  <si>
    <t xml:space="preserve">Order failed</t>
  </si>
  <si>
    <t xml:space="preserve">Says the order did not go through and no points were taken</t>
  </si>
  <si>
    <t xml:space="preserve">Held points released automatically; R360's own payment failures never shown as the customer's fault</t>
  </si>
  <si>
    <t xml:space="preserve">SH-06-013</t>
  </si>
  <si>
    <t xml:space="preserve">Brand not answering</t>
  </si>
  <si>
    <t xml:space="preserve">Says the brand isn't answering, nothing was ordered, offers an alert or similar items</t>
  </si>
  <si>
    <t xml:space="preserve">Nightly probe; failing brands switched off automatically</t>
  </si>
  <si>
    <t xml:space="preserve">SH-06-014</t>
  </si>
  <si>
    <t xml:space="preserve">Large order</t>
  </si>
  <si>
    <t xml:space="preserve">Over limit</t>
  </si>
  <si>
    <t xml:space="preserve">Order five of these</t>
  </si>
  <si>
    <t xml:space="preserve">Explains the per-order limit and what can be ordered</t>
  </si>
  <si>
    <t xml:space="preserve">Order value and quantity limits from R360 and the bank</t>
  </si>
  <si>
    <t xml:space="preserve">SH-06-015</t>
  </si>
  <si>
    <t xml:space="preserve">After ordering</t>
  </si>
  <si>
    <t xml:space="preserve">Has the coffee shipped?</t>
  </si>
  <si>
    <t xml:space="preserve">Shows the brand's shipping status and tracking</t>
  </si>
  <si>
    <t xml:space="preserve">Status from the brand</t>
  </si>
  <si>
    <t xml:space="preserve">SH-06-016</t>
  </si>
  <si>
    <t xml:space="preserve">Asks the brand to cancel; returns points once the brand confirms</t>
  </si>
  <si>
    <t xml:space="preserve">Brand cancellation rules; points back once confirmed</t>
  </si>
  <si>
    <t xml:space="preserve">SH-06-017</t>
  </si>
  <si>
    <t xml:space="preserve">Change the address</t>
  </si>
  <si>
    <t xml:space="preserve">Asks the brand to change it if its tools allow, otherwise hands to a person</t>
  </si>
  <si>
    <t xml:space="preserve">NEW: AddressPicker, StateCard, Handoff</t>
  </si>
  <si>
    <t xml:space="preserve">Capability register decides</t>
  </si>
  <si>
    <t xml:space="preserve">SH-06-018</t>
  </si>
  <si>
    <t xml:space="preserve">Brand cancelled</t>
  </si>
  <si>
    <t xml:space="preserve">Says the brand cancelled, returns points in full and offers alternatives</t>
  </si>
  <si>
    <t xml:space="preserve">SH-06-019</t>
  </si>
  <si>
    <t xml:space="preserve">Sort out an oversold item</t>
  </si>
  <si>
    <t xml:space="preserve">Out of stock after order</t>
  </si>
  <si>
    <t xml:space="preserve">Says the brand ran out, returns points, offers to wait or choose another</t>
  </si>
  <si>
    <t xml:space="preserve">Refund automatic; wait only with a yes</t>
  </si>
  <si>
    <t xml:space="preserve">SH-06-020</t>
  </si>
  <si>
    <t xml:space="preserve">Past promised date</t>
  </si>
  <si>
    <t xml:space="preserve">It was due last week</t>
  </si>
  <si>
    <t xml:space="preserve">Checks with the brand and gives the new date or offers a cancel and refund</t>
  </si>
  <si>
    <t xml:space="preserve">Brand's delivery terms</t>
  </si>
  <si>
    <t xml:space="preserve">SH-06-021</t>
  </si>
  <si>
    <t xml:space="preserve">Return a wrong or damaged item</t>
  </si>
  <si>
    <t xml:space="preserve">They sent the wrong beans</t>
  </si>
  <si>
    <t xml:space="preserve">Starts the brand's return and says points come back once the brand refunds</t>
  </si>
  <si>
    <t xml:space="preserve">Brand return terms; refunds returned as points by R360</t>
  </si>
  <si>
    <t xml:space="preserve">SH-06-022</t>
  </si>
  <si>
    <t xml:space="preserve">Check a refund from the brand</t>
  </si>
  <si>
    <t xml:space="preserve">Refund due</t>
  </si>
  <si>
    <t xml:space="preserve">Did my refund come through?</t>
  </si>
  <si>
    <t xml:space="preserve">Shows the refund received from the brand and the points returned</t>
  </si>
  <si>
    <t xml:space="preserve">Points returned at the rate first used (to confirm)</t>
  </si>
  <si>
    <t xml:space="preserve">SH-06-023</t>
  </si>
  <si>
    <t xml:space="preserve">Sort out an import charge</t>
  </si>
  <si>
    <t xml:space="preserve">The courier wants £30 in import charges</t>
  </si>
  <si>
    <t xml:space="preserve">Explains who pays under the order terms and hands to a person if it should have been included</t>
  </si>
  <si>
    <t xml:space="preserve">Order terms decide; R360 covers what it promised</t>
  </si>
  <si>
    <t xml:space="preserve">Import charges differ per market (to confirm)</t>
  </si>
  <si>
    <t xml:space="preserve">SH-06-024</t>
  </si>
  <si>
    <t xml:space="preserve">Escalate a dispute with the brand</t>
  </si>
  <si>
    <t xml:space="preserve">Unresolved</t>
  </si>
  <si>
    <t xml:space="preserve">The brand won't take it back</t>
  </si>
  <si>
    <t xml:space="preserve">Hands to a person; R360, as the buyer, takes it up with the brand</t>
  </si>
  <si>
    <t xml:space="preserve">R360 is buyer of record; card chargeback may not apply to points (to confirm)</t>
  </si>
  <si>
    <t xml:space="preserve">SH-06-025</t>
  </si>
  <si>
    <t xml:space="preserve">Reorder from the brand</t>
  </si>
  <si>
    <t xml:space="preserve">Same coffee as last month</t>
  </si>
  <si>
    <t xml:space="preserve">Rebuilds the order, re-priced by the brand</t>
  </si>
  <si>
    <t xml:space="preserve">ProductCard, ConfirmSheet</t>
  </si>
  <si>
    <t xml:space="preserve">Re-price before ordering</t>
  </si>
  <si>
    <t xml:space="preserve">SH-06-026</t>
  </si>
  <si>
    <t xml:space="preserve">Link my brand membership</t>
  </si>
  <si>
    <t xml:space="preserve">Loyalty with the brand</t>
  </si>
  <si>
    <t xml:space="preserve">Use my member number with them</t>
  </si>
  <si>
    <t xml:space="preserve">Links it if the brand's tools allow and asks consent to share details</t>
  </si>
  <si>
    <t xml:space="preserve">Data shared with the brand only with consent</t>
  </si>
  <si>
    <t xml:space="preserve">SH-07-001</t>
  </si>
  <si>
    <t xml:space="preserve">Pay a return collection fee</t>
  </si>
  <si>
    <t xml:space="preserve">Change of mind</t>
  </si>
  <si>
    <t xml:space="preserve">Is there a charge to collect it?</t>
  </si>
  <si>
    <t xml:space="preserve">Shows any collection fee and takes it from the refund or in points after a yes</t>
  </si>
  <si>
    <t xml:space="preserve">Fees from seller terms</t>
  </si>
  <si>
    <t xml:space="preserve">SH-07-002</t>
  </si>
  <si>
    <t xml:space="preserve">Pay for a repair</t>
  </si>
  <si>
    <t xml:space="preserve">Out of warranty</t>
  </si>
  <si>
    <t xml:space="preserve">OK, book the paid repair</t>
  </si>
  <si>
    <t xml:space="preserve">Shows the repair quote and confirms payment in points or card</t>
  </si>
  <si>
    <t xml:space="preserve">PriceLines, PayWith, ConfirmSheet</t>
  </si>
  <si>
    <t xml:space="preserve">Quote from the service centre</t>
  </si>
  <si>
    <t xml:space="preserve">SH-07-003</t>
  </si>
  <si>
    <t xml:space="preserve">Change the delivery address</t>
  </si>
  <si>
    <t xml:space="preserve">Can it go to my office instead?</t>
  </si>
  <si>
    <t xml:space="preserve">Changes the address if not dispatched and rechecks the date</t>
  </si>
  <si>
    <t xml:space="preserve">Changes only before dispatch</t>
  </si>
  <si>
    <t xml:space="preserve">SH-07-004</t>
  </si>
  <si>
    <t xml:space="preserve">Rearrange the delivery</t>
  </si>
  <si>
    <t xml:space="preserve">I won't be in on Thursday</t>
  </si>
  <si>
    <t xml:space="preserve">Offers other days or a safe place if the courier allows</t>
  </si>
  <si>
    <t xml:space="preserve">Options from the courier</t>
  </si>
  <si>
    <t xml:space="preserve">SH-07-005</t>
  </si>
  <si>
    <t xml:space="preserve">Collect from a pickup point</t>
  </si>
  <si>
    <t xml:space="preserve">Collect</t>
  </si>
  <si>
    <t xml:space="preserve">Can I pick it up from a locker?</t>
  </si>
  <si>
    <t xml:space="preserve">Offers nearby pickup points if the courier has them</t>
  </si>
  <si>
    <t xml:space="preserve">Pickup network from the courier</t>
  </si>
  <si>
    <t xml:space="preserve">Locker and pickup networks differ per market (to confirm)</t>
  </si>
  <si>
    <t xml:space="preserve">SH-07-006</t>
  </si>
  <si>
    <t xml:space="preserve">Ask for help at delivery</t>
  </si>
  <si>
    <t xml:space="preserve">Needs help carrying</t>
  </si>
  <si>
    <t xml:space="preserve">My mum can't lift heavy boxes, can they carry it inside?</t>
  </si>
  <si>
    <t xml:space="preserve">Adds a request and checks whether the courier offers room-of-choice delivery</t>
  </si>
  <si>
    <t xml:space="preserve">Service options from the courier; care needs handled by a person where asked</t>
  </si>
  <si>
    <t xml:space="preserve">SH-07-007</t>
  </si>
  <si>
    <t xml:space="preserve">Track an order</t>
  </si>
  <si>
    <t xml:space="preserve">Shipped</t>
  </si>
  <si>
    <t xml:space="preserve">Where's my laptop?</t>
  </si>
  <si>
    <t xml:space="preserve">Shows live status, courier and expected date</t>
  </si>
  <si>
    <t xml:space="preserve">Status from the courier feed</t>
  </si>
  <si>
    <t xml:space="preserve">SH-07-008</t>
  </si>
  <si>
    <t xml:space="preserve">Hear it is arriving today</t>
  </si>
  <si>
    <t xml:space="preserve">Out for delivery</t>
  </si>
  <si>
    <t xml:space="preserve">Tells them it is out for delivery with the time window</t>
  </si>
  <si>
    <t xml:space="preserve">Toast, NEW: DeliveryTracker</t>
  </si>
  <si>
    <t xml:space="preserve">SH-07-009</t>
  </si>
  <si>
    <t xml:space="preserve">Give the delivery code</t>
  </si>
  <si>
    <t xml:space="preserve">Code at the door</t>
  </si>
  <si>
    <t xml:space="preserve">The courier is asking for a code</t>
  </si>
  <si>
    <t xml:space="preserve">Shows the delivery code in the app only</t>
  </si>
  <si>
    <t xml:space="preserve">NEW: DeliveryTracker</t>
  </si>
  <si>
    <t xml:space="preserve">Code shown to the customer only; never read out to a caller</t>
  </si>
  <si>
    <t xml:space="preserve">IN: delivery codes common</t>
  </si>
  <si>
    <t xml:space="preserve">SH-07-010</t>
  </si>
  <si>
    <t xml:space="preserve">Chase a late order</t>
  </si>
  <si>
    <t xml:space="preserve">It should've come yesterday</t>
  </si>
  <si>
    <t xml:space="preserve">Checks the courier, gives the new date and offers a cancel if they no longer want it</t>
  </si>
  <si>
    <t xml:space="preserve">Late-delivery rights from seller terms and law</t>
  </si>
  <si>
    <t xml:space="preserve">SH-07-011</t>
  </si>
  <si>
    <t xml:space="preserve">Find a parcel marked delivered</t>
  </si>
  <si>
    <t xml:space="preserve">Missing parcel</t>
  </si>
  <si>
    <t xml:space="preserve">Not received</t>
  </si>
  <si>
    <t xml:space="preserve">It says delivered but I don't have it</t>
  </si>
  <si>
    <t xml:space="preserve">Shows proof of delivery if any, suggests where to check, then opens an investigation</t>
  </si>
  <si>
    <t xml:space="preserve">StateCard, NEW: DeliveryTracker, Handoff</t>
  </si>
  <si>
    <t xml:space="preserve">Courier and R360 investigate; replacement or refund per terms</t>
  </si>
  <si>
    <t xml:space="preserve">SH-07-012</t>
  </si>
  <si>
    <t xml:space="preserve">Box crushed</t>
  </si>
  <si>
    <t xml:space="preserve">The box was crushed and the screen is cracked</t>
  </si>
  <si>
    <t xml:space="preserve">Asks for photos and starts a replacement or refund</t>
  </si>
  <si>
    <t xml:space="preserve">SH-07-013</t>
  </si>
  <si>
    <t xml:space="preserve">Report the wrong item</t>
  </si>
  <si>
    <t xml:space="preserve">I ordered a blue kettle and got a toaster</t>
  </si>
  <si>
    <t xml:space="preserve">Arranges collection and sends the right item or refunds</t>
  </si>
  <si>
    <t xml:space="preserve">NEW: ReturnFlow, TimeSlots</t>
  </si>
  <si>
    <t xml:space="preserve">Seller terms</t>
  </si>
  <si>
    <t xml:space="preserve">SH-07-014</t>
  </si>
  <si>
    <t xml:space="preserve">Report a missing part</t>
  </si>
  <si>
    <t xml:space="preserve">Part missing</t>
  </si>
  <si>
    <t xml:space="preserve">There's no charger in the box</t>
  </si>
  <si>
    <t xml:space="preserve">Checks what should be in the box and sends the part or replaces</t>
  </si>
  <si>
    <t xml:space="preserve">NEW: IssuePicker, StateCard</t>
  </si>
  <si>
    <t xml:space="preserve">Box contents from the maker's listing</t>
  </si>
  <si>
    <t xml:space="preserve">SH-07-015</t>
  </si>
  <si>
    <t xml:space="preserve">Report a product that does not work</t>
  </si>
  <si>
    <t xml:space="preserve">Brand new</t>
  </si>
  <si>
    <t xml:space="preserve">Dead on arrival</t>
  </si>
  <si>
    <t xml:space="preserve">My new headphones won't turn on</t>
  </si>
  <si>
    <t xml:space="preserve">Walks through one quick check, then replaces within the seller's early-fault window</t>
  </si>
  <si>
    <t xml:space="preserve">Steps, NEW: ReturnFlow</t>
  </si>
  <si>
    <t xml:space="preserve">Early-fault window from seller terms</t>
  </si>
  <si>
    <t xml:space="preserve">SH-07-016</t>
  </si>
  <si>
    <t xml:space="preserve">Report a delivery scam message</t>
  </si>
  <si>
    <t xml:space="preserve">Fake courier text</t>
  </si>
  <si>
    <t xml:space="preserve">I got a text saying pay £1.99 to redeliver my parcel</t>
  </si>
  <si>
    <t xml:space="preserve">Says it looks like a scam, not to click or pay, shows the real status and offers to report it</t>
  </si>
  <si>
    <t xml:space="preserve">Fraud reports go to the bank</t>
  </si>
  <si>
    <t xml:space="preserve">SH-07-017</t>
  </si>
  <si>
    <t xml:space="preserve">Report a courier</t>
  </si>
  <si>
    <t xml:space="preserve">Rude or unsafe</t>
  </si>
  <si>
    <t xml:space="preserve">The courier shouted at me and threw the parcel</t>
  </si>
  <si>
    <t xml:space="preserve">Records it and hands to a person</t>
  </si>
  <si>
    <t xml:space="preserve">Conduct complaints always go to a person</t>
  </si>
  <si>
    <t xml:space="preserve">SH-07-018</t>
  </si>
  <si>
    <t xml:space="preserve">Chase a late refund</t>
  </si>
  <si>
    <t xml:space="preserve">Past the due date</t>
  </si>
  <si>
    <t xml:space="preserve">Refund delayed</t>
  </si>
  <si>
    <t xml:space="preserve">It's been three weeks and no refund</t>
  </si>
  <si>
    <t xml:space="preserve">Checks each step and hands to a person if overdue</t>
  </si>
  <si>
    <t xml:space="preserve">Refund timelines from terms and regulator</t>
  </si>
  <si>
    <t xml:space="preserve">SH-07-019</t>
  </si>
  <si>
    <t xml:space="preserve">Sort out a missed return pickup</t>
  </si>
  <si>
    <t xml:space="preserve">Courier no-show</t>
  </si>
  <si>
    <t xml:space="preserve">Pickup missed</t>
  </si>
  <si>
    <t xml:space="preserve">Nobody came to collect the return</t>
  </si>
  <si>
    <t xml:space="preserve">Rebooks the pickup and keeps the return window open</t>
  </si>
  <si>
    <t xml:space="preserve">Window extended when the courier misses</t>
  </si>
  <si>
    <t xml:space="preserve">SH-07-020</t>
  </si>
  <si>
    <t xml:space="preserve">Escalate repeated faults</t>
  </si>
  <si>
    <t xml:space="preserve">Third repair</t>
  </si>
  <si>
    <t xml:space="preserve">Still faulty</t>
  </si>
  <si>
    <t xml:space="preserve">It's been repaired three times and it's broken again</t>
  </si>
  <si>
    <t xml:space="preserve">Explains replacement or refund rights and hands to a person</t>
  </si>
  <si>
    <t xml:space="preserve">Rights under local law; decision by seller and R360</t>
  </si>
  <si>
    <t xml:space="preserve">SH-07-021</t>
  </si>
  <si>
    <t xml:space="preserve">Act on a product recall</t>
  </si>
  <si>
    <t xml:space="preserve">Recall notice</t>
  </si>
  <si>
    <t xml:space="preserve">Tells them a product they bought is recalled and what to do</t>
  </si>
  <si>
    <t xml:space="preserve">Moment, StateCard, Handoff</t>
  </si>
  <si>
    <t xml:space="preserve">Recall notices only from maker or regulator</t>
  </si>
  <si>
    <t xml:space="preserve">SH-07-022</t>
  </si>
  <si>
    <t xml:space="preserve">Battery swelling</t>
  </si>
  <si>
    <t xml:space="preserve">My power bank is swollen and hot</t>
  </si>
  <si>
    <t xml:space="preserve">Tells them to stop using it and keep it away from anything that burns, and hands to a person</t>
  </si>
  <si>
    <t xml:space="preserve">Safety reports always go to a person</t>
  </si>
  <si>
    <t xml:space="preserve">SH-07-023</t>
  </si>
  <si>
    <t xml:space="preserve">I want to return the jacket</t>
  </si>
  <si>
    <t xml:space="preserve">Checks the window and condition rules, books a pickup or drop-off, says how points come back</t>
  </si>
  <si>
    <t xml:space="preserve">NEW: ReturnFlow, TimeSlots, Receipt</t>
  </si>
  <si>
    <t xml:space="preserve">Return window and eligibility from seller terms</t>
  </si>
  <si>
    <t xml:space="preserve">SH-07-024</t>
  </si>
  <si>
    <t xml:space="preserve">Outside the window</t>
  </si>
  <si>
    <t xml:space="preserve">Too late</t>
  </si>
  <si>
    <t xml:space="preserve">Can I still return the speaker I bought two months ago?</t>
  </si>
  <si>
    <t xml:space="preserve">Says the return window has closed and checks if it is faulty or covered by warranty</t>
  </si>
  <si>
    <t xml:space="preserve">StateCard, NEW: WarrantyCard</t>
  </si>
  <si>
    <t xml:space="preserve">Seller terms; faulty goods rights still apply</t>
  </si>
  <si>
    <t xml:space="preserve">SH-07-025</t>
  </si>
  <si>
    <t xml:space="preserve">Non-returnable</t>
  </si>
  <si>
    <t xml:space="preserve">Can I return the earbuds I opened?</t>
  </si>
  <si>
    <t xml:space="preserve">Explains the hygiene or opened-item rule and checks for a fault</t>
  </si>
  <si>
    <t xml:space="preserve">Exclusions from seller terms and law</t>
  </si>
  <si>
    <t xml:space="preserve">SH-07-026</t>
  </si>
  <si>
    <t xml:space="preserve">Exchange an item</t>
  </si>
  <si>
    <t xml:space="preserve">Size or colour</t>
  </si>
  <si>
    <t xml:space="preserve">Swap it for the black one</t>
  </si>
  <si>
    <t xml:space="preserve">Books the exchange if stock allows, otherwise refunds</t>
  </si>
  <si>
    <t xml:space="preserve">NEW: ReturnFlow, NEW: VariantPicker</t>
  </si>
  <si>
    <t xml:space="preserve">Exchange rules and stock from the seller</t>
  </si>
  <si>
    <t xml:space="preserve">SH-07-027</t>
  </si>
  <si>
    <t xml:space="preserve">Understand how a refund comes back</t>
  </si>
  <si>
    <t xml:space="preserve">Paid with points and card</t>
  </si>
  <si>
    <t xml:space="preserve">I paid with points and card, how does the refund work?</t>
  </si>
  <si>
    <t xml:space="preserve">Explains it comes back the same way: points to points, card to card</t>
  </si>
  <si>
    <t xml:space="preserve">Refund split mirrors the original payment</t>
  </si>
  <si>
    <t xml:space="preserve">SH-07-028</t>
  </si>
  <si>
    <t xml:space="preserve">Track a return and refund</t>
  </si>
  <si>
    <t xml:space="preserve">Refund pending</t>
  </si>
  <si>
    <t xml:space="preserve">Shows return received, refund state and when points or money land</t>
  </si>
  <si>
    <t xml:space="preserve">Status from seller and bank ledger</t>
  </si>
  <si>
    <t xml:space="preserve">SH-07-029</t>
  </si>
  <si>
    <t xml:space="preserve">Make a warranty claim</t>
  </si>
  <si>
    <t xml:space="preserve">Within warranty</t>
  </si>
  <si>
    <t xml:space="preserve">My blender stopped working after five months</t>
  </si>
  <si>
    <t xml:space="preserve">Finds the invoice and warranty and books a repair with the maker's service centre</t>
  </si>
  <si>
    <t xml:space="preserve">NEW: WarrantyCard, TimeSlots, Receipt</t>
  </si>
  <si>
    <t xml:space="preserve">Warranty terms from the maker; claim decided by the service centre</t>
  </si>
  <si>
    <t xml:space="preserve">SH-07-030</t>
  </si>
  <si>
    <t xml:space="preserve">Warranty ended</t>
  </si>
  <si>
    <t xml:space="preserve">The TV broke just after the warranty ran out</t>
  </si>
  <si>
    <t xml:space="preserve">Says the warranty has ended, checks the card's cover and extended cover, offers a paid repair</t>
  </si>
  <si>
    <t xml:space="preserve">Cover from the bank; repair prices from the service centre</t>
  </si>
  <si>
    <t xml:space="preserve">SH-07-031</t>
  </si>
  <si>
    <t xml:space="preserve">Check card purchase cover</t>
  </si>
  <si>
    <t xml:space="preserve">Stolen or broken soon after buying</t>
  </si>
  <si>
    <t xml:space="preserve">My new phone was stolen last week, am I covered?</t>
  </si>
  <si>
    <t xml:space="preserve">Checks the card's purchase cover and hands the claim to the bank</t>
  </si>
  <si>
    <t xml:space="preserve">Cover and claims decided by the bank's insurer</t>
  </si>
  <si>
    <t xml:space="preserve">Cover terms per card and market</t>
  </si>
  <si>
    <t xml:space="preserve">SH-07-032</t>
  </si>
  <si>
    <t xml:space="preserve">Check repair status</t>
  </si>
  <si>
    <t xml:space="preserve">In repair</t>
  </si>
  <si>
    <t xml:space="preserve">Is my laptop fixed yet?</t>
  </si>
  <si>
    <t xml:space="preserve">Shows the repair status and expected return date</t>
  </si>
  <si>
    <t xml:space="preserve">Status from the service centre</t>
  </si>
  <si>
    <t xml:space="preserve">SH-07-033</t>
  </si>
  <si>
    <t xml:space="preserve">Warranty or expenses</t>
  </si>
  <si>
    <t xml:space="preserve">I need the invoice for warranty</t>
  </si>
  <si>
    <t xml:space="preserve">Sends the tax invoice for the order</t>
  </si>
  <si>
    <t xml:space="preserve">Invoice from the seller</t>
  </si>
  <si>
    <t xml:space="preserve">SH-07-034</t>
  </si>
  <si>
    <t xml:space="preserve">Complain about delivery or returns</t>
  </si>
  <si>
    <t xml:space="preserve">This is the worst service, I want to complain</t>
  </si>
  <si>
    <t xml:space="preserve">Listens, logs the complaint with the order history and hands to a person</t>
  </si>
  <si>
    <t xml:space="preserve">Complaints process and timelines set by the bank and regulator</t>
  </si>
  <si>
    <t xml:space="preserve">SH-07-035</t>
  </si>
  <si>
    <t xml:space="preserve">Swap a gift I was sent</t>
  </si>
  <si>
    <t xml:space="preserve">Gift receipt</t>
  </si>
  <si>
    <t xml:space="preserve">My friend sent me this from the catalogue, can I swap it?</t>
  </si>
  <si>
    <t xml:space="preserve">Checks the gift order and offers an exchange; any refund goes back to the sender as the terms say</t>
  </si>
  <si>
    <t xml:space="preserve">Exchange rules from the seller; refunds go to the payer</t>
  </si>
  <si>
    <t xml:space="preserve">SH-07-036</t>
  </si>
  <si>
    <t xml:space="preserve">See my orders</t>
  </si>
  <si>
    <t xml:space="preserve">Show my orders</t>
  </si>
  <si>
    <t xml:space="preserve">Lists orders with status and any open returns</t>
  </si>
  <si>
    <t xml:space="preserve">TransactionRow, Status</t>
  </si>
  <si>
    <t xml:space="preserve">Order data from fulfilment</t>
  </si>
  <si>
    <t xml:space="preserve">GC-01-001</t>
  </si>
  <si>
    <t xml:space="preserve">Find a gift card</t>
  </si>
  <si>
    <t xml:space="preserve">Brand wanted</t>
  </si>
  <si>
    <t xml:space="preserve">Do you have gift cards for a coffee chain?</t>
  </si>
  <si>
    <t xml:space="preserve">Shows available brand cards, values and where they work</t>
  </si>
  <si>
    <t xml:space="preserve">GiftCardTile, Rail</t>
  </si>
  <si>
    <t xml:space="preserve">Brands, values and stock from Piingle and the catalogue</t>
  </si>
  <si>
    <t xml:space="preserve">GC-01-002</t>
  </si>
  <si>
    <t xml:space="preserve">What gift cards can I get for 5,000 points?</t>
  </si>
  <si>
    <t xml:space="preserve">Shows cards the points cover</t>
  </si>
  <si>
    <t xml:space="preserve">GiftCardTile, Rail, Dial</t>
  </si>
  <si>
    <t xml:space="preserve">GC-01-003</t>
  </si>
  <si>
    <t xml:space="preserve">Hear about a gift card offer</t>
  </si>
  <si>
    <t xml:space="preserve">Festive offer</t>
  </si>
  <si>
    <t xml:space="preserve">Moment: bonus value on gift cards before the festival</t>
  </si>
  <si>
    <t xml:space="preserve">Eligible offers only; marketing consent</t>
  </si>
  <si>
    <t xml:space="preserve">GC-01-004</t>
  </si>
  <si>
    <t xml:space="preserve">Check where it works</t>
  </si>
  <si>
    <t xml:space="preserve">In store or online</t>
  </si>
  <si>
    <t xml:space="preserve">Can I use it in the shop or only online?</t>
  </si>
  <si>
    <t xml:space="preserve">Shows the brand's use terms</t>
  </si>
  <si>
    <t xml:space="preserve">Brand terms word for word</t>
  </si>
  <si>
    <t xml:space="preserve">GC-01-005</t>
  </si>
  <si>
    <t xml:space="preserve">Choose a value</t>
  </si>
  <si>
    <t xml:space="preserve">Fixed amounts</t>
  </si>
  <si>
    <t xml:space="preserve">Can I get a £35 one?</t>
  </si>
  <si>
    <t xml:space="preserve">Shows the allowed values and suggests the nearest or two cards</t>
  </si>
  <si>
    <t xml:space="preserve">Chips, GiftCardTile</t>
  </si>
  <si>
    <t xml:space="preserve">Denominations from the brand</t>
  </si>
  <si>
    <t xml:space="preserve">GC-01-006</t>
  </si>
  <si>
    <t xml:space="preserve">Compare value for points</t>
  </si>
  <si>
    <t xml:space="preserve">Best value</t>
  </si>
  <si>
    <t xml:space="preserve">Which gift card gives me most for my points?</t>
  </si>
  <si>
    <t xml:space="preserve">Shows value per point across cards</t>
  </si>
  <si>
    <t xml:space="preserve">Values from live prices</t>
  </si>
  <si>
    <t xml:space="preserve">GC-01-007</t>
  </si>
  <si>
    <t xml:space="preserve">Buy a card for another country</t>
  </si>
  <si>
    <t xml:space="preserve">Different country</t>
  </si>
  <si>
    <t xml:space="preserve">Not usable there</t>
  </si>
  <si>
    <t xml:space="preserve">A gift card for my cousin in Dubai</t>
  </si>
  <si>
    <t xml:space="preserve">Checks the brand's country and shows cards usable there</t>
  </si>
  <si>
    <t xml:space="preserve">GiftCardTile, StateCard</t>
  </si>
  <si>
    <t xml:space="preserve">Country rules from the brand</t>
  </si>
  <si>
    <t xml:space="preserve">Gift cards are mostly locked to one country</t>
  </si>
  <si>
    <t xml:space="preserve">GC-01-008</t>
  </si>
  <si>
    <t xml:space="preserve">Buy a gift card</t>
  </si>
  <si>
    <t xml:space="preserve">Buy the £25 one with points</t>
  </si>
  <si>
    <t xml:space="preserve">Confirms, issues the card at once and shows the code</t>
  </si>
  <si>
    <t xml:space="preserve">GiftCardTile, ConfirmSheet, Receipt, NEW: VoucherCode</t>
  </si>
  <si>
    <t xml:space="preserve">Issued cards cannot be refunded (terms); price from the catalogue</t>
  </si>
  <si>
    <t xml:space="preserve">GC-01-009</t>
  </si>
  <si>
    <t xml:space="preserve">Pay by card, keep my points</t>
  </si>
  <si>
    <t xml:space="preserve">Charges the card and shows points earned</t>
  </si>
  <si>
    <t xml:space="preserve">Whether gift card purchases earn points set by the bank</t>
  </si>
  <si>
    <t xml:space="preserve">GC-01-010</t>
  </si>
  <si>
    <t xml:space="preserve">GC-01-011</t>
  </si>
  <si>
    <t xml:space="preserve">Says no card was issued and nothing was taken</t>
  </si>
  <si>
    <t xml:space="preserve">No issue without payment success</t>
  </si>
  <si>
    <t xml:space="preserve">GC-01-012</t>
  </si>
  <si>
    <t xml:space="preserve">Many cards</t>
  </si>
  <si>
    <t xml:space="preserve">Buy ten £100 cards</t>
  </si>
  <si>
    <t xml:space="preserve">Explains the daily limit and offers the business route for bulk</t>
  </si>
  <si>
    <t xml:space="preserve">Limits from the bank and Piingle (fraud controls)</t>
  </si>
  <si>
    <t xml:space="preserve">Gift card and prepaid rules differ: RBI prepaid rules (IN), e-money rules (UK, EU), MAS (SG), BNM (MY), CBUAE (AE); limits and expiry to confirm</t>
  </si>
  <si>
    <t xml:space="preserve">GC-01-013</t>
  </si>
  <si>
    <t xml:space="preserve">Unusual buy</t>
  </si>
  <si>
    <t xml:space="preserve">(confirms a large gift card purchase)</t>
  </si>
  <si>
    <t xml:space="preserve">Pauses and hands to the bank's fraud team</t>
  </si>
  <si>
    <t xml:space="preserve">Fraud checks set by the bank</t>
  </si>
  <si>
    <t xml:space="preserve">GC-01-014</t>
  </si>
  <si>
    <t xml:space="preserve">Stop a gift card scam</t>
  </si>
  <si>
    <t xml:space="preserve">Told to pay by gift card</t>
  </si>
  <si>
    <t xml:space="preserve">Someone from the tax office says I must pay a fine with gift cards</t>
  </si>
  <si>
    <t xml:space="preserve">Stops, explains this is a known scam, does not sell, and offers the fraud team</t>
  </si>
  <si>
    <t xml:space="preserve">Scam signals pause the purchase; bank fraud team decides</t>
  </si>
  <si>
    <t xml:space="preserve">GC-01-015</t>
  </si>
  <si>
    <t xml:space="preserve">Find a card that has not arrived</t>
  </si>
  <si>
    <t xml:space="preserve">Delay</t>
  </si>
  <si>
    <t xml:space="preserve">Not delivered</t>
  </si>
  <si>
    <t xml:space="preserve">I bought a gift card and haven't got the code</t>
  </si>
  <si>
    <t xml:space="preserve">Checks the issue status; resends or reverses the payment if it failed</t>
  </si>
  <si>
    <t xml:space="preserve">StateCard, NEW: VoucherCode</t>
  </si>
  <si>
    <t xml:space="preserve">Automatic reversal if not issued in the set time</t>
  </si>
  <si>
    <t xml:space="preserve">GC-01-016</t>
  </si>
  <si>
    <t xml:space="preserve">Fix a code that does not work</t>
  </si>
  <si>
    <t xml:space="preserve">At checkout</t>
  </si>
  <si>
    <t xml:space="preserve">Code rejected</t>
  </si>
  <si>
    <t xml:space="preserve">The shop says the code is invalid</t>
  </si>
  <si>
    <t xml:space="preserve">Checks the code with the brand and replaces it if faulty, or hands to a person</t>
  </si>
  <si>
    <t xml:space="preserve">StateCard, NEW: VoucherCode, Handoff</t>
  </si>
  <si>
    <t xml:space="preserve">Brand confirms the code status</t>
  </si>
  <si>
    <t xml:space="preserve">GC-01-017</t>
  </si>
  <si>
    <t xml:space="preserve">Find a card that is sold out</t>
  </si>
  <si>
    <t xml:space="preserve">Brand out of stock</t>
  </si>
  <si>
    <t xml:space="preserve">(taps a card)</t>
  </si>
  <si>
    <t xml:space="preserve">Says it is out of stock and offers similar brands or an alert</t>
  </si>
  <si>
    <t xml:space="preserve">Stock from Piingle</t>
  </si>
  <si>
    <t xml:space="preserve">GC-01-018</t>
  </si>
  <si>
    <t xml:space="preserve">Cancel a gift card purchase</t>
  </si>
  <si>
    <t xml:space="preserve">Not refundable</t>
  </si>
  <si>
    <t xml:space="preserve">Can I cancel the gift card I just bought?</t>
  </si>
  <si>
    <t xml:space="preserve">Explains issued cards usually cannot be refunded and checks if the terms allow it for unused cards</t>
  </si>
  <si>
    <t xml:space="preserve">Refunds only as brand terms allow</t>
  </si>
  <si>
    <t xml:space="preserve">GC-01-019</t>
  </si>
  <si>
    <t xml:space="preserve">Send me the receipt for the gift card</t>
  </si>
  <si>
    <t xml:space="preserve">Sends the receipt</t>
  </si>
  <si>
    <t xml:space="preserve">Receipt from Piingle</t>
  </si>
  <si>
    <t xml:space="preserve">GC-02-001</t>
  </si>
  <si>
    <t xml:space="preserve">Turn points into a voucher</t>
  </si>
  <si>
    <t xml:space="preserve">Spend elsewhere</t>
  </si>
  <si>
    <t xml:space="preserve">Convert my points into a shopping voucher</t>
  </si>
  <si>
    <t xml:space="preserve">Shows voucher options with value per point, and a product too if it is better value</t>
  </si>
  <si>
    <t xml:space="preserve">Rail, GiftCardTile, Compare</t>
  </si>
  <si>
    <t xml:space="preserve">Values live; any recommendation must be a stated fact</t>
  </si>
  <si>
    <t xml:space="preserve">GC-02-002</t>
  </si>
  <si>
    <t xml:space="preserve">Use small leftover points</t>
  </si>
  <si>
    <t xml:space="preserve">Low balance</t>
  </si>
  <si>
    <t xml:space="preserve">I've only got 1,800 points, anything?</t>
  </si>
  <si>
    <t xml:space="preserve">Shows the smallest vouchers and products the balance covers</t>
  </si>
  <si>
    <t xml:space="preserve">Catalogue minimums</t>
  </si>
  <si>
    <t xml:space="preserve">GC-02-003</t>
  </si>
  <si>
    <t xml:space="preserve">Warns points are about to expire and offers an instant voucher or a product</t>
  </si>
  <si>
    <t xml:space="preserve">Moment, GiftCardTile, ProductCard</t>
  </si>
  <si>
    <t xml:space="preserve">GC-02-004</t>
  </si>
  <si>
    <t xml:space="preserve">Pick a voucher type</t>
  </si>
  <si>
    <t xml:space="preserve">Fuel</t>
  </si>
  <si>
    <t xml:space="preserve">A fuel voucher please</t>
  </si>
  <si>
    <t xml:space="preserve">Shows fuel vouchers usable nearby</t>
  </si>
  <si>
    <t xml:space="preserve">Brands from the catalogue</t>
  </si>
  <si>
    <t xml:space="preserve">Fuel vouchers common in IN; availability elsewhere to confirm</t>
  </si>
  <si>
    <t xml:space="preserve">GC-02-005</t>
  </si>
  <si>
    <t xml:space="preserve">Check voucher terms</t>
  </si>
  <si>
    <t xml:space="preserve">Sale items</t>
  </si>
  <si>
    <t xml:space="preserve">Can I use it on sale items?</t>
  </si>
  <si>
    <t xml:space="preserve">Shows the brand's terms</t>
  </si>
  <si>
    <t xml:space="preserve">GC-02-006</t>
  </si>
  <si>
    <t xml:space="preserve">Compare a voucher with money off the bill</t>
  </si>
  <si>
    <t xml:space="preserve">Statement credit</t>
  </si>
  <si>
    <t xml:space="preserve">Is it better to take points off my bill?</t>
  </si>
  <si>
    <t xml:space="preserve">Shows the value of both at the current rates</t>
  </si>
  <si>
    <t xml:space="preserve">Rates from the bank</t>
  </si>
  <si>
    <t xml:space="preserve">Statement credit depends on bank</t>
  </si>
  <si>
    <t xml:space="preserve">GC-02-007</t>
  </si>
  <si>
    <t xml:space="preserve">Redeem points for a voucher</t>
  </si>
  <si>
    <t xml:space="preserve">Get me the £20 voucher</t>
  </si>
  <si>
    <t xml:space="preserve">Confirms and shows the voucher code straight away</t>
  </si>
  <si>
    <t xml:space="preserve">ConfirmSheet, NEW: VoucherCode, Receipt</t>
  </si>
  <si>
    <t xml:space="preserve">Voucher issued only after points debit succeeds</t>
  </si>
  <si>
    <t xml:space="preserve">GC-02-008</t>
  </si>
  <si>
    <t xml:space="preserve">Clear the balance</t>
  </si>
  <si>
    <t xml:space="preserve">Use all my points on vouchers</t>
  </si>
  <si>
    <t xml:space="preserve">Suggests the mix that uses the balance with least left over</t>
  </si>
  <si>
    <t xml:space="preserve">GiftCardTile, PriceLines, ConfirmSheet</t>
  </si>
  <si>
    <t xml:space="preserve">Denominations from the catalogue</t>
  </si>
  <si>
    <t xml:space="preserve">GC-02-009</t>
  </si>
  <si>
    <t xml:space="preserve">The £50 one</t>
  </si>
  <si>
    <t xml:space="preserve">Says how many points short and offers a smaller voucher</t>
  </si>
  <si>
    <t xml:space="preserve">StateCard, GiftCardTile</t>
  </si>
  <si>
    <t xml:space="preserve">GC-02-010</t>
  </si>
  <si>
    <t xml:space="preserve">Get me a voucher</t>
  </si>
  <si>
    <t xml:space="preserve">Says redemptions are paused and hands to the bank</t>
  </si>
  <si>
    <t xml:space="preserve">GC-02-011</t>
  </si>
  <si>
    <t xml:space="preserve">Cancel a voucher redemption</t>
  </si>
  <si>
    <t xml:space="preserve">Just redeemed</t>
  </si>
  <si>
    <t xml:space="preserve">I picked the wrong brand, can I undo it?</t>
  </si>
  <si>
    <t xml:space="preserve">Says whether the unused voucher can be cancelled under the terms</t>
  </si>
  <si>
    <t xml:space="preserve">Cancellation only if the brand allows and the code is unused</t>
  </si>
  <si>
    <t xml:space="preserve">GC-02-012</t>
  </si>
  <si>
    <t xml:space="preserve">Find a missing voucher</t>
  </si>
  <si>
    <t xml:space="preserve">Points gone</t>
  </si>
  <si>
    <t xml:space="preserve">Voucher not issued</t>
  </si>
  <si>
    <t xml:space="preserve">My points went but I didn't get a voucher</t>
  </si>
  <si>
    <t xml:space="preserve">Checks the issue status; resends or returns the points automatically</t>
  </si>
  <si>
    <t xml:space="preserve">Automatic reversal in a set time</t>
  </si>
  <si>
    <t xml:space="preserve">GC-02-013</t>
  </si>
  <si>
    <t xml:space="preserve">Fix a voucher the shop refused</t>
  </si>
  <si>
    <t xml:space="preserve">The shop refused my voucher</t>
  </si>
  <si>
    <t xml:space="preserve">Checks it with the brand; replaces or hands to a person</t>
  </si>
  <si>
    <t xml:space="preserve">Brand confirms status</t>
  </si>
  <si>
    <t xml:space="preserve">GC-02-014</t>
  </si>
  <si>
    <t xml:space="preserve">Rescue an expired voucher</t>
  </si>
  <si>
    <t xml:space="preserve">Not used in time</t>
  </si>
  <si>
    <t xml:space="preserve">My voucher expired yesterday</t>
  </si>
  <si>
    <t xml:space="preserve">Asks the brand about an extension and hands to a person</t>
  </si>
  <si>
    <t xml:space="preserve">Extensions decided by the brand</t>
  </si>
  <si>
    <t xml:space="preserve">GC-02-015</t>
  </si>
  <si>
    <t xml:space="preserve">Stop a voucher scam</t>
  </si>
  <si>
    <t xml:space="preserve">Asked to share codes</t>
  </si>
  <si>
    <t xml:space="preserve">Someone from the bank rang and asked me to read out my voucher codes</t>
  </si>
  <si>
    <t xml:space="preserve">Says the bank never asks for codes, checks what was shared and hands to the fraud team</t>
  </si>
  <si>
    <t xml:space="preserve">Fraud team decides; codes blocked where the brand allows</t>
  </si>
  <si>
    <t xml:space="preserve">GC-02-016</t>
  </si>
  <si>
    <t xml:space="preserve">Find my voucher code</t>
  </si>
  <si>
    <t xml:space="preserve">Lost</t>
  </si>
  <si>
    <t xml:space="preserve">Where's the voucher I got last month?</t>
  </si>
  <si>
    <t xml:space="preserve">Shows it in the wallet with balance and expiry</t>
  </si>
  <si>
    <t xml:space="preserve">NEW: GiftCardWallet, NEW: VoucherCode</t>
  </si>
  <si>
    <t xml:space="preserve">Codes stored securely by R360</t>
  </si>
  <si>
    <t xml:space="preserve">GC-03-001</t>
  </si>
  <si>
    <t xml:space="preserve">Send a gift card</t>
  </si>
  <si>
    <t xml:space="preserve">Birthday on a date</t>
  </si>
  <si>
    <t xml:space="preserve">Send my sister a £50 gift card for her birthday on Friday</t>
  </si>
  <si>
    <t xml:space="preserve">Picks brand and value, schedules it for Friday morning and adds a message</t>
  </si>
  <si>
    <t xml:space="preserve">GiftCardTile, SendTo, NEW: GiftMessage, ConfirmSheet</t>
  </si>
  <si>
    <t xml:space="preserve">Recipient details used only to deliver; send time kept</t>
  </si>
  <si>
    <t xml:space="preserve">GC-03-002</t>
  </si>
  <si>
    <t xml:space="preserve">Right now</t>
  </si>
  <si>
    <t xml:space="preserve">Send Sam a coffee card to say thanks</t>
  </si>
  <si>
    <t xml:space="preserve">Sends it now by message or email</t>
  </si>
  <si>
    <t xml:space="preserve">GiftCardTile, SendTo, ConfirmSheet</t>
  </si>
  <si>
    <t xml:space="preserve">Recipient contact confirmed before sending</t>
  </si>
  <si>
    <t xml:space="preserve">GC-03-003</t>
  </si>
  <si>
    <t xml:space="preserve">Send gift cards to a team</t>
  </si>
  <si>
    <t xml:space="preserve">Several people</t>
  </si>
  <si>
    <t xml:space="preserve">Send a £20 card to each of my 12 team members</t>
  </si>
  <si>
    <t xml:space="preserve">Collects the list, checks it and hands large business orders to the bulk route</t>
  </si>
  <si>
    <t xml:space="preserve">NEW: RecipientList, SendTo, Suggestions</t>
  </si>
  <si>
    <t xml:space="preserve">Personal limits from the bank; bulk goes to the business route</t>
  </si>
  <si>
    <t xml:space="preserve">GC-03-004</t>
  </si>
  <si>
    <t xml:space="preserve">Send a festive gift</t>
  </si>
  <si>
    <t xml:space="preserve">Festival</t>
  </si>
  <si>
    <t xml:space="preserve">A Hari Raya gift for my nephews</t>
  </si>
  <si>
    <t xml:space="preserve">Offers gift cards with a festive design</t>
  </si>
  <si>
    <t xml:space="preserve">GiftCardTile, NEW: GiftMessage</t>
  </si>
  <si>
    <t xml:space="preserve">Designs from Piingle</t>
  </si>
  <si>
    <t xml:space="preserve">Green packets (Hari Raya) and red packets (Chinese New Year) customs in MY and SG; gift cards are not cash (to confirm)</t>
  </si>
  <si>
    <t xml:space="preserve">GC-03-005</t>
  </si>
  <si>
    <t xml:space="preserve">Pick a gift for someone</t>
  </si>
  <si>
    <t xml:space="preserve">Unsure what they like</t>
  </si>
  <si>
    <t xml:space="preserve">What should I get my colleague who is leaving?</t>
  </si>
  <si>
    <t xml:space="preserve">Suggests multi-brand or popular cards with the reason</t>
  </si>
  <si>
    <t xml:space="preserve">Answer, GiftCardTile, Rail</t>
  </si>
  <si>
    <t xml:space="preserve">Only cards in stock</t>
  </si>
  <si>
    <t xml:space="preserve">GC-03-006</t>
  </si>
  <si>
    <t xml:space="preserve">Write the message</t>
  </si>
  <si>
    <t xml:space="preserve">Help with words</t>
  </si>
  <si>
    <t xml:space="preserve">Write something warm for my nan's 80th</t>
  </si>
  <si>
    <t xml:space="preserve">Drafts a short message for them to edit</t>
  </si>
  <si>
    <t xml:space="preserve">NEW: GiftMessage</t>
  </si>
  <si>
    <t xml:space="preserve">Customer approves the final text</t>
  </si>
  <si>
    <t xml:space="preserve">GC-03-007</t>
  </si>
  <si>
    <t xml:space="preserve">Choose a design</t>
  </si>
  <si>
    <t xml:space="preserve">Something with a Diwali design</t>
  </si>
  <si>
    <t xml:space="preserve">Shows designs for the occasion</t>
  </si>
  <si>
    <t xml:space="preserve">GiftCardTile, Chips</t>
  </si>
  <si>
    <t xml:space="preserve">AE: Arabic text and designs need native review</t>
  </si>
  <si>
    <t xml:space="preserve">GC-03-008</t>
  </si>
  <si>
    <t xml:space="preserve">Pay for the gift</t>
  </si>
  <si>
    <t xml:space="preserve">Confirms and schedules or sends</t>
  </si>
  <si>
    <t xml:space="preserve">Price from the catalogue</t>
  </si>
  <si>
    <t xml:space="preserve">GC-03-009</t>
  </si>
  <si>
    <t xml:space="preserve">Put it on my card</t>
  </si>
  <si>
    <t xml:space="preserve">Charges the card and confirms</t>
  </si>
  <si>
    <t xml:space="preserve">GC-03-010</t>
  </si>
  <si>
    <t xml:space="preserve">Let friends chip in</t>
  </si>
  <si>
    <t xml:space="preserve">Group gift</t>
  </si>
  <si>
    <t xml:space="preserve">Let four of us chip in for Sam's leaving present</t>
  </si>
  <si>
    <t xml:space="preserve">Creates a shared collection each person pays into, then sends the card</t>
  </si>
  <si>
    <t xml:space="preserve">NEW: GroupGift, SendTo, AvatarStack</t>
  </si>
  <si>
    <t xml:space="preserve">Only where the bank supports payment requests</t>
  </si>
  <si>
    <t xml:space="preserve">GC-03-011</t>
  </si>
  <si>
    <t xml:space="preserve">Change the send date</t>
  </si>
  <si>
    <t xml:space="preserve">Send it on Saturday instead</t>
  </si>
  <si>
    <t xml:space="preserve">Moves the scheduled send</t>
  </si>
  <si>
    <t xml:space="preserve">Only before sending</t>
  </si>
  <si>
    <t xml:space="preserve">GC-03-012</t>
  </si>
  <si>
    <t xml:space="preserve">Cancel a scheduled gift</t>
  </si>
  <si>
    <t xml:space="preserve">Not yet sent</t>
  </si>
  <si>
    <t xml:space="preserve">Cancel the gift to Sam</t>
  </si>
  <si>
    <t xml:space="preserve">Cancels and returns points or card money</t>
  </si>
  <si>
    <t xml:space="preserve">Full refund before sending</t>
  </si>
  <si>
    <t xml:space="preserve">GC-03-013</t>
  </si>
  <si>
    <t xml:space="preserve">Fix the recipient's details</t>
  </si>
  <si>
    <t xml:space="preserve">Wrong contact</t>
  </si>
  <si>
    <t xml:space="preserve">I put the wrong number in</t>
  </si>
  <si>
    <t xml:space="preserve">If not opened, cancels and resends to the right contact</t>
  </si>
  <si>
    <t xml:space="preserve">StateCard, SendTo</t>
  </si>
  <si>
    <t xml:space="preserve">Cannot be recalled once opened or used</t>
  </si>
  <si>
    <t xml:space="preserve">GC-03-014</t>
  </si>
  <si>
    <t xml:space="preserve">Check it was received</t>
  </si>
  <si>
    <t xml:space="preserve">Sent</t>
  </si>
  <si>
    <t xml:space="preserve">Has she opened it?</t>
  </si>
  <si>
    <t xml:space="preserve">Shows sent, delivered and opened</t>
  </si>
  <si>
    <t xml:space="preserve">Opened status only where the channel reports it</t>
  </si>
  <si>
    <t xml:space="preserve">GC-03-015</t>
  </si>
  <si>
    <t xml:space="preserve">Sort out a gift that did not arrive</t>
  </si>
  <si>
    <t xml:space="preserve">She says she never got it</t>
  </si>
  <si>
    <t xml:space="preserve">Checks delivery and resends to the same or a corrected contact</t>
  </si>
  <si>
    <t xml:space="preserve">Resend only to confirmed contacts</t>
  </si>
  <si>
    <t xml:space="preserve">GC-03-016</t>
  </si>
  <si>
    <t xml:space="preserve">Sort out a gift used by a stranger</t>
  </si>
  <si>
    <t xml:space="preserve">Wrong person used it</t>
  </si>
  <si>
    <t xml:space="preserve">Redeemed by someone else</t>
  </si>
  <si>
    <t xml:space="preserve">I sent it to the wrong email and someone has used it</t>
  </si>
  <si>
    <t xml:space="preserve">Checks status and hands to a person</t>
  </si>
  <si>
    <t xml:space="preserve">Brand and R360 decide; used codes rarely recoverable</t>
  </si>
  <si>
    <t xml:space="preserve">GC-03-017</t>
  </si>
  <si>
    <t xml:space="preserve">Sort out a gift the person cannot use</t>
  </si>
  <si>
    <t xml:space="preserve">Not usable</t>
  </si>
  <si>
    <t xml:space="preserve">My friend in Singapore can't use it</t>
  </si>
  <si>
    <t xml:space="preserve">Checks if the brand allows an exchange and hands to a person if not</t>
  </si>
  <si>
    <t xml:space="preserve">Exchange rules from the brand</t>
  </si>
  <si>
    <t xml:space="preserve">GC-03-018</t>
  </si>
  <si>
    <t xml:space="preserve">Send a large gift</t>
  </si>
  <si>
    <t xml:space="preserve">New recipient</t>
  </si>
  <si>
    <t xml:space="preserve">(confirms a large gift to a new contact)</t>
  </si>
  <si>
    <t xml:space="preserve">Fraud checks by the bank</t>
  </si>
  <si>
    <t xml:space="preserve">GC-03-019</t>
  </si>
  <si>
    <t xml:space="preserve">Get reminded of birthdays</t>
  </si>
  <si>
    <t xml:space="preserve">Saved dates</t>
  </si>
  <si>
    <t xml:space="preserve">A week before a saved birthday, suggests a gift</t>
  </si>
  <si>
    <t xml:space="preserve">Moment, GiftCardTile, Button</t>
  </si>
  <si>
    <t xml:space="preserve">Only dates the customer saved; consent</t>
  </si>
  <si>
    <t xml:space="preserve">GC-04-001</t>
  </si>
  <si>
    <t xml:space="preserve">Find where to use it</t>
  </si>
  <si>
    <t xml:space="preserve">Nearby</t>
  </si>
  <si>
    <t xml:space="preserve">Where's the nearest shop that takes this?</t>
  </si>
  <si>
    <t xml:space="preserve">Shows the nearest places that accept it</t>
  </si>
  <si>
    <t xml:space="preserve">Store list from the brand</t>
  </si>
  <si>
    <t xml:space="preserve">GC-04-002</t>
  </si>
  <si>
    <t xml:space="preserve">Top up a gift card</t>
  </si>
  <si>
    <t xml:space="preserve">Reloadable</t>
  </si>
  <si>
    <t xml:space="preserve">Add £20 to my cafe card</t>
  </si>
  <si>
    <t xml:space="preserve">Tops it up if the brand allows, with confirm</t>
  </si>
  <si>
    <t xml:space="preserve">Only reloadable cards; limits from the brand and law</t>
  </si>
  <si>
    <t xml:space="preserve">GC-04-003</t>
  </si>
  <si>
    <t xml:space="preserve">Hear a card is about to expire</t>
  </si>
  <si>
    <t xml:space="preserve">Balance left</t>
  </si>
  <si>
    <t xml:space="preserve">Warns before a card with money on it expires and suggests where to use it</t>
  </si>
  <si>
    <t xml:space="preserve">Moment, GiftCardTile</t>
  </si>
  <si>
    <t xml:space="preserve">Expiry from brand terms</t>
  </si>
  <si>
    <t xml:space="preserve">GC-04-004</t>
  </si>
  <si>
    <t xml:space="preserve">Use a gift card in a shop</t>
  </si>
  <si>
    <t xml:space="preserve">At the till</t>
  </si>
  <si>
    <t xml:space="preserve">Show my coffee card</t>
  </si>
  <si>
    <t xml:space="preserve">Shows the barcode bright on screen with the balance, even offline</t>
  </si>
  <si>
    <t xml:space="preserve">GiftCardTile, NEW: VoucherCode</t>
  </si>
  <si>
    <t xml:space="preserve">Works offline</t>
  </si>
  <si>
    <t xml:space="preserve">GC-04-005</t>
  </si>
  <si>
    <t xml:space="preserve">Use a gift card online</t>
  </si>
  <si>
    <t xml:space="preserve">Copy code</t>
  </si>
  <si>
    <t xml:space="preserve">What's the code for my shoe shop card?</t>
  </si>
  <si>
    <t xml:space="preserve">Shows and copies the code and PIN</t>
  </si>
  <si>
    <t xml:space="preserve">NEW: VoucherCode, Button</t>
  </si>
  <si>
    <t xml:space="preserve">Code shown only to the customer after the app lock check</t>
  </si>
  <si>
    <t xml:space="preserve">GC-04-006</t>
  </si>
  <si>
    <t xml:space="preserve">Check what is left after buying</t>
  </si>
  <si>
    <t xml:space="preserve">Part used</t>
  </si>
  <si>
    <t xml:space="preserve">How much is left after my £12 order?</t>
  </si>
  <si>
    <t xml:space="preserve">Shows the remaining balance</t>
  </si>
  <si>
    <t xml:space="preserve">GiftCardTile, Price</t>
  </si>
  <si>
    <t xml:space="preserve">Balance from the brand</t>
  </si>
  <si>
    <t xml:space="preserve">GC-04-007</t>
  </si>
  <si>
    <t xml:space="preserve">Rescue an expired card</t>
  </si>
  <si>
    <t xml:space="preserve">My gift card expired with £30 on it</t>
  </si>
  <si>
    <t xml:space="preserve">Extensions decided by the brand; law per market</t>
  </si>
  <si>
    <t xml:space="preserve">GC-04-008</t>
  </si>
  <si>
    <t xml:space="preserve">Question a wrong balance</t>
  </si>
  <si>
    <t xml:space="preserve">Mismatch</t>
  </si>
  <si>
    <t xml:space="preserve">Balance wrong</t>
  </si>
  <si>
    <t xml:space="preserve">It should have £40, it says £15</t>
  </si>
  <si>
    <t xml:space="preserve">Shows the brand transaction history if available and hands to a person</t>
  </si>
  <si>
    <t xml:space="preserve">Brand records decide</t>
  </si>
  <si>
    <t xml:space="preserve">GC-04-009</t>
  </si>
  <si>
    <t xml:space="preserve">Get a lost code back</t>
  </si>
  <si>
    <t xml:space="preserve">I can't find the code for my card</t>
  </si>
  <si>
    <t xml:space="preserve">Shows it again from the wallet</t>
  </si>
  <si>
    <t xml:space="preserve">NEW: VoucherCode</t>
  </si>
  <si>
    <t xml:space="preserve">Only to the account holder after the app lock check</t>
  </si>
  <si>
    <t xml:space="preserve">GC-04-010</t>
  </si>
  <si>
    <t xml:space="preserve">Cancel and reissue a card</t>
  </si>
  <si>
    <t xml:space="preserve">Code seen by someone else</t>
  </si>
  <si>
    <t xml:space="preserve">Someone saw my card code, can you block it?</t>
  </si>
  <si>
    <t xml:space="preserve">Asks the brand to block and reissue if it allows</t>
  </si>
  <si>
    <t xml:space="preserve">Blocking and reissue only as the brand allows</t>
  </si>
  <si>
    <t xml:space="preserve">GC-04-011</t>
  </si>
  <si>
    <t xml:space="preserve">Report a card used by someone else</t>
  </si>
  <si>
    <t xml:space="preserve">Not me</t>
  </si>
  <si>
    <t xml:space="preserve">My balance is zero but I haven't used it</t>
  </si>
  <si>
    <t xml:space="preserve">Hands to the fraud team with the card history</t>
  </si>
  <si>
    <t xml:space="preserve">Fraud team and brand decide</t>
  </si>
  <si>
    <t xml:space="preserve">GC-04-012</t>
  </si>
  <si>
    <t xml:space="preserve">Check a card after the shop closes</t>
  </si>
  <si>
    <t xml:space="preserve">Brand in administration</t>
  </si>
  <si>
    <t xml:space="preserve">The shop has gone bust, is my card still worth anything?</t>
  </si>
  <si>
    <t xml:space="preserve">Explains what is known and the claim route and hands to a person</t>
  </si>
  <si>
    <t xml:space="preserve">Administrator decides; card protection through the bank</t>
  </si>
  <si>
    <t xml:space="preserve">GC-04-013</t>
  </si>
  <si>
    <t xml:space="preserve">Use a card that the shop will not take</t>
  </si>
  <si>
    <t xml:space="preserve">Card refused</t>
  </si>
  <si>
    <t xml:space="preserve">The shop says they do not take this card here</t>
  </si>
  <si>
    <t xml:space="preserve">Shows the brand's list of accepted shops and hands to a person if it should work</t>
  </si>
  <si>
    <t xml:space="preserve">Acceptance list from the brand</t>
  </si>
  <si>
    <t xml:space="preserve">GC-04-014</t>
  </si>
  <si>
    <t xml:space="preserve">See my gift cards</t>
  </si>
  <si>
    <t xml:space="preserve">Wallet</t>
  </si>
  <si>
    <t xml:space="preserve">What gift cards do I have?</t>
  </si>
  <si>
    <t xml:space="preserve">Lists cards bought or received through Gratifi with balance and expiry</t>
  </si>
  <si>
    <t xml:space="preserve">NEW: GiftCardWallet, GiftCardTile</t>
  </si>
  <si>
    <t xml:space="preserve">Balances live from the brand where possible, otherwise last known with the date</t>
  </si>
  <si>
    <t xml:space="preserve">GC-04-015</t>
  </si>
  <si>
    <t xml:space="preserve">Check a balance</t>
  </si>
  <si>
    <t xml:space="preserve">One card</t>
  </si>
  <si>
    <t xml:space="preserve">What's left on my coffee card?</t>
  </si>
  <si>
    <t xml:space="preserve">Shows the live balance</t>
  </si>
  <si>
    <t xml:space="preserve">GC-04-016</t>
  </si>
  <si>
    <t xml:space="preserve">Add a card I got elsewhere</t>
  </si>
  <si>
    <t xml:space="preserve">External card</t>
  </si>
  <si>
    <t xml:space="preserve">Add this gift card I got from work</t>
  </si>
  <si>
    <t xml:space="preserve">Adds it by code if the brand allows balance checks</t>
  </si>
  <si>
    <t xml:space="preserve">NEW: GiftCardWallet, Toast</t>
  </si>
  <si>
    <t xml:space="preserve">Supported brands only</t>
  </si>
  <si>
    <t xml:space="preserve">GC-04-017</t>
  </si>
  <si>
    <t xml:space="preserve">Give a balance to someone</t>
  </si>
  <si>
    <t xml:space="preserve">Transfer</t>
  </si>
  <si>
    <t xml:space="preserve">Can I give my card to my son?</t>
  </si>
  <si>
    <t xml:space="preserve">Sends it to him if the brand allows transfer</t>
  </si>
  <si>
    <t xml:space="preserve">Transfer rules from the brand</t>
  </si>
  <si>
    <t xml:space="preserve">GC-05-001</t>
  </si>
  <si>
    <t xml:space="preserve">Buy a multi-brand card</t>
  </si>
  <si>
    <t xml:space="preserve">Let them choose</t>
  </si>
  <si>
    <t xml:space="preserve">A gift card they can spend at any of several shops</t>
  </si>
  <si>
    <t xml:space="preserve">Shows multi-brand options and the brands in each</t>
  </si>
  <si>
    <t xml:space="preserve">Brand list from Piingle</t>
  </si>
  <si>
    <t xml:space="preserve">GC-05-002</t>
  </si>
  <si>
    <t xml:space="preserve">Buy a stored-value card</t>
  </si>
  <si>
    <t xml:space="preserve">Spend at many places</t>
  </si>
  <si>
    <t xml:space="preserve">Something like a prepaid card for my niece at university</t>
  </si>
  <si>
    <t xml:space="preserve">Explains the stored-value card, where it works and its limits</t>
  </si>
  <si>
    <t xml:space="preserve">GiftCardTile, Answer</t>
  </si>
  <si>
    <t xml:space="preserve">Product and limits from Piingle; licence per market</t>
  </si>
  <si>
    <t xml:space="preserve">GC-05-003</t>
  </si>
  <si>
    <t xml:space="preserve">Buy gift cards in bulk for staff</t>
  </si>
  <si>
    <t xml:space="preserve">I need 50 £25 cards for staff Christmas gifts</t>
  </si>
  <si>
    <t xml:space="preserve">Collects quantity, brands and delivery, shows total and invoice details; big orders go to the business team</t>
  </si>
  <si>
    <t xml:space="preserve">NEW: BulkOrder, PriceLines, Handoff</t>
  </si>
  <si>
    <t xml:space="preserve">Bulk pricing and approvals from Piingle; business card eligibility from the bank</t>
  </si>
  <si>
    <t xml:space="preserve">GC-05-004</t>
  </si>
  <si>
    <t xml:space="preserve">Upload recipients</t>
  </si>
  <si>
    <t xml:space="preserve">Many recipients</t>
  </si>
  <si>
    <t xml:space="preserve">Here's a list of names and emails</t>
  </si>
  <si>
    <t xml:space="preserve">Checks the list and flags errors before anything is sent</t>
  </si>
  <si>
    <t xml:space="preserve">NEW: RecipientList, StateCard</t>
  </si>
  <si>
    <t xml:space="preserve">Recipient data used only to send</t>
  </si>
  <si>
    <t xml:space="preserve">GC-05-005</t>
  </si>
  <si>
    <t xml:space="preserve">Add company branding</t>
  </si>
  <si>
    <t xml:space="preserve">Company logo</t>
  </si>
  <si>
    <t xml:space="preserve">Put our logo on the cards</t>
  </si>
  <si>
    <t xml:space="preserve">Adds branding if the product allows and shows a preview</t>
  </si>
  <si>
    <t xml:space="preserve">GiftCardTile, NEW: Upload</t>
  </si>
  <si>
    <t xml:space="preserve">Branding rules from Piingle</t>
  </si>
  <si>
    <t xml:space="preserve">GC-05-006</t>
  </si>
  <si>
    <t xml:space="preserve">Pay for a bulk order</t>
  </si>
  <si>
    <t xml:space="preserve">Business card</t>
  </si>
  <si>
    <t xml:space="preserve">Pay with the company card</t>
  </si>
  <si>
    <t xml:space="preserve">Shows the total and fees, confirms</t>
  </si>
  <si>
    <t xml:space="preserve">PayWith, PriceLines, ConfirmSheet</t>
  </si>
  <si>
    <t xml:space="preserve">Business card controls from the bank</t>
  </si>
  <si>
    <t xml:space="preserve">GC-05-007</t>
  </si>
  <si>
    <t xml:space="preserve">Bank transfer</t>
  </si>
  <si>
    <t xml:space="preserve">Can we pay by bank transfer against an invoice?</t>
  </si>
  <si>
    <t xml:space="preserve">Hands to the business team to invoice</t>
  </si>
  <si>
    <t xml:space="preserve">Payment terms from Piingle</t>
  </si>
  <si>
    <t xml:space="preserve">GC-05-008</t>
  </si>
  <si>
    <t xml:space="preserve">Over spend limit</t>
  </si>
  <si>
    <t xml:space="preserve">Approval needed</t>
  </si>
  <si>
    <t xml:space="preserve">Says the order needs approval under the company's controls and sends it to the approver</t>
  </si>
  <si>
    <t xml:space="preserve">Approval rules set by the company in the bank</t>
  </si>
  <si>
    <t xml:space="preserve">GC-05-009</t>
  </si>
  <si>
    <t xml:space="preserve">Schedule sending</t>
  </si>
  <si>
    <t xml:space="preserve">On a date</t>
  </si>
  <si>
    <t xml:space="preserve">Send them all on 20 December at 9am</t>
  </si>
  <si>
    <t xml:space="preserve">Schedules the sends</t>
  </si>
  <si>
    <t xml:space="preserve">Scheduling from Piingle</t>
  </si>
  <si>
    <t xml:space="preserve">GC-05-010</t>
  </si>
  <si>
    <t xml:space="preserve">Cancel unsent cards</t>
  </si>
  <si>
    <t xml:space="preserve">Changed plans</t>
  </si>
  <si>
    <t xml:space="preserve">Don't send the cards to the three people who have left</t>
  </si>
  <si>
    <t xml:space="preserve">Cancels those sends and credits the value back</t>
  </si>
  <si>
    <t xml:space="preserve">NEW: RecipientList, ConfirmSheet, Receipt</t>
  </si>
  <si>
    <t xml:space="preserve">Only unsent cards can be cancelled</t>
  </si>
  <si>
    <t xml:space="preserve">GC-05-011</t>
  </si>
  <si>
    <t xml:space="preserve">See who has used their cards</t>
  </si>
  <si>
    <t xml:space="preserve">Report</t>
  </si>
  <si>
    <t xml:space="preserve">How many staff have used their cards?</t>
  </si>
  <si>
    <t xml:space="preserve">Shows sent, opened and used counts</t>
  </si>
  <si>
    <t xml:space="preserve">NEW: BulkReport</t>
  </si>
  <si>
    <t xml:space="preserve">Recipient-level detail only as consent allows</t>
  </si>
  <si>
    <t xml:space="preserve">GC-05-012</t>
  </si>
  <si>
    <t xml:space="preserve">Fix cards that failed to send</t>
  </si>
  <si>
    <t xml:space="preserve">Bounced emails</t>
  </si>
  <si>
    <t xml:space="preserve">Partial failure</t>
  </si>
  <si>
    <t xml:space="preserve">Lists the failed sends and asks for corrected contacts</t>
  </si>
  <si>
    <t xml:space="preserve">Resend only to corrected contacts</t>
  </si>
  <si>
    <t xml:space="preserve">GC-05-013</t>
  </si>
  <si>
    <t xml:space="preserve">Clear a flagged bulk order</t>
  </si>
  <si>
    <t xml:space="preserve">GC-05-014</t>
  </si>
  <si>
    <t xml:space="preserve">Complete ID checks</t>
  </si>
  <si>
    <t xml:space="preserve">High value</t>
  </si>
  <si>
    <t xml:space="preserve">Checks required</t>
  </si>
  <si>
    <t xml:space="preserve">Why do you need my ID?</t>
  </si>
  <si>
    <t xml:space="preserve">Explains the ID checks the law requires above certain amounts and hands to a person to complete them</t>
  </si>
  <si>
    <t xml:space="preserve">ID and limits set by regulators</t>
  </si>
  <si>
    <t xml:space="preserve">GC-05-015</t>
  </si>
  <si>
    <t xml:space="preserve">Get a tax invoice</t>
  </si>
  <si>
    <t xml:space="preserve">Business accounts</t>
  </si>
  <si>
    <t xml:space="preserve">I need a tax invoice for the order</t>
  </si>
  <si>
    <t xml:space="preserve">Sends the invoice with company details</t>
  </si>
  <si>
    <t xml:space="preserve">Invoice from Piingle</t>
  </si>
  <si>
    <t xml:space="preserve">GC-05-016</t>
  </si>
  <si>
    <t xml:space="preserve">Remind staff about unused cards</t>
  </si>
  <si>
    <t xml:space="preserve">Unused balances</t>
  </si>
  <si>
    <t xml:space="preserve">Tells the business owner how many cards are unused before they expire and offers a reminder to staff</t>
  </si>
  <si>
    <t xml:space="preserve">Moment, NEW: BulkReport, Button</t>
  </si>
  <si>
    <t xml:space="preserve">Expiry from terms; reminders only as consent allows</t>
  </si>
  <si>
    <t xml:space="preserve">GC-05-017</t>
  </si>
  <si>
    <t xml:space="preserve">Repeat last year's order</t>
  </si>
  <si>
    <t xml:space="preserve">Same as last Christmas</t>
  </si>
  <si>
    <t xml:space="preserve">Rebuilds the order with current prices and staff list to check</t>
  </si>
  <si>
    <t xml:space="preserve">NEW: BulkOrder, NEW: RecipientList</t>
  </si>
  <si>
    <t xml:space="preserve">Re-priced; recipient list re-checked</t>
  </si>
  <si>
    <t xml:space="preserve">SB-01-001</t>
  </si>
  <si>
    <t xml:space="preserve">Get a streaming plan</t>
  </si>
  <si>
    <t xml:space="preserve">With points</t>
  </si>
  <si>
    <t xml:space="preserve">Can I get a video streaming plan with my points?</t>
  </si>
  <si>
    <t xml:space="preserve">Shows available plans, months covered and points cost</t>
  </si>
  <si>
    <t xml:space="preserve">Rail, NEW: SubscriptionCard</t>
  </si>
  <si>
    <t xml:space="preserve">Plans and prices from the subscriptions supply</t>
  </si>
  <si>
    <t xml:space="preserve">SB-01-002</t>
  </si>
  <si>
    <t xml:space="preserve">Find where to watch something</t>
  </si>
  <si>
    <t xml:space="preserve">Content</t>
  </si>
  <si>
    <t xml:space="preserve">Which service has the cricket this season?</t>
  </si>
  <si>
    <t xml:space="preserve">Says which plan carries it as stated by the provider, with the date checked</t>
  </si>
  <si>
    <t xml:space="preserve">Answer, NEW: SubscriptionCard</t>
  </si>
  <si>
    <t xml:space="preserve">Content listings from the provider; they change</t>
  </si>
  <si>
    <t xml:space="preserve">Rights differ by market</t>
  </si>
  <si>
    <t xml:space="preserve">SB-01-003</t>
  </si>
  <si>
    <t xml:space="preserve">Check what the card already includes</t>
  </si>
  <si>
    <t xml:space="preserve">Does my card already come with streaming?</t>
  </si>
  <si>
    <t xml:space="preserve">Checks card benefits before selling a plan</t>
  </si>
  <si>
    <t xml:space="preserve">Entitlements from the bank</t>
  </si>
  <si>
    <t xml:space="preserve">SB-01-004</t>
  </si>
  <si>
    <t xml:space="preserve">Compare plans</t>
  </si>
  <si>
    <t xml:space="preserve">Screens and quality</t>
  </si>
  <si>
    <t xml:space="preserve">Which plan lets two people watch at once?</t>
  </si>
  <si>
    <t xml:space="preserve">Compares plans on screens, quality and points</t>
  </si>
  <si>
    <t xml:space="preserve">Plan details from the provider</t>
  </si>
  <si>
    <t xml:space="preserve">SB-01-005</t>
  </si>
  <si>
    <t xml:space="preserve">Set up for children</t>
  </si>
  <si>
    <t xml:space="preserve">Kids</t>
  </si>
  <si>
    <t xml:space="preserve">Can I stop the kids watching adult shows?</t>
  </si>
  <si>
    <t xml:space="preserve">Explains the provider's kids profiles and controls</t>
  </si>
  <si>
    <t xml:space="preserve">From provider help content</t>
  </si>
  <si>
    <t xml:space="preserve">SB-01-006</t>
  </si>
  <si>
    <t xml:space="preserve">Buy a plan</t>
  </si>
  <si>
    <t xml:space="preserve">12 months with points</t>
  </si>
  <si>
    <t xml:space="preserve">Confirms and gives the activation link or code</t>
  </si>
  <si>
    <t xml:space="preserve">PayWith, ConfirmSheet, Receipt, NEW: VoucherCode</t>
  </si>
  <si>
    <t xml:space="preserve">Price from supply; code issued after points debit</t>
  </si>
  <si>
    <t xml:space="preserve">SB-01-007</t>
  </si>
  <si>
    <t xml:space="preserve">SB-01-008</t>
  </si>
  <si>
    <t xml:space="preserve">Says nothing was bought and no points taken</t>
  </si>
  <si>
    <t xml:space="preserve">No code without payment success</t>
  </si>
  <si>
    <t xml:space="preserve">SB-01-009</t>
  </si>
  <si>
    <t xml:space="preserve">Add a sports or film pack</t>
  </si>
  <si>
    <t xml:space="preserve">Add the sports pack</t>
  </si>
  <si>
    <t xml:space="preserve">Shows the add-on price and adds it if the provider allows</t>
  </si>
  <si>
    <t xml:space="preserve">NEW: SubscriptionCard, ConfirmSheet</t>
  </si>
  <si>
    <t xml:space="preserve">Add-ons from the provider</t>
  </si>
  <si>
    <t xml:space="preserve">SB-01-010</t>
  </si>
  <si>
    <t xml:space="preserve">Activate the plan</t>
  </si>
  <si>
    <t xml:space="preserve">New account</t>
  </si>
  <si>
    <t xml:space="preserve">How do I start it?</t>
  </si>
  <si>
    <t xml:space="preserve">Gives simple steps with the activation link</t>
  </si>
  <si>
    <t xml:space="preserve">Steps, Button, NEW: VoucherCode</t>
  </si>
  <si>
    <t xml:space="preserve">Steps from the provider</t>
  </si>
  <si>
    <t xml:space="preserve">SB-01-011</t>
  </si>
  <si>
    <t xml:space="preserve">Already subscribed</t>
  </si>
  <si>
    <t xml:space="preserve">I already pay for it, can I use this?</t>
  </si>
  <si>
    <t xml:space="preserve">Checks the provider rules: extends the plan or starts after the current one ends</t>
  </si>
  <si>
    <t xml:space="preserve">Stacking rules from the provider</t>
  </si>
  <si>
    <t xml:space="preserve">SB-01-012</t>
  </si>
  <si>
    <t xml:space="preserve">Cancel before activating</t>
  </si>
  <si>
    <t xml:space="preserve">Unused code</t>
  </si>
  <si>
    <t xml:space="preserve">I haven't used it yet, can I get my points back?</t>
  </si>
  <si>
    <t xml:space="preserve">Checks whether the unused code can be refunded under the terms</t>
  </si>
  <si>
    <t xml:space="preserve">Refund only for unused codes where terms allow</t>
  </si>
  <si>
    <t xml:space="preserve">UK and EU: 14-day cooling-off for new online subscriptions, lost once digital content starts with consent (to confirm per product)</t>
  </si>
  <si>
    <t xml:space="preserve">SB-01-013</t>
  </si>
  <si>
    <t xml:space="preserve">Hear the plan is ending</t>
  </si>
  <si>
    <t xml:space="preserve">Ends soon</t>
  </si>
  <si>
    <t xml:space="preserve">Tells them a week before, with the renewal price in points</t>
  </si>
  <si>
    <t xml:space="preserve">Moment, NEW: SubscriptionCard, Button</t>
  </si>
  <si>
    <t xml:space="preserve">SB-01-014</t>
  </si>
  <si>
    <t xml:space="preserve">Fix an activation code</t>
  </si>
  <si>
    <t xml:space="preserve">Code fails</t>
  </si>
  <si>
    <t xml:space="preserve">The code says invalid</t>
  </si>
  <si>
    <t xml:space="preserve">Checks the code with the supply and replaces it or hands to a person</t>
  </si>
  <si>
    <t xml:space="preserve">Supply confirms status</t>
  </si>
  <si>
    <t xml:space="preserve">SB-01-015</t>
  </si>
  <si>
    <t xml:space="preserve">Watch abroad</t>
  </si>
  <si>
    <t xml:space="preserve">Region lock</t>
  </si>
  <si>
    <t xml:space="preserve">It doesn't work in Spain</t>
  </si>
  <si>
    <t xml:space="preserve">Explains the provider travel rules for that plan</t>
  </si>
  <si>
    <t xml:space="preserve">Provider terms</t>
  </si>
  <si>
    <t xml:space="preserve">Plans are often locked to the market bought in</t>
  </si>
  <si>
    <t xml:space="preserve">SB-01-016</t>
  </si>
  <si>
    <t xml:space="preserve">Stop paying twice</t>
  </si>
  <si>
    <t xml:space="preserve">Double charge</t>
  </si>
  <si>
    <t xml:space="preserve">Paying provider too</t>
  </si>
  <si>
    <t xml:space="preserve">I'm still being charged by them directly</t>
  </si>
  <si>
    <t xml:space="preserve">Explains how to stop the direct payment with the provider and offers to check the card's recurring payments</t>
  </si>
  <si>
    <t xml:space="preserve">Answer, TransactionRow</t>
  </si>
  <si>
    <t xml:space="preserve">Recurring payment data from the bank</t>
  </si>
  <si>
    <t xml:space="preserve">SB-01-017</t>
  </si>
  <si>
    <t xml:space="preserve">Get help with a hacked account</t>
  </si>
  <si>
    <t xml:space="preserve">Account taken over</t>
  </si>
  <si>
    <t xml:space="preserve">Someone changed my streaming password</t>
  </si>
  <si>
    <t xml:space="preserve">Gives the provider's recovery route and checks the card for odd charges</t>
  </si>
  <si>
    <t xml:space="preserve">Answer, TransactionRow, Handoff</t>
  </si>
  <si>
    <t xml:space="preserve">Provider handles account recovery; bank handles card fraud</t>
  </si>
  <si>
    <t xml:space="preserve">SB-02-001</t>
  </si>
  <si>
    <t xml:space="preserve">Get a music plan</t>
  </si>
  <si>
    <t xml:space="preserve">Can I pay for music with points?</t>
  </si>
  <si>
    <t xml:space="preserve">Shows music plans and months covered</t>
  </si>
  <si>
    <t xml:space="preserve">Plans from the subscriptions supply</t>
  </si>
  <si>
    <t xml:space="preserve">SB-02-002</t>
  </si>
  <si>
    <t xml:space="preserve">Get audiobooks</t>
  </si>
  <si>
    <t xml:space="preserve">Audiobooks</t>
  </si>
  <si>
    <t xml:space="preserve">I want to listen to books on my commute</t>
  </si>
  <si>
    <t xml:space="preserve">Shows audiobook plans and how many books each includes</t>
  </si>
  <si>
    <t xml:space="preserve">SB-02-003</t>
  </si>
  <si>
    <t xml:space="preserve">Choose individual, duo or family</t>
  </si>
  <si>
    <t xml:space="preserve">Household</t>
  </si>
  <si>
    <t xml:space="preserve">A plan for me and my two kids</t>
  </si>
  <si>
    <t xml:space="preserve">Compares plans for three people</t>
  </si>
  <si>
    <t xml:space="preserve">Household rules from the provider</t>
  </si>
  <si>
    <t xml:space="preserve">SB-02-004</t>
  </si>
  <si>
    <t xml:space="preserve">Get a student plan</t>
  </si>
  <si>
    <t xml:space="preserve">Student</t>
  </si>
  <si>
    <t xml:space="preserve">I'm a student, is there a cheaper one?</t>
  </si>
  <si>
    <t xml:space="preserve">Explains the student plan and that the provider checks eligibility</t>
  </si>
  <si>
    <t xml:space="preserve">Provider verifies student status</t>
  </si>
  <si>
    <t xml:space="preserve">SB-02-005</t>
  </si>
  <si>
    <t xml:space="preserve">Six months with points</t>
  </si>
  <si>
    <t xml:space="preserve">Confirms and gives the activation link</t>
  </si>
  <si>
    <t xml:space="preserve">Price from supply</t>
  </si>
  <si>
    <t xml:space="preserve">SB-02-006</t>
  </si>
  <si>
    <t xml:space="preserve">SB-02-007</t>
  </si>
  <si>
    <t xml:space="preserve">Existing account</t>
  </si>
  <si>
    <t xml:space="preserve">Put it on my account</t>
  </si>
  <si>
    <t xml:space="preserve">Gives steps to add it to their existing account</t>
  </si>
  <si>
    <t xml:space="preserve">Steps, Button</t>
  </si>
  <si>
    <t xml:space="preserve">Provider stacking rules</t>
  </si>
  <si>
    <t xml:space="preserve">SB-02-008</t>
  </si>
  <si>
    <t xml:space="preserve">Cancel it, I bought the wrong one</t>
  </si>
  <si>
    <t xml:space="preserve">Checks if the unused code can be refunded</t>
  </si>
  <si>
    <t xml:space="preserve">Refund only where terms allow</t>
  </si>
  <si>
    <t xml:space="preserve">SB-02-009</t>
  </si>
  <si>
    <t xml:space="preserve">Tells them before it lapses, with the renewal price</t>
  </si>
  <si>
    <t xml:space="preserve">Moment, NEW: SubscriptionCard</t>
  </si>
  <si>
    <t xml:space="preserve">SB-02-010</t>
  </si>
  <si>
    <t xml:space="preserve">It says already used</t>
  </si>
  <si>
    <t xml:space="preserve">Checks the code and replaces or hands to a person</t>
  </si>
  <si>
    <t xml:space="preserve">SB-02-011</t>
  </si>
  <si>
    <t xml:space="preserve">Add a family member</t>
  </si>
  <si>
    <t xml:space="preserve">Family plan</t>
  </si>
  <si>
    <t xml:space="preserve">Member refused</t>
  </si>
  <si>
    <t xml:space="preserve">My mum can't join the family plan</t>
  </si>
  <si>
    <t xml:space="preserve">Explains the provider's household rules</t>
  </si>
  <si>
    <t xml:space="preserve">SB-02-012</t>
  </si>
  <si>
    <t xml:space="preserve">Keep my downloads</t>
  </si>
  <si>
    <t xml:space="preserve">Plan ended</t>
  </si>
  <si>
    <t xml:space="preserve">Access lost</t>
  </si>
  <si>
    <t xml:space="preserve">All my downloads disappeared</t>
  </si>
  <si>
    <t xml:space="preserve">Explains downloads need an active plan and offers renewal</t>
  </si>
  <si>
    <t xml:space="preserve">Answer, NEW: SubscriptionCard, Button</t>
  </si>
  <si>
    <t xml:space="preserve">SB-03-001</t>
  </si>
  <si>
    <t xml:space="preserve">Find an app plan</t>
  </si>
  <si>
    <t xml:space="preserve">Productivity</t>
  </si>
  <si>
    <t xml:space="preserve">Can I get a year of a note-taking app with points?</t>
  </si>
  <si>
    <t xml:space="preserve">Shows what is available and says clearly if it isn't offered yet</t>
  </si>
  <si>
    <t xml:space="preserve">Rail, NEW: SubscriptionCard, StateCard</t>
  </si>
  <si>
    <t xml:space="preserve">Partners to source; only live offers shown</t>
  </si>
  <si>
    <t xml:space="preserve">Supply to source per market</t>
  </si>
  <si>
    <t xml:space="preserve">SB-03-002</t>
  </si>
  <si>
    <t xml:space="preserve">Find a fitness app</t>
  </si>
  <si>
    <t xml:space="preserve">Fitness</t>
  </si>
  <si>
    <t xml:space="preserve">A workout app subscription</t>
  </si>
  <si>
    <t xml:space="preserve">Shows fitness app plans with points prices</t>
  </si>
  <si>
    <t xml:space="preserve">Partners to source</t>
  </si>
  <si>
    <t xml:space="preserve">SB-03-003</t>
  </si>
  <si>
    <t xml:space="preserve">Find a learning app for a child</t>
  </si>
  <si>
    <t xml:space="preserve">Child user</t>
  </si>
  <si>
    <t xml:space="preserve">A language app for my ten-year-old</t>
  </si>
  <si>
    <t xml:space="preserve">Shows children's plans, set up in the parent's name</t>
  </si>
  <si>
    <t xml:space="preserve">Child accounts need parental consent under data law</t>
  </si>
  <si>
    <t xml:space="preserve">SB-03-004</t>
  </si>
  <si>
    <t xml:space="preserve">Check devices and licences</t>
  </si>
  <si>
    <t xml:space="preserve">Several devices</t>
  </si>
  <si>
    <t xml:space="preserve">Can I use it on my laptop and phone?</t>
  </si>
  <si>
    <t xml:space="preserve">Shows the number of devices and users allowed</t>
  </si>
  <si>
    <t xml:space="preserve">Licence terms from the provider</t>
  </si>
  <si>
    <t xml:space="preserve">SB-03-005</t>
  </si>
  <si>
    <t xml:space="preserve">Choose monthly or yearly</t>
  </si>
  <si>
    <t xml:space="preserve">Term</t>
  </si>
  <si>
    <t xml:space="preserve">Is yearly cheaper?</t>
  </si>
  <si>
    <t xml:space="preserve">Compares the cost per month in points</t>
  </si>
  <si>
    <t xml:space="preserve">Prices from the provider</t>
  </si>
  <si>
    <t xml:space="preserve">SB-03-006</t>
  </si>
  <si>
    <t xml:space="preserve">Buy an app plan</t>
  </si>
  <si>
    <t xml:space="preserve">Buy the yearly plan with points</t>
  </si>
  <si>
    <t xml:space="preserve">Confirms and gives the licence key or link</t>
  </si>
  <si>
    <t xml:space="preserve">Key issued after points debit</t>
  </si>
  <si>
    <t xml:space="preserve">SB-03-007</t>
  </si>
  <si>
    <t xml:space="preserve">SB-03-008</t>
  </si>
  <si>
    <t xml:space="preserve">Pay an app store subscription with points</t>
  </si>
  <si>
    <t xml:space="preserve">Billed by the app store</t>
  </si>
  <si>
    <t xml:space="preserve">Not possible</t>
  </si>
  <si>
    <t xml:space="preserve">Can I pay my app store subscription with points?</t>
  </si>
  <si>
    <t xml:space="preserve">Explains app store plans are billed by the store and offers a direct plan if there is one</t>
  </si>
  <si>
    <t xml:space="preserve">Only plans sold through Gratifi</t>
  </si>
  <si>
    <t xml:space="preserve">SB-03-009</t>
  </si>
  <si>
    <t xml:space="preserve">Licence key</t>
  </si>
  <si>
    <t xml:space="preserve">Where do I put the key?</t>
  </si>
  <si>
    <t xml:space="preserve">Gives simple steps for entering the key</t>
  </si>
  <si>
    <t xml:space="preserve">Steps, NEW: VoucherCode</t>
  </si>
  <si>
    <t xml:space="preserve">SB-03-010</t>
  </si>
  <si>
    <t xml:space="preserve">Hear a free trial is ending</t>
  </si>
  <si>
    <t xml:space="preserve">Trial</t>
  </si>
  <si>
    <t xml:space="preserve">Tells them before the trial turns paid and how to cancel</t>
  </si>
  <si>
    <t xml:space="preserve">Notice timing per law and provider</t>
  </si>
  <si>
    <t xml:space="preserve">SB-03-011</t>
  </si>
  <si>
    <t xml:space="preserve">Cancel an app plan</t>
  </si>
  <si>
    <t xml:space="preserve">Not using it</t>
  </si>
  <si>
    <t xml:space="preserve">Cancel the fitness app</t>
  </si>
  <si>
    <t xml:space="preserve">Cancels at the end of the term and says if any refund is due</t>
  </si>
  <si>
    <t xml:space="preserve">Refunds from provider terms</t>
  </si>
  <si>
    <t xml:space="preserve">SB-03-012</t>
  </si>
  <si>
    <t xml:space="preserve">Fix a licence key</t>
  </si>
  <si>
    <t xml:space="preserve">Key fails</t>
  </si>
  <si>
    <t xml:space="preserve">The key is not accepted</t>
  </si>
  <si>
    <t xml:space="preserve">Checks with the provider and replaces or hands to a person</t>
  </si>
  <si>
    <t xml:space="preserve">Provider confirms status</t>
  </si>
  <si>
    <t xml:space="preserve">SB-03-013</t>
  </si>
  <si>
    <t xml:space="preserve">Find an app in my market</t>
  </si>
  <si>
    <t xml:space="preserve">Not sold here</t>
  </si>
  <si>
    <t xml:space="preserve">Not available</t>
  </si>
  <si>
    <t xml:space="preserve">Why can't I get it here?</t>
  </si>
  <si>
    <t xml:space="preserve">Says it is not offered in their market yet and suggests similar</t>
  </si>
  <si>
    <t xml:space="preserve">Availability per market</t>
  </si>
  <si>
    <t xml:space="preserve">Availability differs per market</t>
  </si>
  <si>
    <t xml:space="preserve">SB-03-014</t>
  </si>
  <si>
    <t xml:space="preserve">Check what data an app collects</t>
  </si>
  <si>
    <t xml:space="preserve">Privacy</t>
  </si>
  <si>
    <t xml:space="preserve">What does this app do with my data?</t>
  </si>
  <si>
    <t xml:space="preserve">Links the provider's privacy notice and summarises it plainly</t>
  </si>
  <si>
    <t xml:space="preserve">Summary must match the provider's notice; link always given</t>
  </si>
  <si>
    <t xml:space="preserve">SB-04-001</t>
  </si>
  <si>
    <t xml:space="preserve">Subscribe to a newspaper</t>
  </si>
  <si>
    <t xml:space="preserve">Digital</t>
  </si>
  <si>
    <t xml:space="preserve">A digital newspaper subscription with points</t>
  </si>
  <si>
    <t xml:space="preserve">Shows available titles and prices in points</t>
  </si>
  <si>
    <t xml:space="preserve">SB-04-002</t>
  </si>
  <si>
    <t xml:space="preserve">Read one paid article</t>
  </si>
  <si>
    <t xml:space="preserve">Paywall</t>
  </si>
  <si>
    <t xml:space="preserve">I only want to read this one article</t>
  </si>
  <si>
    <t xml:space="preserve">Explains the options, such as a day pass or trial, if the publisher sells them</t>
  </si>
  <si>
    <t xml:space="preserve">Only options the publisher offers</t>
  </si>
  <si>
    <t xml:space="preserve">SB-04-003</t>
  </si>
  <si>
    <t xml:space="preserve">Get a magazine</t>
  </si>
  <si>
    <t xml:space="preserve">Hobby</t>
  </si>
  <si>
    <t xml:space="preserve">A cycling magazine</t>
  </si>
  <si>
    <t xml:space="preserve">Shows matching magazines and plans</t>
  </si>
  <si>
    <t xml:space="preserve">SB-04-004</t>
  </si>
  <si>
    <t xml:space="preserve">Read in my language</t>
  </si>
  <si>
    <t xml:space="preserve">Local language</t>
  </si>
  <si>
    <t xml:space="preserve">A newspaper in Hindi</t>
  </si>
  <si>
    <t xml:space="preserve">Shows titles in that language</t>
  </si>
  <si>
    <t xml:space="preserve">Rail, Chips</t>
  </si>
  <si>
    <t xml:space="preserve">Titles from partners</t>
  </si>
  <si>
    <t xml:space="preserve">IN: Hindi and regional languages; AE: Arabic; MY: Malay and Chinese (to confirm supply)</t>
  </si>
  <si>
    <t xml:space="preserve">SB-04-005</t>
  </si>
  <si>
    <t xml:space="preserve">Get print and digital</t>
  </si>
  <si>
    <t xml:space="preserve">Home delivery</t>
  </si>
  <si>
    <t xml:space="preserve">Print on weekends and digital all week</t>
  </si>
  <si>
    <t xml:space="preserve">Shows print-and-digital plans and checks delivery to the address</t>
  </si>
  <si>
    <t xml:space="preserve">NEW: SubscriptionCard, NEW: AddressPicker</t>
  </si>
  <si>
    <t xml:space="preserve">Delivery areas from the publisher</t>
  </si>
  <si>
    <t xml:space="preserve">SB-04-006</t>
  </si>
  <si>
    <t xml:space="preserve">Buy a subscription</t>
  </si>
  <si>
    <t xml:space="preserve">A year with points</t>
  </si>
  <si>
    <t xml:space="preserve">Confirms and gives the access link</t>
  </si>
  <si>
    <t xml:space="preserve">Price from partner</t>
  </si>
  <si>
    <t xml:space="preserve">SB-04-007</t>
  </si>
  <si>
    <t xml:space="preserve">I need it on a company invoice</t>
  </si>
  <si>
    <t xml:space="preserve">Captures company details for the invoice before paying</t>
  </si>
  <si>
    <t xml:space="preserve">PayWith, Receipt</t>
  </si>
  <si>
    <t xml:space="preserve">Invoice from the publisher</t>
  </si>
  <si>
    <t xml:space="preserve">SB-04-008</t>
  </si>
  <si>
    <t xml:space="preserve">Give a subscription as a gift</t>
  </si>
  <si>
    <t xml:space="preserve">Give my dad a year of the Sunday paper</t>
  </si>
  <si>
    <t xml:space="preserve">Sets up a gift subscription with a start date and message</t>
  </si>
  <si>
    <t xml:space="preserve">SendTo, NEW: GiftMessage, ConfirmSheet</t>
  </si>
  <si>
    <t xml:space="preserve">Recipient details used only for delivery</t>
  </si>
  <si>
    <t xml:space="preserve">SB-04-009</t>
  </si>
  <si>
    <t xml:space="preserve">Hear the intro price is ending</t>
  </si>
  <si>
    <t xml:space="preserve">Offer ends</t>
  </si>
  <si>
    <t xml:space="preserve">Tells them the new price before it starts and how to cancel</t>
  </si>
  <si>
    <t xml:space="preserve">Notice rules per law and publisher</t>
  </si>
  <si>
    <t xml:space="preserve">SB-04-010</t>
  </si>
  <si>
    <t xml:space="preserve">Cancel a subscription</t>
  </si>
  <si>
    <t xml:space="preserve">Not reading it</t>
  </si>
  <si>
    <t xml:space="preserve">Cancel the newspaper</t>
  </si>
  <si>
    <t xml:space="preserve">Cancels at the end of the paid term and confirms the end date</t>
  </si>
  <si>
    <t xml:space="preserve">Cancel terms from the publisher</t>
  </si>
  <si>
    <t xml:space="preserve">SB-04-011</t>
  </si>
  <si>
    <t xml:space="preserve">Get into my account</t>
  </si>
  <si>
    <t xml:space="preserve">Can't log in</t>
  </si>
  <si>
    <t xml:space="preserve">Access failed</t>
  </si>
  <si>
    <t xml:space="preserve">I paid but it still says subscribe</t>
  </si>
  <si>
    <t xml:space="preserve">Checks the activation and resends the link, or hands to the publisher</t>
  </si>
  <si>
    <t xml:space="preserve">StateCard, Button, Handoff</t>
  </si>
  <si>
    <t xml:space="preserve">Publisher confirms access</t>
  </si>
  <si>
    <t xml:space="preserve">SB-04-012</t>
  </si>
  <si>
    <t xml:space="preserve">Report a missing print copy</t>
  </si>
  <si>
    <t xml:space="preserve">Saturday's paper didn't come</t>
  </si>
  <si>
    <t xml:space="preserve">Reports it to the publisher and says what they offer</t>
  </si>
  <si>
    <t xml:space="preserve">Publisher terms</t>
  </si>
  <si>
    <t xml:space="preserve">SB-04-013</t>
  </si>
  <si>
    <t xml:space="preserve">Cancel when the publisher makes it hard</t>
  </si>
  <si>
    <t xml:space="preserve">Hard to cancel</t>
  </si>
  <si>
    <t xml:space="preserve">They keep making me call to cancel</t>
  </si>
  <si>
    <t xml:space="preserve">Explains their cancel route and hands to a person if it is blocked</t>
  </si>
  <si>
    <t xml:space="preserve">Consumer rules on cancelling subscriptions (to confirm)</t>
  </si>
  <si>
    <t xml:space="preserve">SB-05-001</t>
  </si>
  <si>
    <t xml:space="preserve">See subscriptions that come with my card</t>
  </si>
  <si>
    <t xml:space="preserve">Does my card come with any subscriptions?</t>
  </si>
  <si>
    <t xml:space="preserve">Lists included subscriptions, what is active and what is left to claim</t>
  </si>
  <si>
    <t xml:space="preserve">BenefitRow, NEW: SubscriptionCard</t>
  </si>
  <si>
    <t xml:space="preserve">Depends on card and bank</t>
  </si>
  <si>
    <t xml:space="preserve">SB-05-002</t>
  </si>
  <si>
    <t xml:space="preserve">Claim a benefit I have not used</t>
  </si>
  <si>
    <t xml:space="preserve">Not claimed</t>
  </si>
  <si>
    <t xml:space="preserve">Says the card includes a subscription they have not claimed and offers to set it up</t>
  </si>
  <si>
    <t xml:space="preserve">Moment, BenefitRow, Button</t>
  </si>
  <si>
    <t xml:space="preserve">Entitlements from the bank; notification consent</t>
  </si>
  <si>
    <t xml:space="preserve">SB-05-003</t>
  </si>
  <si>
    <t xml:space="preserve">Stop paying for something the card includes</t>
  </si>
  <si>
    <t xml:space="preserve">Paying twice</t>
  </si>
  <si>
    <t xml:space="preserve">Spots a card payment to a service the card already includes and explains how to switch</t>
  </si>
  <si>
    <t xml:space="preserve">Moment, TransactionRow, BenefitRow</t>
  </si>
  <si>
    <t xml:space="preserve">Needs consent to use transaction data</t>
  </si>
  <si>
    <t xml:space="preserve">SB-05-004</t>
  </si>
  <si>
    <t xml:space="preserve">Check the conditions</t>
  </si>
  <si>
    <t xml:space="preserve">Spend needed</t>
  </si>
  <si>
    <t xml:space="preserve">Do I have to spend anything to keep it?</t>
  </si>
  <si>
    <t xml:space="preserve">Shows the condition and progress towards it</t>
  </si>
  <si>
    <t xml:space="preserve">Dial, BenefitRow</t>
  </si>
  <si>
    <t xml:space="preserve">Conditions from the bank</t>
  </si>
  <si>
    <t xml:space="preserve">SB-05-005</t>
  </si>
  <si>
    <t xml:space="preserve">Upgrade the included plan</t>
  </si>
  <si>
    <t xml:space="preserve">Higher tier</t>
  </si>
  <si>
    <t xml:space="preserve">Can I pay extra for the better plan?</t>
  </si>
  <si>
    <t xml:space="preserve">Shows the extra cost in points or card and confirms</t>
  </si>
  <si>
    <t xml:space="preserve">Upgrade options from provider; included part from bank</t>
  </si>
  <si>
    <t xml:space="preserve">SB-05-006</t>
  </si>
  <si>
    <t xml:space="preserve">Activate an included subscription</t>
  </si>
  <si>
    <t xml:space="preserve">Not active</t>
  </si>
  <si>
    <t xml:space="preserve">Set up the streaming that comes with my card</t>
  </si>
  <si>
    <t xml:space="preserve">Gives steps and the activation link</t>
  </si>
  <si>
    <t xml:space="preserve">Steps, Button, BenefitRow</t>
  </si>
  <si>
    <t xml:space="preserve">SB-05-007</t>
  </si>
  <si>
    <t xml:space="preserve">Hear the free period is ending</t>
  </si>
  <si>
    <t xml:space="preserve">Turns paid</t>
  </si>
  <si>
    <t xml:space="preserve">Tells them before the included period ends, what it will cost after and how to cancel</t>
  </si>
  <si>
    <t xml:space="preserve">Terms from bank and provider</t>
  </si>
  <si>
    <t xml:space="preserve">SB-05-008</t>
  </si>
  <si>
    <t xml:space="preserve">Cancel an included subscription</t>
  </si>
  <si>
    <t xml:space="preserve">Not wanted</t>
  </si>
  <si>
    <t xml:space="preserve">I don't want the included magazine</t>
  </si>
  <si>
    <t xml:space="preserve">Stops it and says the benefit will not be replaced by anything else</t>
  </si>
  <si>
    <t xml:space="preserve">ConfirmSheet, BenefitRow</t>
  </si>
  <si>
    <t xml:space="preserve">Rules from the bank</t>
  </si>
  <si>
    <t xml:space="preserve">SB-05-009</t>
  </si>
  <si>
    <t xml:space="preserve">Stop being charged for an included plan</t>
  </si>
  <si>
    <t xml:space="preserve">Activated</t>
  </si>
  <si>
    <t xml:space="preserve">Charged anyway</t>
  </si>
  <si>
    <t xml:space="preserve">It's meant to be free but I was charged</t>
  </si>
  <si>
    <t xml:space="preserve">Checks activation and the charge and hands to a person to refund</t>
  </si>
  <si>
    <t xml:space="preserve">Bank and provider decide the refund</t>
  </si>
  <si>
    <t xml:space="preserve">SB-05-010</t>
  </si>
  <si>
    <t xml:space="preserve">Keep a benefit after changing card</t>
  </si>
  <si>
    <t xml:space="preserve">Upgrade or downgrade</t>
  </si>
  <si>
    <t xml:space="preserve">Benefit lost</t>
  </si>
  <si>
    <t xml:space="preserve">I changed card and lost my subscription</t>
  </si>
  <si>
    <t xml:space="preserve">Shows what the new card includes and when the old benefit ends</t>
  </si>
  <si>
    <t xml:space="preserve">SB-05-011</t>
  </si>
  <si>
    <t xml:space="preserve">Move a benefit to a replacement card</t>
  </si>
  <si>
    <t xml:space="preserve">Card replaced</t>
  </si>
  <si>
    <t xml:space="preserve">Linked to old card</t>
  </si>
  <si>
    <t xml:space="preserve">My card was stolen, will the benefit still work?</t>
  </si>
  <si>
    <t xml:space="preserve">Checks whether the benefit moved to the new card and fixes the link or hands over</t>
  </si>
  <si>
    <t xml:space="preserve">Bank links benefits to the card account</t>
  </si>
  <si>
    <t xml:space="preserve">SB-05-012</t>
  </si>
  <si>
    <t xml:space="preserve">Understand a lost benefit</t>
  </si>
  <si>
    <t xml:space="preserve">Spend target missed</t>
  </si>
  <si>
    <t xml:space="preserve">Benefit ended</t>
  </si>
  <si>
    <t xml:space="preserve">Why has my free subscription stopped?</t>
  </si>
  <si>
    <t xml:space="preserve">Shows the spend condition and that it was not met</t>
  </si>
  <si>
    <t xml:space="preserve">Dial, StateCard</t>
  </si>
  <si>
    <t xml:space="preserve">SB-05-013</t>
  </si>
  <si>
    <t xml:space="preserve">Share the benefit with an extra cardholder</t>
  </si>
  <si>
    <t xml:space="preserve">Extra cardholder</t>
  </si>
  <si>
    <t xml:space="preserve">Does my wife get it too on her card?</t>
  </si>
  <si>
    <t xml:space="preserve">Checks whether extra cardholders get the benefit</t>
  </si>
  <si>
    <t xml:space="preserve">SB-06-001</t>
  </si>
  <si>
    <t xml:space="preserve">Renew with points</t>
  </si>
  <si>
    <t xml:space="preserve">Manual</t>
  </si>
  <si>
    <t xml:space="preserve">Renew my music for another year with points</t>
  </si>
  <si>
    <t xml:space="preserve">Shows the price, confirms, renews</t>
  </si>
  <si>
    <t xml:space="preserve">Price from partner at renewal</t>
  </si>
  <si>
    <t xml:space="preserve">SB-06-002</t>
  </si>
  <si>
    <t xml:space="preserve">Turn on automatic renewal</t>
  </si>
  <si>
    <t xml:space="preserve">Automatic</t>
  </si>
  <si>
    <t xml:space="preserve">Just renew it every year with points</t>
  </si>
  <si>
    <t xml:space="preserve">Sets automatic renewal and uses the card only if they say so</t>
  </si>
  <si>
    <t xml:space="preserve">Clear consent for automatic payments; card mandates per bank</t>
  </si>
  <si>
    <t xml:space="preserve">Automatic payments: Direct Debit (UK), direct debit (EU, AE), auto-debit (IN, MY), GIRO (SG); IN card mandates need a pre-debit notice under RBI rules</t>
  </si>
  <si>
    <t xml:space="preserve">SB-06-003</t>
  </si>
  <si>
    <t xml:space="preserve">Renew automatically</t>
  </si>
  <si>
    <t xml:space="preserve">Says the renewal failed for points and offers points and card, or letting it end</t>
  </si>
  <si>
    <t xml:space="preserve">No card charge without consent</t>
  </si>
  <si>
    <t xml:space="preserve">SB-06-004</t>
  </si>
  <si>
    <t xml:space="preserve">Card expired</t>
  </si>
  <si>
    <t xml:space="preserve">Says renewal failed and asks which card to use</t>
  </si>
  <si>
    <t xml:space="preserve">Card details from the bank</t>
  </si>
  <si>
    <t xml:space="preserve">SB-06-005</t>
  </si>
  <si>
    <t xml:space="preserve">Hear a renewal is coming</t>
  </si>
  <si>
    <t xml:space="preserve">Renews soon</t>
  </si>
  <si>
    <t xml:space="preserve">Tells them before renewal with the price and a cancel button</t>
  </si>
  <si>
    <t xml:space="preserve">Notice timing per law and partner</t>
  </si>
  <si>
    <t xml:space="preserve">SB-06-006</t>
  </si>
  <si>
    <t xml:space="preserve">Turn off automatic renewal</t>
  </si>
  <si>
    <t xml:space="preserve">Stop auto-renew</t>
  </si>
  <si>
    <t xml:space="preserve">Don't renew it next time</t>
  </si>
  <si>
    <t xml:space="preserve">Turns it off and says when access ends</t>
  </si>
  <si>
    <t xml:space="preserve">Takes effect at once</t>
  </si>
  <si>
    <t xml:space="preserve">SB-06-007</t>
  </si>
  <si>
    <t xml:space="preserve">Pause a subscription</t>
  </si>
  <si>
    <t xml:space="preserve">Pause it for two months</t>
  </si>
  <si>
    <t xml:space="preserve">Pauses if the provider allows and says when it restarts</t>
  </si>
  <si>
    <t xml:space="preserve">Pause rules from the provider</t>
  </si>
  <si>
    <t xml:space="preserve">SB-06-008</t>
  </si>
  <si>
    <t xml:space="preserve">Part way through</t>
  </si>
  <si>
    <t xml:space="preserve">Cancel my music plan</t>
  </si>
  <si>
    <t xml:space="preserve">Shows what happens (access until the end date, any refund) and confirms</t>
  </si>
  <si>
    <t xml:space="preserve">NEW: SubscriptionCard, ConfirmSheet, Receipt</t>
  </si>
  <si>
    <t xml:space="preserve">End date and refund from provider terms</t>
  </si>
  <si>
    <t xml:space="preserve">SB-06-009</t>
  </si>
  <si>
    <t xml:space="preserve">Just signed up</t>
  </si>
  <si>
    <t xml:space="preserve">I signed up two days ago, cancel and refund me</t>
  </si>
  <si>
    <t xml:space="preserve">Checks the cooling-off rules and refunds if allowed</t>
  </si>
  <si>
    <t xml:space="preserve">Cooling-off per law and terms</t>
  </si>
  <si>
    <t xml:space="preserve">SB-06-010</t>
  </si>
  <si>
    <t xml:space="preserve">Switch plan</t>
  </si>
  <si>
    <t xml:space="preserve">Up or down</t>
  </si>
  <si>
    <t xml:space="preserve">Move me to the cheaper plan</t>
  </si>
  <si>
    <t xml:space="preserve">Shows the new price and when it starts, confirms</t>
  </si>
  <si>
    <t xml:space="preserve">Compare, ConfirmSheet</t>
  </si>
  <si>
    <t xml:space="preserve">Plan change rules from the provider</t>
  </si>
  <si>
    <t xml:space="preserve">SB-06-011</t>
  </si>
  <si>
    <t xml:space="preserve">Hear a price is going up</t>
  </si>
  <si>
    <t xml:space="preserve">Price rise</t>
  </si>
  <si>
    <t xml:space="preserve">Tells them the new price before it applies: keep, switch or cancel</t>
  </si>
  <si>
    <t xml:space="preserve">Moment, NEW: SubscriptionCard, Chips</t>
  </si>
  <si>
    <t xml:space="preserve">Price notices from the provider</t>
  </si>
  <si>
    <t xml:space="preserve">SB-06-012</t>
  </si>
  <si>
    <t xml:space="preserve">Stop a charge after cancelling</t>
  </si>
  <si>
    <t xml:space="preserve">Already cancelled</t>
  </si>
  <si>
    <t xml:space="preserve">Charged again</t>
  </si>
  <si>
    <t xml:space="preserve">I cancelled but they've charged me again</t>
  </si>
  <si>
    <t xml:space="preserve">Shows the cancel record and the charge and hands to a person for a refund or dispute</t>
  </si>
  <si>
    <t xml:space="preserve">Refunds and disputes decided by the provider and the bank</t>
  </si>
  <si>
    <t xml:space="preserve">SB-06-013</t>
  </si>
  <si>
    <t xml:space="preserve">Cancel when the provider will not</t>
  </si>
  <si>
    <t xml:space="preserve">They won't let me cancel</t>
  </si>
  <si>
    <t xml:space="preserve">Explains the route and hands to a person; the bank may stop future card payments</t>
  </si>
  <si>
    <t xml:space="preserve">Bank rules on stopping repeat card payments</t>
  </si>
  <si>
    <t xml:space="preserve">UK: banks must stop a repeat card payment when asked (to confirm wording); IN: cancel the card mandate in the bank app</t>
  </si>
  <si>
    <t xml:space="preserve">SB-06-014</t>
  </si>
  <si>
    <t xml:space="preserve">Stop a repeat card payment</t>
  </si>
  <si>
    <t xml:space="preserve">Not bought through Gratifi</t>
  </si>
  <si>
    <t xml:space="preserve">Stop that gym charging my card</t>
  </si>
  <si>
    <t xml:space="preserve">Explains cancelling with the merchant first and what the bank can block</t>
  </si>
  <si>
    <t xml:space="preserve">Bank decides how repeat payments are stopped</t>
  </si>
  <si>
    <t xml:space="preserve">SB-06-015</t>
  </si>
  <si>
    <t xml:space="preserve">Keep subscriptions after a card change</t>
  </si>
  <si>
    <t xml:space="preserve">My card was replaced, will my subscriptions still work?</t>
  </si>
  <si>
    <t xml:space="preserve">Checks which ones charge the old card and updates those it can</t>
  </si>
  <si>
    <t xml:space="preserve">Card updates as the bank supports</t>
  </si>
  <si>
    <t xml:space="preserve">SB-06-016</t>
  </si>
  <si>
    <t xml:space="preserve">Cut costs</t>
  </si>
  <si>
    <t xml:space="preserve">Money worries</t>
  </si>
  <si>
    <t xml:space="preserve">I need to cut back, what can I cancel?</t>
  </si>
  <si>
    <t xml:space="preserve">Lists subscriptions with costs, helps cancel, and offers the bank's help with money worries</t>
  </si>
  <si>
    <t xml:space="preserve">NEW: SubscriptionCard, Handoff</t>
  </si>
  <si>
    <t xml:space="preserve">Support for customers who need more care set by the bank</t>
  </si>
  <si>
    <t xml:space="preserve">SB-06-017</t>
  </si>
  <si>
    <t xml:space="preserve">Restart a cancelled subscription</t>
  </si>
  <si>
    <t xml:space="preserve">Turn my streaming back on</t>
  </si>
  <si>
    <t xml:space="preserve">Restarts it at the current price</t>
  </si>
  <si>
    <t xml:space="preserve">Price from the provider at restart</t>
  </si>
  <si>
    <t xml:space="preserve">SB-06-018</t>
  </si>
  <si>
    <t xml:space="preserve">See my subscriptions</t>
  </si>
  <si>
    <t xml:space="preserve">Bought through Gratifi</t>
  </si>
  <si>
    <t xml:space="preserve">What subscriptions am I paying for?</t>
  </si>
  <si>
    <t xml:space="preserve">Lists each with next renewal date, price and whether it renews automatically</t>
  </si>
  <si>
    <t xml:space="preserve">NEW: SubscriptionCard, Rail</t>
  </si>
  <si>
    <t xml:space="preserve">Data from partners; only those bought through Gratifi</t>
  </si>
  <si>
    <t xml:space="preserve">SB-06-019</t>
  </si>
  <si>
    <t xml:space="preserve">See all repeat payments on my card</t>
  </si>
  <si>
    <t xml:space="preserve">What else is charging my card every month?</t>
  </si>
  <si>
    <t xml:space="preserve">Lists repeat card payments from transactions</t>
  </si>
  <si>
    <t xml:space="preserve">From bank transactions</t>
  </si>
  <si>
    <t xml:space="preserve">ET-01-001</t>
  </si>
  <si>
    <t xml:space="preserve">See what is on</t>
  </si>
  <si>
    <t xml:space="preserve">Tonight</t>
  </si>
  <si>
    <t xml:space="preserve">What's on at the cinema near me tonight?</t>
  </si>
  <si>
    <t xml:space="preserve">Shows films showing nearby tonight with times and ratings</t>
  </si>
  <si>
    <t xml:space="preserve">Showtimes from the cinema partner; location only with permission</t>
  </si>
  <si>
    <t xml:space="preserve">ET-01-002</t>
  </si>
  <si>
    <t xml:space="preserve">Find a film</t>
  </si>
  <si>
    <t xml:space="preserve">Any Tamil films this weekend?</t>
  </si>
  <si>
    <t xml:space="preserve">Filters to films in that language with subtitle info</t>
  </si>
  <si>
    <t xml:space="preserve">Rail, ExperienceCard, FilterBar</t>
  </si>
  <si>
    <t xml:space="preserve">Language and subtitles from the partner</t>
  </si>
  <si>
    <t xml:space="preserve">Regional language films matter in IN, SG, MY; Arabic subtitles in AE</t>
  </si>
  <si>
    <t xml:space="preserve">ET-01-003</t>
  </si>
  <si>
    <t xml:space="preserve">Something for the kids on Saturday afternoon</t>
  </si>
  <si>
    <t xml:space="preserve">Shows family films with ratings and times</t>
  </si>
  <si>
    <t xml:space="preserve">Rail, ExperienceCard, TimeSlots</t>
  </si>
  <si>
    <t xml:space="preserve">Ratings from the local ratings body</t>
  </si>
  <si>
    <t xml:space="preserve">Age ratings are set locally: BBFC (UK), CBFC (IN), IMDA (SG), Malaysia's film censorship board; EU and AE to confirm</t>
  </si>
  <si>
    <t xml:space="preserve">ET-01-004</t>
  </si>
  <si>
    <t xml:space="preserve">Get told about a film</t>
  </si>
  <si>
    <t xml:space="preserve">Taste</t>
  </si>
  <si>
    <t xml:space="preserve">Tells them a film they asked to follow is now booking</t>
  </si>
  <si>
    <t xml:space="preserve">StickyNote, ExperienceCard</t>
  </si>
  <si>
    <t xml:space="preserve">Only films they asked to follow; consent checked</t>
  </si>
  <si>
    <t xml:space="preserve">ET-01-005</t>
  </si>
  <si>
    <t xml:space="preserve">Book cinema tickets</t>
  </si>
  <si>
    <t xml:space="preserve">Time fixed</t>
  </si>
  <si>
    <t xml:space="preserve">Two for the 8:15 showing tonight</t>
  </si>
  <si>
    <t xml:space="preserve">Shows the 8:15 at nearby cinemas and the full total</t>
  </si>
  <si>
    <t xml:space="preserve">Live seats and price from the partner; total includes booking fees</t>
  </si>
  <si>
    <t xml:space="preserve">IN: convenience fees must show in the total</t>
  </si>
  <si>
    <t xml:space="preserve">ET-01-006</t>
  </si>
  <si>
    <t xml:space="preserve">Choose seats</t>
  </si>
  <si>
    <t xml:space="preserve">Two together in the middle</t>
  </si>
  <si>
    <t xml:space="preserve">Shows the seat map with the best pair suggested</t>
  </si>
  <si>
    <t xml:space="preserve">NEW: VenueSeatMap</t>
  </si>
  <si>
    <t xml:space="preserve">Seat availability from the partner</t>
  </si>
  <si>
    <t xml:space="preserve">ET-01-007</t>
  </si>
  <si>
    <t xml:space="preserve">Recliner seats or the big screen</t>
  </si>
  <si>
    <t xml:space="preserve">Filters to premium screens and seats, with the price difference</t>
  </si>
  <si>
    <t xml:space="preserve">ExperienceCard, Compare, NEW: VenueSeatMap</t>
  </si>
  <si>
    <t xml:space="preserve">Formats and prices from the partner</t>
  </si>
  <si>
    <t xml:space="preserve">ET-01-008</t>
  </si>
  <si>
    <t xml:space="preserve">A subtitled showing with a wheelchair space</t>
  </si>
  <si>
    <t xml:space="preserve">Filters to subtitled or audio-described showings with wheelchair spaces</t>
  </si>
  <si>
    <t xml:space="preserve">ExperienceCard, FilterBar, NEW: VenueSeatMap</t>
  </si>
  <si>
    <t xml:space="preserve">Access facts from the partner</t>
  </si>
  <si>
    <t xml:space="preserve">Carer ticket schemes differ by country (to confirm)</t>
  </si>
  <si>
    <t xml:space="preserve">ET-01-009</t>
  </si>
  <si>
    <t xml:space="preserve">Book a private screening</t>
  </si>
  <si>
    <t xml:space="preserve">Can we hire a screen for a birthday?</t>
  </si>
  <si>
    <t xml:space="preserve">Takes the brief and hands to a person for a quote</t>
  </si>
  <si>
    <t xml:space="preserve">Price and terms from the partner</t>
  </si>
  <si>
    <t xml:space="preserve">ET-01-010</t>
  </si>
  <si>
    <t xml:space="preserve">(taps 8:15)</t>
  </si>
  <si>
    <t xml:space="preserve">Says it is sold out and offers the next showing or another cinema</t>
  </si>
  <si>
    <t xml:space="preserve">ET-01-011</t>
  </si>
  <si>
    <t xml:space="preserve">(taps seats)</t>
  </si>
  <si>
    <t xml:space="preserve">Says those seats just went and suggests the nearest pair</t>
  </si>
  <si>
    <t xml:space="preserve">StateCard (soldout), NEW: VenueSeatMap</t>
  </si>
  <si>
    <t xml:space="preserve">ET-01-012</t>
  </si>
  <si>
    <t xml:space="preserve">(in Arabic) Two tickets for the 9pm film tonight</t>
  </si>
  <si>
    <t xml:space="preserve">Replies in Arabic with the same cards, and shows the film's subtitle language</t>
  </si>
  <si>
    <t xml:space="preserve">ArabicScreens, ExperienceCard, TimeSlots</t>
  </si>
  <si>
    <t xml:space="preserve">Same rules as English</t>
  </si>
  <si>
    <t xml:space="preserve">ET-01-013</t>
  </si>
  <si>
    <t xml:space="preserve">Check the age rating</t>
  </si>
  <si>
    <t xml:space="preserve">Can my 12-year-old see this?</t>
  </si>
  <si>
    <t xml:space="preserve">Shows the local rating and what the cinema will check at the door</t>
  </si>
  <si>
    <t xml:space="preserve">Rating from the local body; ID checks by the cinema</t>
  </si>
  <si>
    <t xml:space="preserve">ET-01-014</t>
  </si>
  <si>
    <t xml:space="preserve">Use a card cinema offer</t>
  </si>
  <si>
    <t xml:space="preserve">Doesn't my card give buy one get one?</t>
  </si>
  <si>
    <t xml:space="preserve">Applies the card's cinema offer if eligible and shows the saving</t>
  </si>
  <si>
    <t xml:space="preserve">OfferCard, PriceLines, ConfirmSheet</t>
  </si>
  <si>
    <t xml:space="preserve">Eligibility and monthly limit from the bank</t>
  </si>
  <si>
    <t xml:space="preserve">Cinema offers on cards are common in IN (to confirm per bank)</t>
  </si>
  <si>
    <t xml:space="preserve">ET-01-015</t>
  </si>
  <si>
    <t xml:space="preserve">Shows the points total, confirms and issues tickets</t>
  </si>
  <si>
    <t xml:space="preserve">ET-01-016</t>
  </si>
  <si>
    <t xml:space="preserve">Says no tickets were issued and seats are released, offers another way</t>
  </si>
  <si>
    <t xml:space="preserve">No tickets without payment success</t>
  </si>
  <si>
    <t xml:space="preserve">ET-01-017</t>
  </si>
  <si>
    <t xml:space="preserve">Says payment is taken and tickets are coming, with a time limit before an automatic refund</t>
  </si>
  <si>
    <t xml:space="preserve">Automatic refund if tickets are not issued in the set time</t>
  </si>
  <si>
    <t xml:space="preserve">ET-01-018</t>
  </si>
  <si>
    <t xml:space="preserve">Add food and drink</t>
  </si>
  <si>
    <t xml:space="preserve">Add popcorn and drinks for two</t>
  </si>
  <si>
    <t xml:space="preserve">Adds the cinema's combo and updates the total</t>
  </si>
  <si>
    <t xml:space="preserve">Menu and prices from the partner</t>
  </si>
  <si>
    <t xml:space="preserve">ET-01-019</t>
  </si>
  <si>
    <t xml:space="preserve">At the cinema</t>
  </si>
  <si>
    <t xml:space="preserve">Tickets</t>
  </si>
  <si>
    <t xml:space="preserve">Shows the ticket QR codes, bright and offline</t>
  </si>
  <si>
    <t xml:space="preserve">Tickets from the partner; offline</t>
  </si>
  <si>
    <t xml:space="preserve">ET-01-020</t>
  </si>
  <si>
    <t xml:space="preserve">Send a ticket to a friend</t>
  </si>
  <si>
    <t xml:space="preserve">Meeting there</t>
  </si>
  <si>
    <t xml:space="preserve">Send Sam his ticket</t>
  </si>
  <si>
    <t xml:space="preserve">Sends one ticket to their friend</t>
  </si>
  <si>
    <t xml:space="preserve">SendTo, NEW: TicketWallet</t>
  </si>
  <si>
    <t xml:space="preserve">Only if the partner allows ticket transfer</t>
  </si>
  <si>
    <t xml:space="preserve">ET-01-021</t>
  </si>
  <si>
    <t xml:space="preserve">Cancel tonight's tickets</t>
  </si>
  <si>
    <t xml:space="preserve">Shows if a refund is allowed and asks to confirm</t>
  </si>
  <si>
    <t xml:space="preserve">Refund rules from the cinema; many do not refund</t>
  </si>
  <si>
    <t xml:space="preserve">ET-01-022</t>
  </si>
  <si>
    <t xml:space="preserve">Showing cancelled</t>
  </si>
  <si>
    <t xml:space="preserve">Technical fault</t>
  </si>
  <si>
    <t xml:space="preserve">Tells them the showing is cancelled, offers a refund or another time</t>
  </si>
  <si>
    <t xml:space="preserve">Full refund when the cinema cancels</t>
  </si>
  <si>
    <t xml:space="preserve">ET-01-023</t>
  </si>
  <si>
    <t xml:space="preserve">Booked the wrong showing</t>
  </si>
  <si>
    <t xml:space="preserve">Mistake</t>
  </si>
  <si>
    <t xml:space="preserve">Wrong booking</t>
  </si>
  <si>
    <t xml:space="preserve">I booked tomorrow instead of today</t>
  </si>
  <si>
    <t xml:space="preserve">Checks if the cinema allows a swap and hands to a person if not</t>
  </si>
  <si>
    <t xml:space="preserve">Swaps only per cinema rules</t>
  </si>
  <si>
    <t xml:space="preserve">ET-01-024</t>
  </si>
  <si>
    <t xml:space="preserve">Did I earn points on the cinema?</t>
  </si>
  <si>
    <t xml:space="preserve">Shows points earned</t>
  </si>
  <si>
    <t xml:space="preserve">ET-01-025</t>
  </si>
  <si>
    <t xml:space="preserve">Rate the film</t>
  </si>
  <si>
    <t xml:space="preserve">One-tap rating that shapes future suggestions</t>
  </si>
  <si>
    <t xml:space="preserve">ET-02-001</t>
  </si>
  <si>
    <t xml:space="preserve">Find a concert</t>
  </si>
  <si>
    <t xml:space="preserve">Artist</t>
  </si>
  <si>
    <t xml:space="preserve">Is Arlo Grey touring near me?</t>
  </si>
  <si>
    <t xml:space="preserve">Shows upcoming dates nearby with on-sale times</t>
  </si>
  <si>
    <t xml:space="preserve">Event data from the ticket partner</t>
  </si>
  <si>
    <t xml:space="preserve">ET-02-002</t>
  </si>
  <si>
    <t xml:space="preserve">Any gigs in Dubai the weekend I'm there?</t>
  </si>
  <si>
    <t xml:space="preserve">Shows concerts on those dates with prices from</t>
  </si>
  <si>
    <t xml:space="preserve">Events from the partner</t>
  </si>
  <si>
    <t xml:space="preserve">ET-02-003</t>
  </si>
  <si>
    <t xml:space="preserve">Get presale access</t>
  </si>
  <si>
    <t xml:space="preserve">Tells them a presale opens for cardholders on Thursday at 9 and that they qualify</t>
  </si>
  <si>
    <t xml:space="preserve">Moment, OfferCard, BenefitRow</t>
  </si>
  <si>
    <t xml:space="preserve">Eligibility from the bank; marketing consent checked</t>
  </si>
  <si>
    <t xml:space="preserve">ET-02-004</t>
  </si>
  <si>
    <t xml:space="preserve">Get reminded about a presale</t>
  </si>
  <si>
    <t xml:space="preserve">Presale date</t>
  </si>
  <si>
    <t xml:space="preserve">Remind me before the presale opens</t>
  </si>
  <si>
    <t xml:space="preserve">Sets a reminder 15 minutes before with the steps ready</t>
  </si>
  <si>
    <t xml:space="preserve">Presale time from the partner</t>
  </si>
  <si>
    <t xml:space="preserve">ET-02-005</t>
  </si>
  <si>
    <t xml:space="preserve">Buy in a presale</t>
  </si>
  <si>
    <t xml:space="preserve">Presale</t>
  </si>
  <si>
    <t xml:space="preserve">Get me two tickets in the presale</t>
  </si>
  <si>
    <t xml:space="preserve">Joins the queue, shows position, and when through, shows seats and total</t>
  </si>
  <si>
    <t xml:space="preserve">NEW: Queue, NEW: VenueSeatMap, PriceLines</t>
  </si>
  <si>
    <t xml:space="preserve">Presale code and limits from the bank or partner; ticket limit per person enforced</t>
  </si>
  <si>
    <t xml:space="preserve">ET-02-006</t>
  </si>
  <si>
    <t xml:space="preserve">Queue dropped</t>
  </si>
  <si>
    <t xml:space="preserve">It kicked me out of the queue</t>
  </si>
  <si>
    <t xml:space="preserve">Explains what happened and rejoins if the partner allows; says nothing was charged</t>
  </si>
  <si>
    <t xml:space="preserve">StateCard (error), NEW: Queue</t>
  </si>
  <si>
    <t xml:space="preserve">Queue rules from the partner</t>
  </si>
  <si>
    <t xml:space="preserve">ET-02-007</t>
  </si>
  <si>
    <t xml:space="preserve">(reaches the front)</t>
  </si>
  <si>
    <t xml:space="preserve">Says the presale sold out and offers a general sale reminder or official resale alert</t>
  </si>
  <si>
    <t xml:space="preserve">StateCard (soldout), Toggle</t>
  </si>
  <si>
    <t xml:space="preserve">Official resale only</t>
  </si>
  <si>
    <t xml:space="preserve">ET-02-008</t>
  </si>
  <si>
    <t xml:space="preserve">Buy concert tickets</t>
  </si>
  <si>
    <t xml:space="preserve">General sale</t>
  </si>
  <si>
    <t xml:space="preserve">Two standing tickets for the London show</t>
  </si>
  <si>
    <t xml:space="preserve">Shows ticket types, prices and the full total including fees</t>
  </si>
  <si>
    <t xml:space="preserve">ExperienceCard, Travellers, PriceLines</t>
  </si>
  <si>
    <t xml:space="preserve">Price and fees from the partner</t>
  </si>
  <si>
    <t xml:space="preserve">ET-02-009</t>
  </si>
  <si>
    <t xml:space="preserve">Seats together</t>
  </si>
  <si>
    <t xml:space="preserve">Four seats together in the lower tier</t>
  </si>
  <si>
    <t xml:space="preserve">Shows available blocks of four and the best view</t>
  </si>
  <si>
    <t xml:space="preserve">ET-02-010</t>
  </si>
  <si>
    <t xml:space="preserve">Any VIP or hospitality packages?</t>
  </si>
  <si>
    <t xml:space="preserve">Shows packages with what each includes and price</t>
  </si>
  <si>
    <t xml:space="preserve">Package contents from the partner</t>
  </si>
  <si>
    <t xml:space="preserve">ET-02-011</t>
  </si>
  <si>
    <t xml:space="preserve">I need a viewing platform space and a carer ticket</t>
  </si>
  <si>
    <t xml:space="preserve">Shows the venue's access booking route, and hands to a person where the venue requires it</t>
  </si>
  <si>
    <t xml:space="preserve">Access tickets governed by the venue's own process</t>
  </si>
  <si>
    <t xml:space="preserve">Access schemes differ by country (to confirm)</t>
  </si>
  <si>
    <t xml:space="preserve">ET-02-012</t>
  </si>
  <si>
    <t xml:space="preserve">Can my 14-year-old come to this?</t>
  </si>
  <si>
    <t xml:space="preserve">Shows the event's age policy and ID rules</t>
  </si>
  <si>
    <t xml:space="preserve">Age policy from the event</t>
  </si>
  <si>
    <t xml:space="preserve">ET-02-013</t>
  </si>
  <si>
    <t xml:space="preserve">(in checkout)</t>
  </si>
  <si>
    <t xml:space="preserve">Shows the price has changed and asks again</t>
  </si>
  <si>
    <t xml:space="preserve">Never charge more without a new yes; dynamic pricing named plainly</t>
  </si>
  <si>
    <t xml:space="preserve">ET-02-014</t>
  </si>
  <si>
    <t xml:space="preserve">Over the limit</t>
  </si>
  <si>
    <t xml:space="preserve">Six tickets please</t>
  </si>
  <si>
    <t xml:space="preserve">Says the limit is four per person for this event</t>
  </si>
  <si>
    <t xml:space="preserve">StateCard, Stepper</t>
  </si>
  <si>
    <t xml:space="preserve">Ticket limit from the partner</t>
  </si>
  <si>
    <t xml:space="preserve">ET-02-015</t>
  </si>
  <si>
    <t xml:space="preserve">Pay for tickets</t>
  </si>
  <si>
    <t xml:space="preserve">Takes payment on the card the presale needs and issues the order</t>
  </si>
  <si>
    <t xml:space="preserve">Some presales require payment with the bank's card; re-price before pay</t>
  </si>
  <si>
    <t xml:space="preserve">ET-02-016</t>
  </si>
  <si>
    <t xml:space="preserve">Use points for some of it</t>
  </si>
  <si>
    <t xml:space="preserve">Splits points and card if allowed for this event</t>
  </si>
  <si>
    <t xml:space="preserve">Points use allowed per event by the bank and partner</t>
  </si>
  <si>
    <t xml:space="preserve">ET-02-017</t>
  </si>
  <si>
    <t xml:space="preserve">Says the tickets are not bought and how long they are held, offers another card</t>
  </si>
  <si>
    <t xml:space="preserve">Hold time from the partner</t>
  </si>
  <si>
    <t xml:space="preserve">ET-02-018</t>
  </si>
  <si>
    <t xml:space="preserve">Split with friends</t>
  </si>
  <si>
    <t xml:space="preserve">Split the four tickets with the others</t>
  </si>
  <si>
    <t xml:space="preserve">Sends each friend a request for their share</t>
  </si>
  <si>
    <t xml:space="preserve">ET-02-019</t>
  </si>
  <si>
    <t xml:space="preserve">Add a hotel near the venue</t>
  </si>
  <si>
    <t xml:space="preserve">Out of town</t>
  </si>
  <si>
    <t xml:space="preserve">Somewhere to stay near the arena</t>
  </si>
  <si>
    <t xml:space="preserve">Shows hotels near the venue for that night</t>
  </si>
  <si>
    <t xml:space="preserve">ET-02-020</t>
  </si>
  <si>
    <t xml:space="preserve">Book a ride home</t>
  </si>
  <si>
    <t xml:space="preserve">After the show</t>
  </si>
  <si>
    <t xml:space="preserve">Book me a car for when it finishes</t>
  </si>
  <si>
    <t xml:space="preserve">Sets a ride for the stated end time and warns about surge prices</t>
  </si>
  <si>
    <t xml:space="preserve">Ride price from the ride supplier at booking</t>
  </si>
  <si>
    <t xml:space="preserve">ET-02-021</t>
  </si>
  <si>
    <t xml:space="preserve">Get my tickets</t>
  </si>
  <si>
    <t xml:space="preserve">Mobile tickets</t>
  </si>
  <si>
    <t xml:space="preserve">Shows them, or says when the partner releases mobile tickets</t>
  </si>
  <si>
    <t xml:space="preserve">NEW: TicketWallet, StateCard</t>
  </si>
  <si>
    <t xml:space="preserve">Release timing from the partner</t>
  </si>
  <si>
    <t xml:space="preserve">ET-02-022</t>
  </si>
  <si>
    <t xml:space="preserve">Transfer a ticket</t>
  </si>
  <si>
    <t xml:space="preserve">Friend going</t>
  </si>
  <si>
    <t xml:space="preserve">Send one ticket to my friend</t>
  </si>
  <si>
    <t xml:space="preserve">Transfers through the partner's official route</t>
  </si>
  <si>
    <t xml:space="preserve">Official transfer only; some tickets are name-locked</t>
  </si>
  <si>
    <t xml:space="preserve">Resale rules differ: UK requires ticket details on resale sites (to confirm); other markets to confirm</t>
  </si>
  <si>
    <t xml:space="preserve">ET-02-023</t>
  </si>
  <si>
    <t xml:space="preserve">Sell tickets I cannot use</t>
  </si>
  <si>
    <t xml:space="preserve">I can't go, can I sell them?</t>
  </si>
  <si>
    <t xml:space="preserve">Lists them on the official resale route if the event has one, at the allowed price</t>
  </si>
  <si>
    <t xml:space="preserve">Official resale only; price caps from the partner</t>
  </si>
  <si>
    <t xml:space="preserve">ET-02-024</t>
  </si>
  <si>
    <t xml:space="preserve">Lost my tickets</t>
  </si>
  <si>
    <t xml:space="preserve">Phone dead</t>
  </si>
  <si>
    <t xml:space="preserve">Cannot show ticket</t>
  </si>
  <si>
    <t xml:space="preserve">My phone died, how do I get in?</t>
  </si>
  <si>
    <t xml:space="preserve">Explains the venue's box office process with booking reference and ID</t>
  </si>
  <si>
    <t xml:space="preserve">Answer, Receipt</t>
  </si>
  <si>
    <t xml:space="preserve">Box office process from the partner</t>
  </si>
  <si>
    <t xml:space="preserve">ET-02-025</t>
  </si>
  <si>
    <t xml:space="preserve">Concert cancelled</t>
  </si>
  <si>
    <t xml:space="preserve">Event off</t>
  </si>
  <si>
    <t xml:space="preserve">Tells them the concert is cancelled and how the refund works</t>
  </si>
  <si>
    <t xml:space="preserve">Refund from partner terms</t>
  </si>
  <si>
    <t xml:space="preserve">ET-02-026</t>
  </si>
  <si>
    <t xml:space="preserve">Concert moved</t>
  </si>
  <si>
    <t xml:space="preserve">New date</t>
  </si>
  <si>
    <t xml:space="preserve">Postponed</t>
  </si>
  <si>
    <t xml:space="preserve">Tells them the new date and asks to keep the tickets or get a refund</t>
  </si>
  <si>
    <t xml:space="preserve">Options from partner terms</t>
  </si>
  <si>
    <t xml:space="preserve">ET-02-027</t>
  </si>
  <si>
    <t xml:space="preserve">Bought fake tickets</t>
  </si>
  <si>
    <t xml:space="preserve">Private seller</t>
  </si>
  <si>
    <t xml:space="preserve">I paid someone online and the tickets are fake</t>
  </si>
  <si>
    <t xml:space="preserve">Shows the payment, starts a fraud report with the bank, and hands to a person</t>
  </si>
  <si>
    <t xml:space="preserve">Fraud and disputes run by the bank</t>
  </si>
  <si>
    <t xml:space="preserve">ET-02-028</t>
  </si>
  <si>
    <t xml:space="preserve">Our seats had no view at all and it wasn't marked</t>
  </si>
  <si>
    <t xml:space="preserve">ET-03-001</t>
  </si>
  <si>
    <t xml:space="preserve">Find a match</t>
  </si>
  <si>
    <t xml:space="preserve">Team</t>
  </si>
  <si>
    <t xml:space="preserve">When's the next home game?</t>
  </si>
  <si>
    <t xml:space="preserve">Shows the next fixtures with on-sale status</t>
  </si>
  <si>
    <t xml:space="preserve">Fixtures from the ticket partner</t>
  </si>
  <si>
    <t xml:space="preserve">ET-03-002</t>
  </si>
  <si>
    <t xml:space="preserve">Find sport on a trip</t>
  </si>
  <si>
    <t xml:space="preserve">Any sport on while I'm in Melbourne?</t>
  </si>
  <si>
    <t xml:space="preserve">Shows events on those dates</t>
  </si>
  <si>
    <t xml:space="preserve">ET-03-003</t>
  </si>
  <si>
    <t xml:space="preserve">Get told about tickets</t>
  </si>
  <si>
    <t xml:space="preserve">Team followed</t>
  </si>
  <si>
    <t xml:space="preserve">Tells them tickets for a match they follow go on sale tomorrow</t>
  </si>
  <si>
    <t xml:space="preserve">Only teams they follow; consent checked</t>
  </si>
  <si>
    <t xml:space="preserve">ET-03-004</t>
  </si>
  <si>
    <t xml:space="preserve">Buy match tickets</t>
  </si>
  <si>
    <t xml:space="preserve">Two tickets for Saturday's match</t>
  </si>
  <si>
    <t xml:space="preserve">Shows sections, prices and the total</t>
  </si>
  <si>
    <t xml:space="preserve">ExperienceCard, NEW: VenueSeatMap, PriceLines</t>
  </si>
  <si>
    <t xml:space="preserve">Price and seats from the partner</t>
  </si>
  <si>
    <t xml:space="preserve">ET-03-005</t>
  </si>
  <si>
    <t xml:space="preserve">Club membership needed</t>
  </si>
  <si>
    <t xml:space="preserve">Why can't I buy for this game?</t>
  </si>
  <si>
    <t xml:space="preserve">Explains the club only sells to members for this match and how to join</t>
  </si>
  <si>
    <t xml:space="preserve">Sale rules from the club</t>
  </si>
  <si>
    <t xml:space="preserve">ET-03-006</t>
  </si>
  <si>
    <t xml:space="preserve">Home or away</t>
  </si>
  <si>
    <t xml:space="preserve">Seats with the away fans</t>
  </si>
  <si>
    <t xml:space="preserve">Explains away allocation and where it is sold</t>
  </si>
  <si>
    <t xml:space="preserve">Allocation rules from the club</t>
  </si>
  <si>
    <t xml:space="preserve">UK: unauthorised resale of football tickets is an offence; other markets to confirm</t>
  </si>
  <si>
    <t xml:space="preserve">ET-03-007</t>
  </si>
  <si>
    <t xml:space="preserve">Buy hospitality</t>
  </si>
  <si>
    <t xml:space="preserve">A box for 8 clients at the test match</t>
  </si>
  <si>
    <t xml:space="preserve">Shows hospitality packages and hands to a person for a quote</t>
  </si>
  <si>
    <t xml:space="preserve">ExperienceCard, Compare, Handoff</t>
  </si>
  <si>
    <t xml:space="preserve">Package terms from the partner</t>
  </si>
  <si>
    <t xml:space="preserve">ET-03-008</t>
  </si>
  <si>
    <t xml:space="preserve">Buy race weekend tickets</t>
  </si>
  <si>
    <t xml:space="preserve">Grand Prix grandstand tickets for three days</t>
  </si>
  <si>
    <t xml:space="preserve">Compares grandstands, days and prices</t>
  </si>
  <si>
    <t xml:space="preserve">Compare, NEW: VenueSeatMap</t>
  </si>
  <si>
    <t xml:space="preserve">Price from the partner</t>
  </si>
  <si>
    <t xml:space="preserve">Race weekends in SG and AE draw heavy demand; hotels sell out early</t>
  </si>
  <si>
    <t xml:space="preserve">ET-03-009</t>
  </si>
  <si>
    <t xml:space="preserve">Enter a ballot</t>
  </si>
  <si>
    <t xml:space="preserve">High demand</t>
  </si>
  <si>
    <t xml:space="preserve">Put me in the ballot for the final</t>
  </si>
  <si>
    <t xml:space="preserve">Enters the ballot and says when results come</t>
  </si>
  <si>
    <t xml:space="preserve">Ballot rules from the organiser</t>
  </si>
  <si>
    <t xml:space="preserve">ET-03-010</t>
  </si>
  <si>
    <t xml:space="preserve">Family tickets, two adults two kids</t>
  </si>
  <si>
    <t xml:space="preserve">Shows family areas and child prices</t>
  </si>
  <si>
    <t xml:space="preserve">ExperienceCard, Travellers</t>
  </si>
  <si>
    <t xml:space="preserve">Age bands from the club</t>
  </si>
  <si>
    <t xml:space="preserve">ET-03-011</t>
  </si>
  <si>
    <t xml:space="preserve">Wheelchair space and a companion seat</t>
  </si>
  <si>
    <t xml:space="preserve">Shows the club's access booking route and hands over if required</t>
  </si>
  <si>
    <t xml:space="preserve">Access tickets per club process</t>
  </si>
  <si>
    <t xml:space="preserve">ET-03-012</t>
  </si>
  <si>
    <t xml:space="preserve">(taps the match)</t>
  </si>
  <si>
    <t xml:space="preserve">Says it is sold out and offers official resale alerts</t>
  </si>
  <si>
    <t xml:space="preserve">ET-03-013</t>
  </si>
  <si>
    <t xml:space="preserve">Use my points</t>
  </si>
  <si>
    <t xml:space="preserve">Shows the points total, confirms, issues tickets</t>
  </si>
  <si>
    <t xml:space="preserve">ET-03-014</t>
  </si>
  <si>
    <t xml:space="preserve">Add ticket holder details</t>
  </si>
  <si>
    <t xml:space="preserve">Named tickets</t>
  </si>
  <si>
    <t xml:space="preserve">(before paying)</t>
  </si>
  <si>
    <t xml:space="preserve">Collects names or fan IDs the club needs for each ticket</t>
  </si>
  <si>
    <t xml:space="preserve">Travellers, StateCard</t>
  </si>
  <si>
    <t xml:space="preserve">Names must match ID if the club checks</t>
  </si>
  <si>
    <t xml:space="preserve">ET-03-015</t>
  </si>
  <si>
    <t xml:space="preserve">Says nothing was bought and how long the seats are held</t>
  </si>
  <si>
    <t xml:space="preserve">ET-03-016</t>
  </si>
  <si>
    <t xml:space="preserve">Check what I can bring</t>
  </si>
  <si>
    <t xml:space="preserve">Match day</t>
  </si>
  <si>
    <t xml:space="preserve">Can I take a bag into the stadium?</t>
  </si>
  <si>
    <t xml:space="preserve">Shows the stadium's bag and entry rules</t>
  </si>
  <si>
    <t xml:space="preserve">Rules from the venue</t>
  </si>
  <si>
    <t xml:space="preserve">ET-03-017</t>
  </si>
  <si>
    <t xml:space="preserve">Get to the ground</t>
  </si>
  <si>
    <t xml:space="preserve">Best way to get to the stadium?</t>
  </si>
  <si>
    <t xml:space="preserve">Shows travel options and books a ride if wanted</t>
  </si>
  <si>
    <t xml:space="preserve">Answer, RideOption</t>
  </si>
  <si>
    <t xml:space="preserve">ET-03-018</t>
  </si>
  <si>
    <t xml:space="preserve">At the turnstile</t>
  </si>
  <si>
    <t xml:space="preserve">Shows mobile tickets offline</t>
  </si>
  <si>
    <t xml:space="preserve">Offline</t>
  </si>
  <si>
    <t xml:space="preserve">ET-03-019</t>
  </si>
  <si>
    <t xml:space="preserve">My mate's using my ticket</t>
  </si>
  <si>
    <t xml:space="preserve">Transfers through the club's route if allowed</t>
  </si>
  <si>
    <t xml:space="preserve">Transfer rules from the club</t>
  </si>
  <si>
    <t xml:space="preserve">ET-03-020</t>
  </si>
  <si>
    <t xml:space="preserve">Cancel match tickets</t>
  </si>
  <si>
    <t xml:space="preserve">I can't make Saturday, can I get my money back?</t>
  </si>
  <si>
    <t xml:space="preserve">Says if the club refunds or runs an official ticket exchange, and lists them there after a yes</t>
  </si>
  <si>
    <t xml:space="preserve">Refund and exchange rules from the club; official routes only</t>
  </si>
  <si>
    <t xml:space="preserve">ET-03-021</t>
  </si>
  <si>
    <t xml:space="preserve">Match postponed</t>
  </si>
  <si>
    <t xml:space="preserve">Tells them the match is off and explains keep or refund</t>
  </si>
  <si>
    <t xml:space="preserve">Options from organiser terms</t>
  </si>
  <si>
    <t xml:space="preserve">ET-03-022</t>
  </si>
  <si>
    <t xml:space="preserve">Match cut short</t>
  </si>
  <si>
    <t xml:space="preserve">Rain</t>
  </si>
  <si>
    <t xml:space="preserve">Abandoned</t>
  </si>
  <si>
    <t xml:space="preserve">The game got rained off halfway, do I get money back?</t>
  </si>
  <si>
    <t xml:space="preserve">Explains the organiser's refund rule for abandoned play</t>
  </si>
  <si>
    <t xml:space="preserve">Refund rules from the organiser only</t>
  </si>
  <si>
    <t xml:space="preserve">Cricket refund rules often depend on play completed (to confirm per organiser)</t>
  </si>
  <si>
    <t xml:space="preserve">ET-03-023</t>
  </si>
  <si>
    <t xml:space="preserve">Our seats were behind a pillar</t>
  </si>
  <si>
    <t xml:space="preserve">Logs it and hands to a person</t>
  </si>
  <si>
    <t xml:space="preserve">Refund per partner terms</t>
  </si>
  <si>
    <t xml:space="preserve">ET-04-001</t>
  </si>
  <si>
    <t xml:space="preserve">Find a show</t>
  </si>
  <si>
    <t xml:space="preserve">A good show in the West End on Thursday</t>
  </si>
  <si>
    <t xml:space="preserve">Suggests three shows with seats on Thursday and prices from</t>
  </si>
  <si>
    <t xml:space="preserve">ET-04-002</t>
  </si>
  <si>
    <t xml:space="preserve">A musical suitable for an 8-year-old</t>
  </si>
  <si>
    <t xml:space="preserve">Filters to shows with a suitable age guide</t>
  </si>
  <si>
    <t xml:space="preserve">Rail, ExperienceCard, Chips</t>
  </si>
  <si>
    <t xml:space="preserve">Age guidance from the producer</t>
  </si>
  <si>
    <t xml:space="preserve">ET-04-003</t>
  </si>
  <si>
    <t xml:space="preserve">Find a festival</t>
  </si>
  <si>
    <t xml:space="preserve">Summer</t>
  </si>
  <si>
    <t xml:space="preserve">Music festivals in Europe in July</t>
  </si>
  <si>
    <t xml:space="preserve">Shows festivals with dates, ticket types and prices</t>
  </si>
  <si>
    <t xml:space="preserve">ET-04-004</t>
  </si>
  <si>
    <t xml:space="preserve">Find a cultural event</t>
  </si>
  <si>
    <t xml:space="preserve">Festive season</t>
  </si>
  <si>
    <t xml:space="preserve">Anything on for Diwali in Singapore?</t>
  </si>
  <si>
    <t xml:space="preserve">Shows ticketed events for the festival</t>
  </si>
  <si>
    <t xml:space="preserve">Festive calendars differ: Diwali (IN, SG, MY), Hari Raya (MY, SG), Eid (AE), Christmas (UK, EU)</t>
  </si>
  <si>
    <t xml:space="preserve">ET-04-005</t>
  </si>
  <si>
    <t xml:space="preserve">Buy theatre tickets</t>
  </si>
  <si>
    <t xml:space="preserve">Two good seats for Thursday evening</t>
  </si>
  <si>
    <t xml:space="preserve">Shows the seat map with prices, flagging restricted views</t>
  </si>
  <si>
    <t xml:space="preserve">NEW: VenueSeatMap, PriceLines</t>
  </si>
  <si>
    <t xml:space="preserve">Restricted view flags from the venue</t>
  </si>
  <si>
    <t xml:space="preserve">ET-04-006</t>
  </si>
  <si>
    <t xml:space="preserve">Best seats under £80 each</t>
  </si>
  <si>
    <t xml:space="preserve">Highlights the best seats under the budget</t>
  </si>
  <si>
    <t xml:space="preserve">NEW: VenueSeatMap, FilterBar</t>
  </si>
  <si>
    <t xml:space="preserve">ET-04-007</t>
  </si>
  <si>
    <t xml:space="preserve">Enter a ticket lottery</t>
  </si>
  <si>
    <t xml:space="preserve">Cheap seats</t>
  </si>
  <si>
    <t xml:space="preserve">Is there a day seat lottery?</t>
  </si>
  <si>
    <t xml:space="preserve">Explains the show's lottery or day seats and enters if the partner allows</t>
  </si>
  <si>
    <t xml:space="preserve">Lottery rules from the show</t>
  </si>
  <si>
    <t xml:space="preserve">ET-04-008</t>
  </si>
  <si>
    <t xml:space="preserve">Buy a festival pass</t>
  </si>
  <si>
    <t xml:space="preserve">Weekend camping tickets for two</t>
  </si>
  <si>
    <t xml:space="preserve">Shows pass types with camping and total</t>
  </si>
  <si>
    <t xml:space="preserve">ExperienceCard, Compare, PriceLines</t>
  </si>
  <si>
    <t xml:space="preserve">Pass types from the organiser</t>
  </si>
  <si>
    <t xml:space="preserve">ET-04-009</t>
  </si>
  <si>
    <t xml:space="preserve">Buy tickets for a group</t>
  </si>
  <si>
    <t xml:space="preserve">Tickets for 12 for a works night out</t>
  </si>
  <si>
    <t xml:space="preserve">Checks group rates and hands to a person if over the online limit</t>
  </si>
  <si>
    <t xml:space="preserve">Group rates from the partner</t>
  </si>
  <si>
    <t xml:space="preserve">ET-04-010</t>
  </si>
  <si>
    <t xml:space="preserve">Buy festival tickets</t>
  </si>
  <si>
    <t xml:space="preserve">Under 18</t>
  </si>
  <si>
    <t xml:space="preserve">Can my 15-year-old come to the festival?</t>
  </si>
  <si>
    <t xml:space="preserve">Shows the festival's age rules and adult supervision needs</t>
  </si>
  <si>
    <t xml:space="preserve">Age rules from the organiser</t>
  </si>
  <si>
    <t xml:space="preserve">ET-04-011</t>
  </si>
  <si>
    <t xml:space="preserve">A captioned performance with step-free access</t>
  </si>
  <si>
    <t xml:space="preserve">Shows access performances and hands to a person where the venue requires</t>
  </si>
  <si>
    <t xml:space="preserve">Access facts from the venue</t>
  </si>
  <si>
    <t xml:space="preserve">ET-04-012</t>
  </si>
  <si>
    <t xml:space="preserve">(taps Thursday)</t>
  </si>
  <si>
    <t xml:space="preserve">Says it is sold out and offers other dates or returns alerts</t>
  </si>
  <si>
    <t xml:space="preserve">ET-04-013</t>
  </si>
  <si>
    <t xml:space="preserve">Shows the points total and confirms</t>
  </si>
  <si>
    <t xml:space="preserve">ET-04-014</t>
  </si>
  <si>
    <t xml:space="preserve">Splits points and card</t>
  </si>
  <si>
    <t xml:space="preserve">ET-04-015</t>
  </si>
  <si>
    <t xml:space="preserve">Says nothing was bought and offers another way</t>
  </si>
  <si>
    <t xml:space="preserve">ET-04-016</t>
  </si>
  <si>
    <t xml:space="preserve">Add festival extras</t>
  </si>
  <si>
    <t xml:space="preserve">Camping</t>
  </si>
  <si>
    <t xml:space="preserve">Add parking and a shuttle</t>
  </si>
  <si>
    <t xml:space="preserve">Adds extras and updates the total</t>
  </si>
  <si>
    <t xml:space="preserve">Extras from the organiser</t>
  </si>
  <si>
    <t xml:space="preserve">ET-04-017</t>
  </si>
  <si>
    <t xml:space="preserve">Add dinner before the show</t>
  </si>
  <si>
    <t xml:space="preserve">Pre-theatre</t>
  </si>
  <si>
    <t xml:space="preserve">Somewhere to eat before, near the theatre</t>
  </si>
  <si>
    <t xml:space="preserve">Books a pre-theatre table timed to curtain up</t>
  </si>
  <si>
    <t xml:space="preserve">NEW: RestaurantCard, TimeSlots, ConfirmSheet</t>
  </si>
  <si>
    <t xml:space="preserve">Timing checked against the show start</t>
  </si>
  <si>
    <t xml:space="preserve">ET-04-018</t>
  </si>
  <si>
    <t xml:space="preserve">Gift theatre tickets</t>
  </si>
  <si>
    <t xml:space="preserve">Tickets for my parents' anniversary</t>
  </si>
  <si>
    <t xml:space="preserve">Books in their names and sends the tickets with a message</t>
  </si>
  <si>
    <t xml:space="preserve">Name rules from the partner</t>
  </si>
  <si>
    <t xml:space="preserve">ET-04-019</t>
  </si>
  <si>
    <t xml:space="preserve">Swap the date</t>
  </si>
  <si>
    <t xml:space="preserve">Can we change to Saturday?</t>
  </si>
  <si>
    <t xml:space="preserve">Checks exchange rules and any fee</t>
  </si>
  <si>
    <t xml:space="preserve">Exchange rules from the partner</t>
  </si>
  <si>
    <t xml:space="preserve">ET-04-020</t>
  </si>
  <si>
    <t xml:space="preserve">Show cancelled</t>
  </si>
  <si>
    <t xml:space="preserve">Performance off</t>
  </si>
  <si>
    <t xml:space="preserve">Tells them the performance is cancelled and offers refund or exchange</t>
  </si>
  <si>
    <t xml:space="preserve">ET-04-021</t>
  </si>
  <si>
    <t xml:space="preserve">Festival cancelled</t>
  </si>
  <si>
    <t xml:space="preserve">Tells them the festival is off and explains the refund</t>
  </si>
  <si>
    <t xml:space="preserve">Refund from organiser terms</t>
  </si>
  <si>
    <t xml:space="preserve">ET-04-022</t>
  </si>
  <si>
    <t xml:space="preserve">Lead actor off</t>
  </si>
  <si>
    <t xml:space="preserve">Cast change</t>
  </si>
  <si>
    <t xml:space="preserve">The star isn't on tonight, can I get a refund?</t>
  </si>
  <si>
    <t xml:space="preserve">Explains the show's cast change terms honestly</t>
  </si>
  <si>
    <t xml:space="preserve">Refund per partner terms; usually not owed</t>
  </si>
  <si>
    <t xml:space="preserve">ET-04-023</t>
  </si>
  <si>
    <t xml:space="preserve">Rate the show</t>
  </si>
  <si>
    <t xml:space="preserve">ET-05-001</t>
  </si>
  <si>
    <t xml:space="preserve">See entertainment benefits</t>
  </si>
  <si>
    <t xml:space="preserve">What entertainment perks does my card have?</t>
  </si>
  <si>
    <t xml:space="preserve">Lists presale access, reserved tickets and offers on this card</t>
  </si>
  <si>
    <t xml:space="preserve">Programme and partners depend on the bank and market</t>
  </si>
  <si>
    <t xml:space="preserve">ET-05-002</t>
  </si>
  <si>
    <t xml:space="preserve">Get an invite</t>
  </si>
  <si>
    <t xml:space="preserve">Cardholder event</t>
  </si>
  <si>
    <t xml:space="preserve">Invites them to a cardholder-only event with tickets reserved</t>
  </si>
  <si>
    <t xml:space="preserve">Eligibility from the bank; consent checked</t>
  </si>
  <si>
    <t xml:space="preserve">ET-05-003</t>
  </si>
  <si>
    <t xml:space="preserve">Upcoming presale</t>
  </si>
  <si>
    <t xml:space="preserve">Tells them a presale for their card opens tomorrow and how to join</t>
  </si>
  <si>
    <t xml:space="preserve">Eligibility and presale window from the bank</t>
  </si>
  <si>
    <t xml:space="preserve">ET-05-004</t>
  </si>
  <si>
    <t xml:space="preserve">Book reserved tickets</t>
  </si>
  <si>
    <t xml:space="preserve">Programme allocation</t>
  </si>
  <si>
    <t xml:space="preserve">Tickets from my card's allocation for the show</t>
  </si>
  <si>
    <t xml:space="preserve">Shows the reserved tickets for cardholders and books</t>
  </si>
  <si>
    <t xml:space="preserve">ExperienceCard, NEW: VenueSeatMap, ConfirmSheet</t>
  </si>
  <si>
    <t xml:space="preserve">Allocation and limits from the bank programme</t>
  </si>
  <si>
    <t xml:space="preserve">ET-05-005</t>
  </si>
  <si>
    <t xml:space="preserve">Enter a cardholder ballot</t>
  </si>
  <si>
    <t xml:space="preserve">Exclusive event</t>
  </si>
  <si>
    <t xml:space="preserve">Enter me for the cardholder night</t>
  </si>
  <si>
    <t xml:space="preserve">Ballot run by the bank</t>
  </si>
  <si>
    <t xml:space="preserve">ET-05-006</t>
  </si>
  <si>
    <t xml:space="preserve">Check eligibility</t>
  </si>
  <si>
    <t xml:space="preserve">Card type</t>
  </si>
  <si>
    <t xml:space="preserve">Why can't I see the presale?</t>
  </si>
  <si>
    <t xml:space="preserve">Explains which cards qualify and what this card offers instead</t>
  </si>
  <si>
    <t xml:space="preserve">ET-05-007</t>
  </si>
  <si>
    <t xml:space="preserve">Allocation gone</t>
  </si>
  <si>
    <t xml:space="preserve">(taps book)</t>
  </si>
  <si>
    <t xml:space="preserve">Says the cardholder allocation is gone and offers general sale</t>
  </si>
  <si>
    <t xml:space="preserve">Allocation count from the bank programme</t>
  </si>
  <si>
    <t xml:space="preserve">ET-05-008</t>
  </si>
  <si>
    <t xml:space="preserve">Use the presale code</t>
  </si>
  <si>
    <t xml:space="preserve">The presale code doesn't work</t>
  </si>
  <si>
    <t xml:space="preserve">Checks the code and window, and hands to a person if it should work</t>
  </si>
  <si>
    <t xml:space="preserve">Code validity from the bank and partner</t>
  </si>
  <si>
    <t xml:space="preserve">ET-05-009</t>
  </si>
  <si>
    <t xml:space="preserve">Pay with the right card</t>
  </si>
  <si>
    <t xml:space="preserve">Benefit needs card</t>
  </si>
  <si>
    <t xml:space="preserve">Can I pay with my other bank's card?</t>
  </si>
  <si>
    <t xml:space="preserve">Explains the benefit needs this bank's card to pay</t>
  </si>
  <si>
    <t xml:space="preserve">Card requirement from the bank programme</t>
  </si>
  <si>
    <t xml:space="preserve">ET-05-010</t>
  </si>
  <si>
    <t xml:space="preserve">Use a programme discount</t>
  </si>
  <si>
    <t xml:space="preserve">Use my card discount on these tickets</t>
  </si>
  <si>
    <t xml:space="preserve">Applies the discount and shows the saving</t>
  </si>
  <si>
    <t xml:space="preserve">Discount rules and limits from the bank</t>
  </si>
  <si>
    <t xml:space="preserve">ET-05-011</t>
  </si>
  <si>
    <t xml:space="preserve">Use free tickets</t>
  </si>
  <si>
    <t xml:space="preserve">Milestone reward</t>
  </si>
  <si>
    <t xml:space="preserve">I got free cinema tickets for my spending, how do I use them?</t>
  </si>
  <si>
    <t xml:space="preserve">Shows the reward vouchers and books with them</t>
  </si>
  <si>
    <t xml:space="preserve">BenefitRow, NEW: TicketWallet, ConfirmSheet</t>
  </si>
  <si>
    <t xml:space="preserve">Reward and expiry from the bank</t>
  </si>
  <si>
    <t xml:space="preserve">ET-05-012</t>
  </si>
  <si>
    <t xml:space="preserve">Cancel reserved tickets</t>
  </si>
  <si>
    <t xml:space="preserve">I can't use the cardholder tickets now</t>
  </si>
  <si>
    <t xml:space="preserve">Shows if they can be released back and any refund, asks to confirm</t>
  </si>
  <si>
    <t xml:space="preserve">Rules from the bank programme and partner</t>
  </si>
  <si>
    <t xml:space="preserve">ET-05-013</t>
  </si>
  <si>
    <t xml:space="preserve">Ballot result</t>
  </si>
  <si>
    <t xml:space="preserve">Ballot drawn</t>
  </si>
  <si>
    <t xml:space="preserve">Not selected</t>
  </si>
  <si>
    <t xml:space="preserve">Tells them they were not picked and offers the next best way to go</t>
  </si>
  <si>
    <t xml:space="preserve">ET-05-014</t>
  </si>
  <si>
    <t xml:space="preserve">Programme changed</t>
  </si>
  <si>
    <t xml:space="preserve">Terms updated</t>
  </si>
  <si>
    <t xml:space="preserve">Benefit withdrawn</t>
  </si>
  <si>
    <t xml:space="preserve">Where has my presale access gone?</t>
  </si>
  <si>
    <t xml:space="preserve">Explains the programme change and date, from the bank's notice</t>
  </si>
  <si>
    <t xml:space="preserve">Programme terms from the bank</t>
  </si>
  <si>
    <t xml:space="preserve">ET-05-015</t>
  </si>
  <si>
    <t xml:space="preserve">I'm a premium cardholder and got no presale access</t>
  </si>
  <si>
    <t xml:space="preserve">Complaint handled by the bank</t>
  </si>
  <si>
    <t xml:space="preserve">ET-05-016</t>
  </si>
  <si>
    <t xml:space="preserve">See what I have used</t>
  </si>
  <si>
    <t xml:space="preserve">How many presales have I used this year?</t>
  </si>
  <si>
    <t xml:space="preserve">Shows usage of entertainment benefits</t>
  </si>
  <si>
    <t xml:space="preserve">PM-01-001</t>
  </si>
  <si>
    <t xml:space="preserve">See where I can transfer points</t>
  </si>
  <si>
    <t xml:space="preserve">Which airlines can I move my points to?</t>
  </si>
  <si>
    <t xml:space="preserve">Lists the bank's airline partners with the rate and usual transfer time for each</t>
  </si>
  <si>
    <t xml:space="preserve">Answer, Rail, BenefitRow</t>
  </si>
  <si>
    <t xml:space="preserve">Partner list, rates and timings from the bank for this card</t>
  </si>
  <si>
    <t xml:space="preserve">Partners differ per bank, card and market</t>
  </si>
  <si>
    <t xml:space="preserve">PM-01-002</t>
  </si>
  <si>
    <t xml:space="preserve">Airline already chosen</t>
  </si>
  <si>
    <t xml:space="preserve">Can I get miles with Aurel Air from my points?</t>
  </si>
  <si>
    <t xml:space="preserve">Says yes or no for that airline, and if no, names the partners in the same alliance</t>
  </si>
  <si>
    <t xml:space="preserve">Partner list from the bank; alliance data from a named source</t>
  </si>
  <si>
    <t xml:space="preserve">PM-01-003</t>
  </si>
  <si>
    <t xml:space="preserve">Hear about a transfer bonus</t>
  </si>
  <si>
    <t xml:space="preserve">Flies this airline</t>
  </si>
  <si>
    <t xml:space="preserve">Tells them about a limited extra-miles offer on an airline they use, with the end date</t>
  </si>
  <si>
    <t xml:space="preserve">Only live bank offers the customer is eligible for; marketing consent checked</t>
  </si>
  <si>
    <t xml:space="preserve">Marketing consent rules differ: UK GDPR and PECR, EU GDPR, India DPDP Act, Singapore PDPA, Malaysia PDPA, UAE PDPL</t>
  </si>
  <si>
    <t xml:space="preserve">PM-01-004</t>
  </si>
  <si>
    <t xml:space="preserve">Pick the best programme for a trip</t>
  </si>
  <si>
    <t xml:space="preserve">Trip known</t>
  </si>
  <si>
    <t xml:space="preserve">I want business class to Tokyo next spring, where should I move my points?</t>
  </si>
  <si>
    <t xml:space="preserve">Checks which partners have award seats on the route and what each costs in bank points after conversion, and recommends one with the reason</t>
  </si>
  <si>
    <t xml:space="preserve">YouSaid, Steps, Answer, Compare, FlightCard</t>
  </si>
  <si>
    <t xml:space="preserve">Award seats from the airline partner; conversion from bank rates; recommendation reason must be a stated fact</t>
  </si>
  <si>
    <t xml:space="preserve">PM-01-005</t>
  </si>
  <si>
    <t xml:space="preserve">Check the seat before transferring</t>
  </si>
  <si>
    <t xml:space="preserve">Award seat seen</t>
  </si>
  <si>
    <t xml:space="preserve">Is the seat still there before I move the points?</t>
  </si>
  <si>
    <t xml:space="preserve">Rechecks the award seat live and explains that moving points does not hold the seat</t>
  </si>
  <si>
    <t xml:space="preserve">Answer, StateCard, FlightCard</t>
  </si>
  <si>
    <t xml:space="preserve">Live availability from the airline partner; no hold unless the airline offers one</t>
  </si>
  <si>
    <t xml:space="preserve">PM-01-006</t>
  </si>
  <si>
    <t xml:space="preserve">Check if a transfer is good value</t>
  </si>
  <si>
    <t xml:space="preserve">Comparing uses</t>
  </si>
  <si>
    <t xml:space="preserve">Is it better to move points to miles or just book the flight here with points?</t>
  </si>
  <si>
    <t xml:space="preserve">Compares what the same points buy both ways on a real example and says which gives more</t>
  </si>
  <si>
    <t xml:space="preserve">Compare, Answer, PointsSlider</t>
  </si>
  <si>
    <t xml:space="preserve">Values from bank rates and live prices; no guessed value for miles</t>
  </si>
  <si>
    <t xml:space="preserve">PM-01-007</t>
  </si>
  <si>
    <t xml:space="preserve">Transfer points to airline miles</t>
  </si>
  <si>
    <t xml:space="preserve">Move 30,000 points to my Aurel Air miles</t>
  </si>
  <si>
    <t xml:space="preserve">Shows points out, miles in, any fee and the timing, says in plain words the transfer cannot be undone, and asks to confirm</t>
  </si>
  <si>
    <t xml:space="preserve">PriceLines, ConfirmSheet, Receipt, CheckPop</t>
  </si>
  <si>
    <t xml:space="preserve">Rate, fee, minimum and block size from the bank; balance re-checked at confirm; Irreversible warning must be shown and acknowledged before confirm</t>
  </si>
  <si>
    <t xml:space="preserve">Confirm: Face ID (UK, EU, AE, SG), one-time code (IN), bank-app approval (MY). Some banks in IN charge a transfer fee plus GST (to confirm per bank)</t>
  </si>
  <si>
    <t xml:space="preserve">PM-01-008</t>
  </si>
  <si>
    <t xml:space="preserve">Fixed transfer blocks</t>
  </si>
  <si>
    <t xml:space="preserve">Move 12,345 points</t>
  </si>
  <si>
    <t xml:space="preserve">Explains transfers go in fixed blocks, offers the nearest allowed amount and shows what stays in the account</t>
  </si>
  <si>
    <t xml:space="preserve">PointsSlider, PriceLines, ConfirmSheet</t>
  </si>
  <si>
    <t xml:space="preserve">Minimum and block size from the bank</t>
  </si>
  <si>
    <t xml:space="preserve">PM-01-009</t>
  </si>
  <si>
    <t xml:space="preserve">Transfer just enough for a seat</t>
  </si>
  <si>
    <t xml:space="preserve">Exact miles needed</t>
  </si>
  <si>
    <t xml:space="preserve">I need 45,000 miles for the seat and I've already got 8,000 there</t>
  </si>
  <si>
    <t xml:space="preserve">Works out the smallest transfer that covers the gap and shows it before confirming</t>
  </si>
  <si>
    <t xml:space="preserve">Customer states the airline balance or the partner shares it; rates and blocks from the bank; Irreversible warning must be shown and acknowledged before confirm</t>
  </si>
  <si>
    <t xml:space="preserve">PM-01-010</t>
  </si>
  <si>
    <t xml:space="preserve">Transfer points for someone else</t>
  </si>
  <si>
    <t xml:space="preserve">Family member's account</t>
  </si>
  <si>
    <t xml:space="preserve">Send points to my husband's airline account</t>
  </si>
  <si>
    <t xml:space="preserve">Explains the bank's rule on transfers to other people's accounts and offers pooling or gifting points if the bank has them</t>
  </si>
  <si>
    <t xml:space="preserve">Answer, StateCard, Suggestions</t>
  </si>
  <si>
    <t xml:space="preserve">Recipient rules from the bank; most allow own account only (to confirm per bank)</t>
  </si>
  <si>
    <t xml:space="preserve">PM-01-011</t>
  </si>
  <si>
    <t xml:space="preserve">Track a transfer</t>
  </si>
  <si>
    <t xml:space="preserve">Transfer sent</t>
  </si>
  <si>
    <t xml:space="preserve">My miles haven't arrived yet</t>
  </si>
  <si>
    <t xml:space="preserve">Shows when the points left, the partner's usual time and the reference to quote to the airline</t>
  </si>
  <si>
    <t xml:space="preserve">Status, Steps, TransactionRow</t>
  </si>
  <si>
    <t xml:space="preserve">Timing and reference from the bank and partner</t>
  </si>
  <si>
    <t xml:space="preserve">PM-01-012</t>
  </si>
  <si>
    <t xml:space="preserve">Know about a rate change</t>
  </si>
  <si>
    <t xml:space="preserve">Has a plan to transfer</t>
  </si>
  <si>
    <t xml:space="preserve">Rate getting worse</t>
  </si>
  <si>
    <t xml:space="preserve">Warns that a partner rate changes on a date and what it means for their balance, facts only</t>
  </si>
  <si>
    <t xml:space="preserve">StickyNote, Answer</t>
  </si>
  <si>
    <t xml:space="preserve">Notice and dates from the bank; no pressure to act</t>
  </si>
  <si>
    <t xml:space="preserve">PM-01-013</t>
  </si>
  <si>
    <t xml:space="preserve">Link my airline membership</t>
  </si>
  <si>
    <t xml:space="preserve">First transfer</t>
  </si>
  <si>
    <t xml:space="preserve">Name does not match</t>
  </si>
  <si>
    <t xml:space="preserve">It says my name doesn't match</t>
  </si>
  <si>
    <t xml:space="preserve">Shows both names side by side and explains what to fix with the airline or the bank before any transfer</t>
  </si>
  <si>
    <t xml:space="preserve">StateCard, NEW: ProgrammeLink, Handoff</t>
  </si>
  <si>
    <t xml:space="preserve">No transfer until names match; any exception is the bank's decision</t>
  </si>
  <si>
    <t xml:space="preserve">PM-01-014</t>
  </si>
  <si>
    <t xml:space="preserve">Move 50,000 points to miles</t>
  </si>
  <si>
    <t xml:space="preserve">Shows the gap and offers the largest block they can afford, or buying points where the bank sells them</t>
  </si>
  <si>
    <t xml:space="preserve">StateCard, PointsSlider, Suggestions</t>
  </si>
  <si>
    <t xml:space="preserve">Balance from the bank ledger; buying points only if the bank offers it</t>
  </si>
  <si>
    <t xml:space="preserve">PM-01-015</t>
  </si>
  <si>
    <t xml:space="preserve">Later than the stated time</t>
  </si>
  <si>
    <t xml:space="preserve">It's been a week and still nothing</t>
  </si>
  <si>
    <t xml:space="preserve">Confirms the points left the account, raises a trace with the bank and partner, and hands to a person</t>
  </si>
  <si>
    <t xml:space="preserve">Trace and fix by the bank; no promised arrival date</t>
  </si>
  <si>
    <t xml:space="preserve">PM-01-016</t>
  </si>
  <si>
    <t xml:space="preserve">Undo a transfer</t>
  </si>
  <si>
    <t xml:space="preserve">Sent by mistake</t>
  </si>
  <si>
    <t xml:space="preserve">Customer error</t>
  </si>
  <si>
    <t xml:space="preserve">I sent them to the wrong airline, can you reverse it?</t>
  </si>
  <si>
    <t xml:space="preserve">Explains transfers cannot be undone, checks whether the bank or partner has any route at all, and hands to a person</t>
  </si>
  <si>
    <t xml:space="preserve">Reversal is the bank's and partner's decision only; never promise one</t>
  </si>
  <si>
    <t xml:space="preserve">PM-01-017</t>
  </si>
  <si>
    <t xml:space="preserve">Stop a transfer I did not make</t>
  </si>
  <si>
    <t xml:space="preserve">My points were moved to an account I don't recognise</t>
  </si>
  <si>
    <t xml:space="preserve">Blocks further transfers, shows the transaction and hands to the bank's fraud team straight away</t>
  </si>
  <si>
    <t xml:space="preserve">Fraud handled by the bank; transfers paused until review</t>
  </si>
  <si>
    <t xml:space="preserve">Report routes differ: 7726 for scam texts (UK), 1930 cybercrime helpline (IN); others to confirm</t>
  </si>
  <si>
    <t xml:space="preserve">PM-01-018</t>
  </si>
  <si>
    <t xml:space="preserve">Security hold</t>
  </si>
  <si>
    <t xml:space="preserve">Why is my transfer on hold?</t>
  </si>
  <si>
    <t xml:space="preserve">Says the bank has paused it for a security check and what the customer needs to do</t>
  </si>
  <si>
    <t xml:space="preserve">Hold and release by bank fraud rules</t>
  </si>
  <si>
    <t xml:space="preserve">PM-01-019</t>
  </si>
  <si>
    <t xml:space="preserve">The transfer failed</t>
  </si>
  <si>
    <t xml:space="preserve">Says the airline is not responding, confirms whether the points are still there or being returned, and offers to try again</t>
  </si>
  <si>
    <t xml:space="preserve">Points debited only when the partner accepts, or returned under bank rules</t>
  </si>
  <si>
    <t xml:space="preserve">PM-01-020</t>
  </si>
  <si>
    <t xml:space="preserve">Book the seat once miles land</t>
  </si>
  <si>
    <t xml:space="preserve">Miles arrived</t>
  </si>
  <si>
    <t xml:space="preserve">Says the miles have landed and offers to go back to the seat they looked at, rechecked live</t>
  </si>
  <si>
    <t xml:space="preserve">Toast, FlightCard, Suggestions</t>
  </si>
  <si>
    <t xml:space="preserve">Live availability rechecked; notification consent</t>
  </si>
  <si>
    <t xml:space="preserve">PM-01-021</t>
  </si>
  <si>
    <t xml:space="preserve">Add my frequent flyer number</t>
  </si>
  <si>
    <t xml:space="preserve">Asks for the membership number, checks the name matches the card and saves it for next time</t>
  </si>
  <si>
    <t xml:space="preserve">NEW: ProgrammeLink, Toast</t>
  </si>
  <si>
    <t xml:space="preserve">Name on the airline account must match the cardholder; number checked by the partner where possible</t>
  </si>
  <si>
    <t xml:space="preserve">Data laws: UK GDPR, EU GDPR, India DPDP Act, Singapore PDPA, Malaysia PDPA, UAE PDPL</t>
  </si>
  <si>
    <t xml:space="preserve">PM-01-022</t>
  </si>
  <si>
    <t xml:space="preserve">Check my transfer limit</t>
  </si>
  <si>
    <t xml:space="preserve">Yearly cap reached</t>
  </si>
  <si>
    <t xml:space="preserve">Why can't I move any more points this year?</t>
  </si>
  <si>
    <t xml:space="preserve">Shows the yearly cap, how much is used and when it resets</t>
  </si>
  <si>
    <t xml:space="preserve">Caps from the bank</t>
  </si>
  <si>
    <t xml:space="preserve">Yearly transfer caps are common on IN cards (to confirm per bank)</t>
  </si>
  <si>
    <t xml:space="preserve">PM-02-001</t>
  </si>
  <si>
    <t xml:space="preserve">See hotel transfer partners</t>
  </si>
  <si>
    <t xml:space="preserve">Can I turn my points into hotel points?</t>
  </si>
  <si>
    <t xml:space="preserve">Lists the bank's hotel partners with the rate and usual transfer time</t>
  </si>
  <si>
    <t xml:space="preserve">Partner list and rates from the bank for this card</t>
  </si>
  <si>
    <t xml:space="preserve">PM-02-002</t>
  </si>
  <si>
    <t xml:space="preserve">Hear about a hotel transfer bonus</t>
  </si>
  <si>
    <t xml:space="preserve">Uses this hotel group</t>
  </si>
  <si>
    <t xml:space="preserve">Tells them about a limited extra-points offer with a hotel group they stay with, with the end date</t>
  </si>
  <si>
    <t xml:space="preserve">Only live bank offers; marketing consent checked</t>
  </si>
  <si>
    <t xml:space="preserve">PM-02-003</t>
  </si>
  <si>
    <t xml:space="preserve">Pick the best way to pay for a stay</t>
  </si>
  <si>
    <t xml:space="preserve">Stay known</t>
  </si>
  <si>
    <t xml:space="preserve">Three nights in Rome in May, should I move points to Stayvale or just book here?</t>
  </si>
  <si>
    <t xml:space="preserve">Compares points needed for a free night in the hotel scheme with booking the same hotel here using points, and says which costs fewer points</t>
  </si>
  <si>
    <t xml:space="preserve">Compare, HotelCard, Answer</t>
  </si>
  <si>
    <t xml:space="preserve">Hotel scheme prices from the partner; points prices from live supply and bank rates</t>
  </si>
  <si>
    <t xml:space="preserve">PM-02-004</t>
  </si>
  <si>
    <t xml:space="preserve">Check the free night before transferring</t>
  </si>
  <si>
    <t xml:space="preserve">Free night seen</t>
  </si>
  <si>
    <t xml:space="preserve">Is the free night still available?</t>
  </si>
  <si>
    <t xml:space="preserve">Rechecks the reward night live and explains moving points does not hold the room</t>
  </si>
  <si>
    <t xml:space="preserve">Answer, StateCard, HotelCard</t>
  </si>
  <si>
    <t xml:space="preserve">Live reward availability from the hotel partner; no hold</t>
  </si>
  <si>
    <t xml:space="preserve">PM-02-005</t>
  </si>
  <si>
    <t xml:space="preserve">Understand hotel scheme rules</t>
  </si>
  <si>
    <t xml:space="preserve">After transfer</t>
  </si>
  <si>
    <t xml:space="preserve">Will the points expire in the hotel scheme, and do they count for status?</t>
  </si>
  <si>
    <t xml:space="preserve">Explains the hotel scheme's own expiry rules and that transfers usually do not count for status, quoting the partner's terms</t>
  </si>
  <si>
    <t xml:space="preserve">Partner's published terms only</t>
  </si>
  <si>
    <t xml:space="preserve">PM-02-006</t>
  </si>
  <si>
    <t xml:space="preserve">Transfer points to hotel points</t>
  </si>
  <si>
    <t xml:space="preserve">Move 40,000 points to my Stayvale account</t>
  </si>
  <si>
    <t xml:space="preserve">Shows points out, hotel points in, any fee and timing, says it cannot be undone, and asks to confirm</t>
  </si>
  <si>
    <t xml:space="preserve">Rate, fee, minimum and blocks from the bank; balance re-checked at confirm; Irreversible warning must be shown and acknowledged before confirm</t>
  </si>
  <si>
    <t xml:space="preserve">PM-02-007</t>
  </si>
  <si>
    <t xml:space="preserve">Transfer just enough for a free night</t>
  </si>
  <si>
    <t xml:space="preserve">Exact points needed</t>
  </si>
  <si>
    <t xml:space="preserve">Top my hotel account up just enough for the free night</t>
  </si>
  <si>
    <t xml:space="preserve">Works out the smallest allowed transfer that reaches the night</t>
  </si>
  <si>
    <t xml:space="preserve">Blocks and rates from the bank; Irreversible warning must be shown and acknowledged before confirm</t>
  </si>
  <si>
    <t xml:space="preserve">PM-02-008</t>
  </si>
  <si>
    <t xml:space="preserve">Track a hotel transfer</t>
  </si>
  <si>
    <t xml:space="preserve">Have my hotel points arrived?</t>
  </si>
  <si>
    <t xml:space="preserve">Shows sent time, usual arrival time and reference</t>
  </si>
  <si>
    <t xml:space="preserve">Timing from the bank and partner</t>
  </si>
  <si>
    <t xml:space="preserve">PM-02-009</t>
  </si>
  <si>
    <t xml:space="preserve">Link my hotel membership</t>
  </si>
  <si>
    <t xml:space="preserve">It won't accept my hotel number</t>
  </si>
  <si>
    <t xml:space="preserve">Shows both names and explains what to fix before any transfer</t>
  </si>
  <si>
    <t xml:space="preserve">No transfer until names match</t>
  </si>
  <si>
    <t xml:space="preserve">PM-02-010</t>
  </si>
  <si>
    <t xml:space="preserve">Move 60,000 points to hotel points</t>
  </si>
  <si>
    <t xml:space="preserve">Shows the gap and offers the largest allowed block, or other ways to pay for the stay</t>
  </si>
  <si>
    <t xml:space="preserve">PM-02-011</t>
  </si>
  <si>
    <t xml:space="preserve">Still no hotel points after five days</t>
  </si>
  <si>
    <t xml:space="preserve">Raises a trace with the bank and partner and hands to a person</t>
  </si>
  <si>
    <t xml:space="preserve">Trace by the bank; no promised date</t>
  </si>
  <si>
    <t xml:space="preserve">PM-02-012</t>
  </si>
  <si>
    <t xml:space="preserve">I meant to send 4,000 not 40,000</t>
  </si>
  <si>
    <t xml:space="preserve">Explains transfers cannot be undone and hands to a person to ask the bank</t>
  </si>
  <si>
    <t xml:space="preserve">Reversal only by the bank and partner; never promised</t>
  </si>
  <si>
    <t xml:space="preserve">PM-02-013</t>
  </si>
  <si>
    <t xml:space="preserve">Someone moved my points to a hotel account</t>
  </si>
  <si>
    <t xml:space="preserve">Blocks further transfers and hands to the bank's fraud team at once</t>
  </si>
  <si>
    <t xml:space="preserve">Fraud handled by the bank</t>
  </si>
  <si>
    <t xml:space="preserve">PM-02-014</t>
  </si>
  <si>
    <t xml:space="preserve">Add my hotel membership number</t>
  </si>
  <si>
    <t xml:space="preserve">Saves the number after checking the name matches the card</t>
  </si>
  <si>
    <t xml:space="preserve">Name must match the cardholder</t>
  </si>
  <si>
    <t xml:space="preserve">PM-03-001</t>
  </si>
  <si>
    <t xml:space="preserve">See what I can get right now</t>
  </si>
  <si>
    <t xml:space="preserve">What can I get with my points today?</t>
  </si>
  <si>
    <t xml:space="preserve">Shows a few things fully covered by the balance, picked for this customer</t>
  </si>
  <si>
    <t xml:space="preserve">Rail, OfferCard, ProductCard</t>
  </si>
  <si>
    <t xml:space="preserve">Live prices only; eligible items only</t>
  </si>
  <si>
    <t xml:space="preserve">PM-03-002</t>
  </si>
  <si>
    <t xml:space="preserve">Pick which card earns most</t>
  </si>
  <si>
    <t xml:space="preserve">Big purchase planned</t>
  </si>
  <si>
    <t xml:space="preserve">I'm buying a sofa, which of my cards earns more?</t>
  </si>
  <si>
    <t xml:space="preserve">Compares earn on each card the customer holds with this bank for that type of shop</t>
  </si>
  <si>
    <t xml:space="preserve">Only the customer's own cards with this bank; earn rules from the bank</t>
  </si>
  <si>
    <t xml:space="preserve">PM-03-003</t>
  </si>
  <si>
    <t xml:space="preserve">Chase missing points</t>
  </si>
  <si>
    <t xml:space="preserve">Points not credited</t>
  </si>
  <si>
    <t xml:space="preserve">I didn't get points for my hotel booking</t>
  </si>
  <si>
    <t xml:space="preserve">Checks posting date, spend type and exclusions, then explains or raises a claim with the bank</t>
  </si>
  <si>
    <t xml:space="preserve">Points decisions by the bank; claim window from terms</t>
  </si>
  <si>
    <t xml:space="preserve">PM-03-004</t>
  </si>
  <si>
    <t xml:space="preserve">Bonus rate expected</t>
  </si>
  <si>
    <t xml:space="preserve">Bonus not applied</t>
  </si>
  <si>
    <t xml:space="preserve">I should have got five times points on this</t>
  </si>
  <si>
    <t xml:space="preserve">Shows how the bank recorded the shop type against the bonus rules and raises a claim if they do not match</t>
  </si>
  <si>
    <t xml:space="preserve">Shop type from card network data; the bank decides</t>
  </si>
  <si>
    <t xml:space="preserve">PM-03-005</t>
  </si>
  <si>
    <t xml:space="preserve">Understand a points drop</t>
  </si>
  <si>
    <t xml:space="preserve">Shows the refund or reversal that took the points back</t>
  </si>
  <si>
    <t xml:space="preserve">Reversal rules from the bank</t>
  </si>
  <si>
    <t xml:space="preserve">PM-03-006</t>
  </si>
  <si>
    <t xml:space="preserve">Check my points balance</t>
  </si>
  <si>
    <t xml:space="preserve">How many points have I got?</t>
  </si>
  <si>
    <t xml:space="preserve">Shows the balance, anything pending and what it is worth in money terms</t>
  </si>
  <si>
    <t xml:space="preserve">PM-03-007</t>
  </si>
  <si>
    <t xml:space="preserve">Know what my points are worth</t>
  </si>
  <si>
    <t xml:space="preserve">What's 40,000 points actually worth?</t>
  </si>
  <si>
    <t xml:space="preserve">Shows what the balance buys across flights, hotels, gift cards and the bill, and which gives most</t>
  </si>
  <si>
    <t xml:space="preserve">Values from bank rates and live prices</t>
  </si>
  <si>
    <t xml:space="preserve">PM-03-008</t>
  </si>
  <si>
    <t xml:space="preserve">Understand how I earn</t>
  </si>
  <si>
    <t xml:space="preserve">Card rules</t>
  </si>
  <si>
    <t xml:space="preserve">How many points do I get per pound?</t>
  </si>
  <si>
    <t xml:space="preserve">Explains the earn rate, bonus categories and what does not earn</t>
  </si>
  <si>
    <t xml:space="preserve">Earn rules from the bank for this card</t>
  </si>
  <si>
    <t xml:space="preserve">Common exclusions differ; fuel, rent, wallet loads and government payments are often excluded on IN cards (to confirm per bank)</t>
  </si>
  <si>
    <t xml:space="preserve">PM-03-009</t>
  </si>
  <si>
    <t xml:space="preserve">See points for one purchase</t>
  </si>
  <si>
    <t xml:space="preserve">One purchase</t>
  </si>
  <si>
    <t xml:space="preserve">How many points did I get for dinner on Friday?</t>
  </si>
  <si>
    <t xml:space="preserve">Shows the transaction with points earned</t>
  </si>
  <si>
    <t xml:space="preserve">From the bank ledger</t>
  </si>
  <si>
    <t xml:space="preserve">PM-03-010</t>
  </si>
  <si>
    <t xml:space="preserve">Understand pending points</t>
  </si>
  <si>
    <t xml:space="preserve">Why can't I use the points from yesterday?</t>
  </si>
  <si>
    <t xml:space="preserve">Explains points are pending until the purchase settles, and gives the date they become usable</t>
  </si>
  <si>
    <t xml:space="preserve">Answer, Status</t>
  </si>
  <si>
    <t xml:space="preserve">Posting rules from the bank</t>
  </si>
  <si>
    <t xml:space="preserve">PM-03-011</t>
  </si>
  <si>
    <t xml:space="preserve">See my points history</t>
  </si>
  <si>
    <t xml:space="preserve">Show me what I've earned this year</t>
  </si>
  <si>
    <t xml:space="preserve">Summary by month and by spend type, with the biggest earners</t>
  </si>
  <si>
    <t xml:space="preserve">TransactionRow, NEW: PointsChart</t>
  </si>
  <si>
    <t xml:space="preserve">PM-03-012</t>
  </si>
  <si>
    <t xml:space="preserve">Check if my cards share points</t>
  </si>
  <si>
    <t xml:space="preserve">Several cards</t>
  </si>
  <si>
    <t xml:space="preserve">Do my two cards share one balance?</t>
  </si>
  <si>
    <t xml:space="preserve">Explains whether the balances are pooled or separate, and shows each</t>
  </si>
  <si>
    <t xml:space="preserve">Answer, Dial</t>
  </si>
  <si>
    <t xml:space="preserve">PM-03-013</t>
  </si>
  <si>
    <t xml:space="preserve">Check extra cardholder earning</t>
  </si>
  <si>
    <t xml:space="preserve">Do my wife's purchases earn on my account?</t>
  </si>
  <si>
    <t xml:space="preserve">Explains where points from an extra card go and shows them</t>
  </si>
  <si>
    <t xml:space="preserve">PM-03-014</t>
  </si>
  <si>
    <t xml:space="preserve">Get a monthly points summary</t>
  </si>
  <si>
    <t xml:space="preserve">Short month summary: earned, used, balance and what it is worth</t>
  </si>
  <si>
    <t xml:space="preserve">Moment, Dial</t>
  </si>
  <si>
    <t xml:space="preserve">Notification consent; figures from the bank ledger</t>
  </si>
  <si>
    <t xml:space="preserve">PM-03-015</t>
  </si>
  <si>
    <t xml:space="preserve">Know what happens to points if I close my card</t>
  </si>
  <si>
    <t xml:space="preserve">Card closing</t>
  </si>
  <si>
    <t xml:space="preserve">What happens to my points if I close my card?</t>
  </si>
  <si>
    <t xml:space="preserve">Explains whether they are lost or kept and by when to use them, and hands to a person for the closure itself</t>
  </si>
  <si>
    <t xml:space="preserve">From bank terms; closure is a bank process</t>
  </si>
  <si>
    <t xml:space="preserve">PM-03-016</t>
  </si>
  <si>
    <t xml:space="preserve">Deal with points after a death</t>
  </si>
  <si>
    <t xml:space="preserve">Cardholder died</t>
  </si>
  <si>
    <t xml:space="preserve">My father passed away, what happens to his points?</t>
  </si>
  <si>
    <t xml:space="preserve">Answers gently, explains nothing needs doing in chat, and hands to the bank's bereavement team</t>
  </si>
  <si>
    <t xml:space="preserve">Bank bereavement policy; no action without the bank</t>
  </si>
  <si>
    <t xml:space="preserve">PM-03-017</t>
  </si>
  <si>
    <t xml:space="preserve">Ask about tax on points</t>
  </si>
  <si>
    <t xml:space="preserve">Do I pay tax on my card points?</t>
  </si>
  <si>
    <t xml:space="preserve">Says it cannot give tax advice and points to the official guidance for their market</t>
  </si>
  <si>
    <t xml:space="preserve">No tax advice</t>
  </si>
  <si>
    <t xml:space="preserve">Tax treatment of rewards per market (to confirm)</t>
  </si>
  <si>
    <t xml:space="preserve">PM-04-001</t>
  </si>
  <si>
    <t xml:space="preserve">Extend my points</t>
  </si>
  <si>
    <t xml:space="preserve">Expiring soon</t>
  </si>
  <si>
    <t xml:space="preserve">Can I stop my points expiring?</t>
  </si>
  <si>
    <t xml:space="preserve">Explains the bank's rule: some extend with any spend, some sell an extension; offers it if available</t>
  </si>
  <si>
    <t xml:space="preserve">Rules and any fee from the bank; fee shown before confirm</t>
  </si>
  <si>
    <t xml:space="preserve">PM-04-002</t>
  </si>
  <si>
    <t xml:space="preserve">Warns with the amount and date and suggests three uses that fit the expiring points</t>
  </si>
  <si>
    <t xml:space="preserve">StickyNote, Rail, NEW: ExpiryTimeline</t>
  </si>
  <si>
    <t xml:space="preserve">Only real expiry dates; notification consent</t>
  </si>
  <si>
    <t xml:space="preserve">PM-04-003</t>
  </si>
  <si>
    <t xml:space="preserve">Reach the next tier</t>
  </si>
  <si>
    <t xml:space="preserve">Close to the target</t>
  </si>
  <si>
    <t xml:space="preserve">Says how little spend is left to reach the next tier and by when</t>
  </si>
  <si>
    <t xml:space="preserve">Qualifying spend from the bank; notification consent; no push to overspend</t>
  </si>
  <si>
    <t xml:space="preserve">PM-04-004</t>
  </si>
  <si>
    <t xml:space="preserve">Keep my tier</t>
  </si>
  <si>
    <t xml:space="preserve">Renewal coming</t>
  </si>
  <si>
    <t xml:space="preserve">Tier dropping</t>
  </si>
  <si>
    <t xml:space="preserve">Warns before the review date that the tier will drop and how much spend keeps it</t>
  </si>
  <si>
    <t xml:space="preserve">StickyNote, Dial</t>
  </si>
  <si>
    <t xml:space="preserve">Tier rules from the bank</t>
  </si>
  <si>
    <t xml:space="preserve">PM-04-005</t>
  </si>
  <si>
    <t xml:space="preserve">Understand a programme change</t>
  </si>
  <si>
    <t xml:space="preserve">Points losing value</t>
  </si>
  <si>
    <t xml:space="preserve">Explains what the bank is changing, from when, and what it means for their balance, facts only</t>
  </si>
  <si>
    <t xml:space="preserve">PM-04-006</t>
  </si>
  <si>
    <t xml:space="preserve">Get expired points back</t>
  </si>
  <si>
    <t xml:space="preserve">My points have disappeared</t>
  </si>
  <si>
    <t xml:space="preserve">Shows the expiry record and asks the bank to reinstate them if its policy allows</t>
  </si>
  <si>
    <t xml:space="preserve">Reinstatement is the bank's decision</t>
  </si>
  <si>
    <t xml:space="preserve">PM-04-007</t>
  </si>
  <si>
    <t xml:space="preserve">Check a points expiry message</t>
  </si>
  <si>
    <t xml:space="preserve">Scam message</t>
  </si>
  <si>
    <t xml:space="preserve">I got a text saying my points expire today with a link, is it real?</t>
  </si>
  <si>
    <t xml:space="preserve">Shows the real expiry dates, says the bank never asks for details through links, and offers to report it</t>
  </si>
  <si>
    <t xml:space="preserve">Never follow or open the link; fraud reporting route from the bank</t>
  </si>
  <si>
    <t xml:space="preserve">PM-04-008</t>
  </si>
  <si>
    <t xml:space="preserve">Get the tier I earned</t>
  </si>
  <si>
    <t xml:space="preserve">Target reached</t>
  </si>
  <si>
    <t xml:space="preserve">Upgrade not applied</t>
  </si>
  <si>
    <t xml:space="preserve">I hit the spend but I'm still Silver</t>
  </si>
  <si>
    <t xml:space="preserve">Shows spend the bank counted and what it left out, and raises a claim</t>
  </si>
  <si>
    <t xml:space="preserve">Dial, TransactionRow, Handoff</t>
  </si>
  <si>
    <t xml:space="preserve">Qualifying spend and tier changes by the bank</t>
  </si>
  <si>
    <t xml:space="preserve">PM-04-009</t>
  </si>
  <si>
    <t xml:space="preserve">Complain about lost points</t>
  </si>
  <si>
    <t xml:space="preserve">Nobody told me my points were going to expire</t>
  </si>
  <si>
    <t xml:space="preserve">Listens, logs the complaint and hands to a person with the history attached</t>
  </si>
  <si>
    <t xml:space="preserve">Complaint handling set by the bank</t>
  </si>
  <si>
    <t xml:space="preserve">PM-04-010</t>
  </si>
  <si>
    <t xml:space="preserve">Check when my points expire</t>
  </si>
  <si>
    <t xml:space="preserve">Are any of my points expiring?</t>
  </si>
  <si>
    <t xml:space="preserve">Shows how many points expire on which dates</t>
  </si>
  <si>
    <t xml:space="preserve">NEW: ExpiryTimeline, Answer</t>
  </si>
  <si>
    <t xml:space="preserve">Expiry rules and dates from the bank</t>
  </si>
  <si>
    <t xml:space="preserve">Expiry rules differ by bank and card; some never expire</t>
  </si>
  <si>
    <t xml:space="preserve">PM-04-011</t>
  </si>
  <si>
    <t xml:space="preserve">See my tier progress</t>
  </si>
  <si>
    <t xml:space="preserve">How far am I from the next tier?</t>
  </si>
  <si>
    <t xml:space="preserve">Shows spend so far, the target, the deadline and what the next tier adds</t>
  </si>
  <si>
    <t xml:space="preserve">Tier rules and qualifying spend from the bank</t>
  </si>
  <si>
    <t xml:space="preserve">PM-04-012</t>
  </si>
  <si>
    <t xml:space="preserve">See what my tier gives me</t>
  </si>
  <si>
    <t xml:space="preserve">Current tier</t>
  </si>
  <si>
    <t xml:space="preserve">What do I get as a Gold member?</t>
  </si>
  <si>
    <t xml:space="preserve">Lists the tier benefits and what is left of each this year</t>
  </si>
  <si>
    <t xml:space="preserve">From the bank entitlement catalogue</t>
  </si>
  <si>
    <t xml:space="preserve">PM-04-013</t>
  </si>
  <si>
    <t xml:space="preserve">Track my annual fee waiver</t>
  </si>
  <si>
    <t xml:space="preserve">Fee waiver target</t>
  </si>
  <si>
    <t xml:space="preserve">How much more do I need to spend to get the annual fee waived?</t>
  </si>
  <si>
    <t xml:space="preserve">Shows spend counted, the target and the deadline</t>
  </si>
  <si>
    <t xml:space="preserve">Dial, PaymentDue</t>
  </si>
  <si>
    <t xml:space="preserve">Waiver rules from the bank</t>
  </si>
  <si>
    <t xml:space="preserve">Spend-based fee waivers are common on IN cards (to confirm per card)</t>
  </si>
  <si>
    <t xml:space="preserve">PM-04-014</t>
  </si>
  <si>
    <t xml:space="preserve">Claim status with partners</t>
  </si>
  <si>
    <t xml:space="preserve">Card gives partner status</t>
  </si>
  <si>
    <t xml:space="preserve">Does my card give me status with any hotel group?</t>
  </si>
  <si>
    <t xml:space="preserve">Lists partner statuses the card gives and the steps to claim each</t>
  </si>
  <si>
    <t xml:space="preserve">BenefitRow, Steps</t>
  </si>
  <si>
    <t xml:space="preserve">PM-05-001</t>
  </si>
  <si>
    <t xml:space="preserve">Check if buying points is worth it</t>
  </si>
  <si>
    <t xml:space="preserve">Is it worth buying points?</t>
  </si>
  <si>
    <t xml:space="preserve">Compares the price per point with what those points buy in the planned use</t>
  </si>
  <si>
    <t xml:space="preserve">Facts from bank prices and live prices; no advice</t>
  </si>
  <si>
    <t xml:space="preserve">PM-05-002</t>
  </si>
  <si>
    <t xml:space="preserve">Buy points to finish a redemption</t>
  </si>
  <si>
    <t xml:space="preserve">Short of a redemption</t>
  </si>
  <si>
    <t xml:space="preserve">I'm 3,000 points short for the voucher</t>
  </si>
  <si>
    <t xml:space="preserve">Shows the price to buy the missing points next to paying the gap by card, and asks which</t>
  </si>
  <si>
    <t xml:space="preserve">Point price from the bank; card top-up shown as the alternative</t>
  </si>
  <si>
    <t xml:space="preserve">PM-05-003</t>
  </si>
  <si>
    <t xml:space="preserve">Gift points to someone</t>
  </si>
  <si>
    <t xml:space="preserve">Recipient at the same bank</t>
  </si>
  <si>
    <t xml:space="preserve">Send 10,000 points to my sister</t>
  </si>
  <si>
    <t xml:space="preserve">Checks the recipient can receive points, shows any fee, says it cannot be undone, and asks to confirm</t>
  </si>
  <si>
    <t xml:space="preserve">SendTo, PriceLines, ConfirmSheet, Receipt</t>
  </si>
  <si>
    <t xml:space="preserve">Recipient rules, limits and fees from the bank; Irreversible warning must be shown and acknowledged before confirm</t>
  </si>
  <si>
    <t xml:space="preserve">PM-05-004</t>
  </si>
  <si>
    <t xml:space="preserve">Spend pooled points</t>
  </si>
  <si>
    <t xml:space="preserve">Pool member</t>
  </si>
  <si>
    <t xml:space="preserve">Use our pooled points for the flights</t>
  </si>
  <si>
    <t xml:space="preserve">Uses pool points at checkout and asks the pool owner to approve if the rules need it</t>
  </si>
  <si>
    <t xml:space="preserve">PayWith, AvatarStack, ConfirmSheet</t>
  </si>
  <si>
    <t xml:space="preserve">Pool spending rights and approvals from the bank</t>
  </si>
  <si>
    <t xml:space="preserve">PM-05-005</t>
  </si>
  <si>
    <t xml:space="preserve">It says the payment failed</t>
  </si>
  <si>
    <t xml:space="preserve">Says nothing was charged and no points added, gives the reason the bank shares, and offers another way</t>
  </si>
  <si>
    <t xml:space="preserve">Decline reason from the bank only</t>
  </si>
  <si>
    <t xml:space="preserve">PM-05-006</t>
  </si>
  <si>
    <t xml:space="preserve">Purchase limit reached</t>
  </si>
  <si>
    <t xml:space="preserve">Why can't I buy more points?</t>
  </si>
  <si>
    <t xml:space="preserve">Shows the yearly limit and when it resets</t>
  </si>
  <si>
    <t xml:space="preserve">StateCard, Dial</t>
  </si>
  <si>
    <t xml:space="preserve">Limits from the bank</t>
  </si>
  <si>
    <t xml:space="preserve">PM-05-007</t>
  </si>
  <si>
    <t xml:space="preserve">Recipient elsewhere</t>
  </si>
  <si>
    <t xml:space="preserve">Recipient not eligible</t>
  </si>
  <si>
    <t xml:space="preserve">Send points to my friend, she banks somewhere else</t>
  </si>
  <si>
    <t xml:space="preserve">Explains points cannot go outside the bank and offers a gift card instead</t>
  </si>
  <si>
    <t xml:space="preserve">Recipient rules from the bank</t>
  </si>
  <si>
    <t xml:space="preserve">PM-05-008</t>
  </si>
  <si>
    <t xml:space="preserve">Get back points sent to the wrong person</t>
  </si>
  <si>
    <t xml:space="preserve">Wrong recipient</t>
  </si>
  <si>
    <t xml:space="preserve">I sent points to the wrong Priya</t>
  </si>
  <si>
    <t xml:space="preserve">Explains gifts cannot be undone in chat and hands to a person to ask the bank</t>
  </si>
  <si>
    <t xml:space="preserve">Reversal only by the bank</t>
  </si>
  <si>
    <t xml:space="preserve">PM-05-009</t>
  </si>
  <si>
    <t xml:space="preserve">Check a request for my points</t>
  </si>
  <si>
    <t xml:space="preserve">Scam</t>
  </si>
  <si>
    <t xml:space="preserve">Someone online says I've won a prize and need to send them points first</t>
  </si>
  <si>
    <t xml:space="preserve">Says this is a common scam, does not send anything, and offers to report it to the bank</t>
  </si>
  <si>
    <t xml:space="preserve">Gifts stopped when a scam is suspected; fraud route from the bank</t>
  </si>
  <si>
    <t xml:space="preserve">PM-05-010</t>
  </si>
  <si>
    <t xml:space="preserve">Protect pooled points</t>
  </si>
  <si>
    <t xml:space="preserve">Relationship ended</t>
  </si>
  <si>
    <t xml:space="preserve">Dispute between members</t>
  </si>
  <si>
    <t xml:space="preserve">We've separated and he's spending the pooled points</t>
  </si>
  <si>
    <t xml:space="preserve">Pauses pool spending if the bank allows and hands to a person trained for this</t>
  </si>
  <si>
    <t xml:space="preserve">Bank decides; treated as a customer who may need extra care</t>
  </si>
  <si>
    <t xml:space="preserve">PM-05-011</t>
  </si>
  <si>
    <t xml:space="preserve">Receive gifted points</t>
  </si>
  <si>
    <t xml:space="preserve">Recipient</t>
  </si>
  <si>
    <t xml:space="preserve">Tells the recipient who sent points and how many, and what they could use them for</t>
  </si>
  <si>
    <t xml:space="preserve">Toast, TransactionRow, Suggestions</t>
  </si>
  <si>
    <t xml:space="preserve">From the bank ledger; sender name shown only with sender consent</t>
  </si>
  <si>
    <t xml:space="preserve">PM-05-012</t>
  </si>
  <si>
    <t xml:space="preserve">Set up a family pool</t>
  </si>
  <si>
    <t xml:space="preserve">Can my wife and I pool our points?</t>
  </si>
  <si>
    <t xml:space="preserve">Explains the bank's pooling rules, invites the other person, and starts only when each agrees</t>
  </si>
  <si>
    <t xml:space="preserve">AvatarStack, SendTo, ConfirmSheet</t>
  </si>
  <si>
    <t xml:space="preserve">Each member's consent; pooling rules from the bank</t>
  </si>
  <si>
    <t xml:space="preserve">PM-05-013</t>
  </si>
  <si>
    <t xml:space="preserve">See the pool</t>
  </si>
  <si>
    <t xml:space="preserve">Who's put what into our pool?</t>
  </si>
  <si>
    <t xml:space="preserve">Shows the pool balance and each member's share and spend</t>
  </si>
  <si>
    <t xml:space="preserve">AvatarStack, TransactionRow, Dial</t>
  </si>
  <si>
    <t xml:space="preserve">From the bank; members see only what the pool rules allow</t>
  </si>
  <si>
    <t xml:space="preserve">PM-05-014</t>
  </si>
  <si>
    <t xml:space="preserve">Leave or change the pool</t>
  </si>
  <si>
    <t xml:space="preserve">Take my son out of the pool</t>
  </si>
  <si>
    <t xml:space="preserve">Shows what happens to points already pooled and asks to confirm</t>
  </si>
  <si>
    <t xml:space="preserve">AvatarStack, ConfirmSheet</t>
  </si>
  <si>
    <t xml:space="preserve">Pool rules from the bank</t>
  </si>
  <si>
    <t xml:space="preserve">PM-06-001</t>
  </si>
  <si>
    <t xml:space="preserve">See bonus offers</t>
  </si>
  <si>
    <t xml:space="preserve">Any bonus points offers on at the moment?</t>
  </si>
  <si>
    <t xml:space="preserve">Shows campaigns this customer is eligible for, with end dates</t>
  </si>
  <si>
    <t xml:space="preserve">Rail, OfferCard</t>
  </si>
  <si>
    <t xml:space="preserve">Eligibility and terms from the bank</t>
  </si>
  <si>
    <t xml:space="preserve">PM-06-002</t>
  </si>
  <si>
    <t xml:space="preserve">Hear about a campaign that fits me</t>
  </si>
  <si>
    <t xml:space="preserve">Matches spending habits</t>
  </si>
  <si>
    <t xml:space="preserve">Tells them about one campaign that fits how they already spend</t>
  </si>
  <si>
    <t xml:space="preserve">PM-06-003</t>
  </si>
  <si>
    <t xml:space="preserve">Choose my milestone reward</t>
  </si>
  <si>
    <t xml:space="preserve">Reward choice</t>
  </si>
  <si>
    <t xml:space="preserve">I've hit the milestone, which voucher should I take?</t>
  </si>
  <si>
    <t xml:space="preserve">Shows the reward options with their value and a suggestion based on what they use</t>
  </si>
  <si>
    <t xml:space="preserve">Compare, GiftCardTile, ConfirmSheet</t>
  </si>
  <si>
    <t xml:space="preserve">Reward options and values from the bank</t>
  </si>
  <si>
    <t xml:space="preserve">PM-06-004</t>
  </si>
  <si>
    <t xml:space="preserve">Hit a milestone</t>
  </si>
  <si>
    <t xml:space="preserve">Says how much spend is left for the milestone and by when</t>
  </si>
  <si>
    <t xml:space="preserve">Moment, NEW: MilestoneTracker</t>
  </si>
  <si>
    <t xml:space="preserve">Figures from the bank; notification consent; no push to overspend</t>
  </si>
  <si>
    <t xml:space="preserve">PM-06-005</t>
  </si>
  <si>
    <t xml:space="preserve">Chase a missing bonus</t>
  </si>
  <si>
    <t xml:space="preserve">Bonus not received</t>
  </si>
  <si>
    <t xml:space="preserve">I hit the target but didn't get the bonus</t>
  </si>
  <si>
    <t xml:space="preserve">Shows spend counted against the target and the posting date, then raises a claim if due</t>
  </si>
  <si>
    <t xml:space="preserve">NEW: MilestoneTracker, TransactionRow, Handoff</t>
  </si>
  <si>
    <t xml:space="preserve">Bonus decisions by the bank</t>
  </si>
  <si>
    <t xml:space="preserve">PM-06-006</t>
  </si>
  <si>
    <t xml:space="preserve">Understand why spend did not count</t>
  </si>
  <si>
    <t xml:space="preserve">Excluded spend</t>
  </si>
  <si>
    <t xml:space="preserve">Why doesn't my council tax count towards it?</t>
  </si>
  <si>
    <t xml:space="preserve">Explains which spend types the campaign leaves out, from the terms</t>
  </si>
  <si>
    <t xml:space="preserve">Exclusions from campaign terms</t>
  </si>
  <si>
    <t xml:space="preserve">PM-06-007</t>
  </si>
  <si>
    <t xml:space="preserve">Understand a missed deadline</t>
  </si>
  <si>
    <t xml:space="preserve">Campaign ended</t>
  </si>
  <si>
    <t xml:space="preserve">I was a few pounds short when it ended</t>
  </si>
  <si>
    <t xml:space="preserve">Shows the final count and deadline and hands to a person if they want to ask for goodwill</t>
  </si>
  <si>
    <t xml:space="preserve">Goodwill is the bank's decision</t>
  </si>
  <si>
    <t xml:space="preserve">PM-06-008</t>
  </si>
  <si>
    <t xml:space="preserve">Understand what a refund does to my bonus</t>
  </si>
  <si>
    <t xml:space="preserve">Refund after reaching target</t>
  </si>
  <si>
    <t xml:space="preserve">I returned something, do I lose the bonus?</t>
  </si>
  <si>
    <t xml:space="preserve">Explains the campaign rule on refunds and shows the new count</t>
  </si>
  <si>
    <t xml:space="preserve">Answer, NEW: MilestoneTracker</t>
  </si>
  <si>
    <t xml:space="preserve">Refund rules from campaign terms</t>
  </si>
  <si>
    <t xml:space="preserve">PM-06-009</t>
  </si>
  <si>
    <t xml:space="preserve">Join a campaign</t>
  </si>
  <si>
    <t xml:space="preserve">Needs opt-in</t>
  </si>
  <si>
    <t xml:space="preserve">Sign me up for the double points offer</t>
  </si>
  <si>
    <t xml:space="preserve">Enrols them, shows the key terms in plain words and confirms from when spend counts</t>
  </si>
  <si>
    <t xml:space="preserve">OfferCard, ConfirmSheet, Toast</t>
  </si>
  <si>
    <t xml:space="preserve">Opt-in recorded by the bank before spend counts</t>
  </si>
  <si>
    <t xml:space="preserve">PM-06-010</t>
  </si>
  <si>
    <t xml:space="preserve">Understand campaign rules</t>
  </si>
  <si>
    <t xml:space="preserve">What are the rules on this offer?</t>
  </si>
  <si>
    <t xml:space="preserve">Explains the terms in plain words with the full terms one tap away</t>
  </si>
  <si>
    <t xml:space="preserve">Answer, OfferCard</t>
  </si>
  <si>
    <t xml:space="preserve">Terms from the bank; plain version checked against the source</t>
  </si>
  <si>
    <t xml:space="preserve">PM-06-011</t>
  </si>
  <si>
    <t xml:space="preserve">Track a milestone</t>
  </si>
  <si>
    <t xml:space="preserve">How close am I to the quarterly bonus?</t>
  </si>
  <si>
    <t xml:space="preserve">Shows spend counted, target, deadline and the reward</t>
  </si>
  <si>
    <t xml:space="preserve">Dial, NEW: MilestoneTracker</t>
  </si>
  <si>
    <t xml:space="preserve">Qualifying spend from the bank</t>
  </si>
  <si>
    <t xml:space="preserve">Milestone campaigns live on iRewards (IN); others depend on bank</t>
  </si>
  <si>
    <t xml:space="preserve">PM-06-012</t>
  </si>
  <si>
    <t xml:space="preserve">Track my welcome bonus</t>
  </si>
  <si>
    <t xml:space="preserve">New card</t>
  </si>
  <si>
    <t xml:space="preserve">Have I done enough spend for the welcome bonus?</t>
  </si>
  <si>
    <t xml:space="preserve">Shows spend counted, target and deadline</t>
  </si>
  <si>
    <t xml:space="preserve">PM-06-013</t>
  </si>
  <si>
    <t xml:space="preserve">Stop campaign messages</t>
  </si>
  <si>
    <t xml:space="preserve">Stop sending me offers</t>
  </si>
  <si>
    <t xml:space="preserve">Turns off campaign messages and confirms which messages will still come</t>
  </si>
  <si>
    <t xml:space="preserve">Marketing consent recorded; service messages continue</t>
  </si>
  <si>
    <t xml:space="preserve">PM-07-001</t>
  </si>
  <si>
    <t xml:space="preserve">Check if the bill is a good use</t>
  </si>
  <si>
    <t xml:space="preserve">Is using points on my bill good value?</t>
  </si>
  <si>
    <t xml:space="preserve">Compares what the same points give on the bill against other uses</t>
  </si>
  <si>
    <t xml:space="preserve">PM-07-002</t>
  </si>
  <si>
    <t xml:space="preserve">Pay my bill with points</t>
  </si>
  <si>
    <t xml:space="preserve">Use my points to pay off this month's bill</t>
  </si>
  <si>
    <t xml:space="preserve">Shows the statement balance, points needed, the rate, what is left to pay and when the credit lands, then asks to confirm</t>
  </si>
  <si>
    <t xml:space="preserve">PaymentDue, PointsSlider, PriceLines, ConfirmSheet, Receipt</t>
  </si>
  <si>
    <t xml:space="preserve">Rate and posting time from the bank; says clearly whether the credit counts towards the minimum payment</t>
  </si>
  <si>
    <t xml:space="preserve">PM-07-003</t>
  </si>
  <si>
    <t xml:space="preserve">Put all my points towards the bill</t>
  </si>
  <si>
    <t xml:space="preserve">Uses the points for part of the bill and shows the amount still to pay by the due date</t>
  </si>
  <si>
    <t xml:space="preserve">PaymentDue, PointsSlider, PriceLines, ConfirmSheet</t>
  </si>
  <si>
    <t xml:space="preserve">Rate from the bank; remaining due shown with the date</t>
  </si>
  <si>
    <t xml:space="preserve">PM-07-004</t>
  </si>
  <si>
    <t xml:space="preserve">Cover one purchase with points</t>
  </si>
  <si>
    <t xml:space="preserve">One transaction</t>
  </si>
  <si>
    <t xml:space="preserve">Cover my supermarket shop with points</t>
  </si>
  <si>
    <t xml:space="preserve">Shows the purchase, points needed and confirms the credit against it</t>
  </si>
  <si>
    <t xml:space="preserve">Eligible spend types and time window from the bank</t>
  </si>
  <si>
    <t xml:space="preserve">PM-07-005</t>
  </si>
  <si>
    <t xml:space="preserve">Pay my annual fee with points</t>
  </si>
  <si>
    <t xml:space="preserve">Annual fee due</t>
  </si>
  <si>
    <t xml:space="preserve">Can I pay the annual fee with points?</t>
  </si>
  <si>
    <t xml:space="preserve">Checks if the bank allows it, shows points needed and confirms</t>
  </si>
  <si>
    <t xml:space="preserve">PaymentDue, PriceLines, ConfirmSheet</t>
  </si>
  <si>
    <t xml:space="preserve">PM-07-006</t>
  </si>
  <si>
    <t xml:space="preserve">Turn points into cashback</t>
  </si>
  <si>
    <t xml:space="preserve">Cash to account</t>
  </si>
  <si>
    <t xml:space="preserve">Turn my points into cashback</t>
  </si>
  <si>
    <t xml:space="preserve">Converts at the bank rate to the card account or the customer's own bank account, and asks to confirm</t>
  </si>
  <si>
    <t xml:space="preserve">Rate from the bank; payout only to accounts in the customer's own name</t>
  </si>
  <si>
    <t xml:space="preserve">PM-07-007</t>
  </si>
  <si>
    <t xml:space="preserve">Use points on my bill every month</t>
  </si>
  <si>
    <t xml:space="preserve">Every month</t>
  </si>
  <si>
    <t xml:space="preserve">Just use my points on the bill every month</t>
  </si>
  <si>
    <t xml:space="preserve">Sets a standing instruction, shows how it sits alongside their automatic payment, and how to stop it</t>
  </si>
  <si>
    <t xml:space="preserve">Customer consent recorded; the automatic payment still covers any remaining amount</t>
  </si>
  <si>
    <t xml:space="preserve">Automatic payment: Direct Debit (UK), direct debit (EU, AE), auto-debit (IN, MY), GIRO (SG)</t>
  </si>
  <si>
    <t xml:space="preserve">PM-07-008</t>
  </si>
  <si>
    <t xml:space="preserve">Undo a points credit</t>
  </si>
  <si>
    <t xml:space="preserve">Can I have the points back instead of the bill credit?</t>
  </si>
  <si>
    <t xml:space="preserve">Explains whether the bank can reverse it and hands to a person if it can</t>
  </si>
  <si>
    <t xml:space="preserve">PM-07-009</t>
  </si>
  <si>
    <t xml:space="preserve">Use points when the statement arrives</t>
  </si>
  <si>
    <t xml:space="preserve">Statement out</t>
  </si>
  <si>
    <t xml:space="preserve">Says the statement is out and how much of it their points could cover, if they want to</t>
  </si>
  <si>
    <t xml:space="preserve">Moment, PaymentDue</t>
  </si>
  <si>
    <t xml:space="preserve">Notification consent; figures from the bank; no pressure</t>
  </si>
  <si>
    <t xml:space="preserve">PM-07-010</t>
  </si>
  <si>
    <t xml:space="preserve">Find a missing points credit</t>
  </si>
  <si>
    <t xml:space="preserve">Credit not showing</t>
  </si>
  <si>
    <t xml:space="preserve">I used points on my bill but the balance hasn't changed</t>
  </si>
  <si>
    <t xml:space="preserve">Shows when the credit was requested and the bank's posting time, and raises it if late</t>
  </si>
  <si>
    <t xml:space="preserve">Posting by the bank</t>
  </si>
  <si>
    <t xml:space="preserve">PM-07-011</t>
  </si>
  <si>
    <t xml:space="preserve">Understand a late fee after using points</t>
  </si>
  <si>
    <t xml:space="preserve">Credit posted after due date</t>
  </si>
  <si>
    <t xml:space="preserve">I used points, why have I been charged a late fee?</t>
  </si>
  <si>
    <t xml:space="preserve">Explains the timing and hands to a person to review the fee</t>
  </si>
  <si>
    <t xml:space="preserve">PaymentDue, StateCard, Handoff</t>
  </si>
  <si>
    <t xml:space="preserve">Fee refunds are the bank's decision</t>
  </si>
  <si>
    <t xml:space="preserve">PM-07-012</t>
  </si>
  <si>
    <t xml:space="preserve">Use points when behind on payments</t>
  </si>
  <si>
    <t xml:space="preserve">Account overdue</t>
  </si>
  <si>
    <t xml:space="preserve">Why can't I use my points on the bill? I'm struggling this month</t>
  </si>
  <si>
    <t xml:space="preserve">Explains the bank's rule plainly and offers a person trained to help with money worries</t>
  </si>
  <si>
    <t xml:space="preserve">Customers who need more care go to a trained person; rules from the bank</t>
  </si>
  <si>
    <t xml:space="preserve">IV-01-001</t>
  </si>
  <si>
    <t xml:space="preserve">Understand points into gold</t>
  </si>
  <si>
    <t xml:space="preserve">What does turning points into gold mean?</t>
  </si>
  <si>
    <t xml:space="preserve">Explains in plain words that points buy a gold amount held by a partner, and that its value goes up and down</t>
  </si>
  <si>
    <t xml:space="preserve">Answer, NEW: RiskDisclosure</t>
  </si>
  <si>
    <t xml:space="preserve">Information only until legal signs off per market; no personal advice; risk wording fixed by compliance</t>
  </si>
  <si>
    <t xml:space="preserve">IN: SEBI has cautioned that digital gold sits outside its regulation (to confirm current position); product form and licence in UK, EU, SG, MY and AE to confirm</t>
  </si>
  <si>
    <t xml:space="preserve">IV-01-002</t>
  </si>
  <si>
    <t xml:space="preserve">Market not live</t>
  </si>
  <si>
    <t xml:space="preserve">Not offered here</t>
  </si>
  <si>
    <t xml:space="preserve">Can I buy gold with my points?</t>
  </si>
  <si>
    <t xml:space="preserve">Says it is not offered in their market yet and offers other uses for the points</t>
  </si>
  <si>
    <t xml:space="preserve">Market switch; no workaround offered</t>
  </si>
  <si>
    <t xml:space="preserve">Availability per market (to confirm)</t>
  </si>
  <si>
    <t xml:space="preserve">IV-01-003</t>
  </si>
  <si>
    <t xml:space="preserve">Hear about gold on a festival day</t>
  </si>
  <si>
    <t xml:space="preserve">Traditional gold-buying day</t>
  </si>
  <si>
    <t xml:space="preserve">Mentions gold is available for points around the festival, with the risk line</t>
  </si>
  <si>
    <t xml:space="preserve">Moment, OfferCard, NEW: RiskDisclosure</t>
  </si>
  <si>
    <t xml:space="preserve">Only where financial promotion rules allow; marketing consent</t>
  </si>
  <si>
    <t xml:space="preserve">IN: Dhanteras and Akshaya Tritiya are traditional gold-buying days; promotion rules to confirm. UK: financial promotions need approval (to confirm)</t>
  </si>
  <si>
    <t xml:space="preserve">IV-01-004</t>
  </si>
  <si>
    <t xml:space="preserve">See how much gold my points buy</t>
  </si>
  <si>
    <t xml:space="preserve">How much gold would 20,000 points get me?</t>
  </si>
  <si>
    <t xml:space="preserve">Gives a live quote: amount of gold, price per gram, spread and fees, and how long the quote holds</t>
  </si>
  <si>
    <t xml:space="preserve">PriceLines, NEW: PriceChart</t>
  </si>
  <si>
    <t xml:space="preserve">Price and spread from the partner; quote expires; points rate from the bank</t>
  </si>
  <si>
    <t xml:space="preserve">IV-01-005</t>
  </si>
  <si>
    <t xml:space="preserve">Ask whether to buy gold</t>
  </si>
  <si>
    <t xml:space="preserve">Asks for advice</t>
  </si>
  <si>
    <t xml:space="preserve">Should I put my points into gold?</t>
  </si>
  <si>
    <t xml:space="preserve">Does not advise; sets out the facts and risks, including that value can fall, and offers a licensed adviser where one is available</t>
  </si>
  <si>
    <t xml:space="preserve">Answer, NEW: RiskDisclosure, Handoff</t>
  </si>
  <si>
    <t xml:space="preserve">No personal advice; suitability only by a licensed partner</t>
  </si>
  <si>
    <t xml:space="preserve">IV-01-006</t>
  </si>
  <si>
    <t xml:space="preserve">Check the gold is Shariah compliant</t>
  </si>
  <si>
    <t xml:space="preserve">Islamic finance</t>
  </si>
  <si>
    <t xml:space="preserve">Is this gold Shariah compliant?</t>
  </si>
  <si>
    <t xml:space="preserve">Shows the partner's certification if it has one, or says plainly it does not</t>
  </si>
  <si>
    <t xml:space="preserve">Only certified claims</t>
  </si>
  <si>
    <t xml:space="preserve">MY, AE: Shariah certification matters to many customers; only certified claims (to confirm per partner). Arabic content needs native review</t>
  </si>
  <si>
    <t xml:space="preserve">IV-01-007</t>
  </si>
  <si>
    <t xml:space="preserve">Put points into gold</t>
  </si>
  <si>
    <t xml:space="preserve">Identity checked</t>
  </si>
  <si>
    <t xml:space="preserve">Put 25,000 points into gold</t>
  </si>
  <si>
    <t xml:space="preserve">Gets a fresh quote, shows the risk statement and fees, and asks to confirm</t>
  </si>
  <si>
    <t xml:space="preserve">PriceLines, NEW: RiskDisclosure, ConfirmSheet, Receipt</t>
  </si>
  <si>
    <t xml:space="preserve">Re-price at confirm; points taken only when the partner confirms; any cooling-off per market</t>
  </si>
  <si>
    <t xml:space="preserve">Confirm: Face ID (UK, EU, AE, SG), one-time code (IN), bank-app approval (MY). IN: SEBI has cautioned that digital gold sits outside its regulation (to confirm current position); product form and licence in UK, EU, SG, MY and AE to confirm</t>
  </si>
  <si>
    <t xml:space="preserve">IV-01-008</t>
  </si>
  <si>
    <t xml:space="preserve">(taps confirm after the quote ran out)</t>
  </si>
  <si>
    <t xml:space="preserve">Says the price has moved, shows the new amount of gold and asks again</t>
  </si>
  <si>
    <t xml:space="preserve">StateCard, PriceLines, ConfirmSheet</t>
  </si>
  <si>
    <t xml:space="preserve">Never fill at an old quote</t>
  </si>
  <si>
    <t xml:space="preserve">IV-01-009</t>
  </si>
  <si>
    <t xml:space="preserve">Put 5,000 points into gold</t>
  </si>
  <si>
    <t xml:space="preserve">Says it is below the partner minimum and shows the smallest amount allowed</t>
  </si>
  <si>
    <t xml:space="preserve">StateCard, PointsSlider</t>
  </si>
  <si>
    <t xml:space="preserve">Minimum from the partner</t>
  </si>
  <si>
    <t xml:space="preserve">IV-01-010</t>
  </si>
  <si>
    <t xml:space="preserve">Cancel a gold purchase</t>
  </si>
  <si>
    <t xml:space="preserve">Just bought</t>
  </si>
  <si>
    <t xml:space="preserve">I've changed my mind about the gold</t>
  </si>
  <si>
    <t xml:space="preserve">Explains whether a cooling-off right exists here and, if so, what comes back at today's price</t>
  </si>
  <si>
    <t xml:space="preserve">Cancellation rights and price from the partner terms</t>
  </si>
  <si>
    <t xml:space="preserve">Cooling-off rights per market (to confirm)</t>
  </si>
  <si>
    <t xml:space="preserve">IV-01-011</t>
  </si>
  <si>
    <t xml:space="preserve">Chase a gold sale payout</t>
  </si>
  <si>
    <t xml:space="preserve">Payout late</t>
  </si>
  <si>
    <t xml:space="preserve">I sold my gold three days ago and no money yet</t>
  </si>
  <si>
    <t xml:space="preserve">Shows the sale record and the partner's payout time, and hands to a person if late</t>
  </si>
  <si>
    <t xml:space="preserve">Payout by the partner</t>
  </si>
  <si>
    <t xml:space="preserve">IV-01-012</t>
  </si>
  <si>
    <t xml:space="preserve">Check my gold is safe</t>
  </si>
  <si>
    <t xml:space="preserve">Partner in trouble</t>
  </si>
  <si>
    <t xml:space="preserve">Is my gold safe if the company goes bust?</t>
  </si>
  <si>
    <t xml:space="preserve">Explains how the gold is stored and held for them, quoting the partner's own documents, and hands to a person for more</t>
  </si>
  <si>
    <t xml:space="preserve">Only the partner's documented custody terms</t>
  </si>
  <si>
    <t xml:space="preserve">IV-01-013</t>
  </si>
  <si>
    <t xml:space="preserve">Buy gold without understanding it</t>
  </si>
  <si>
    <t xml:space="preserve">Signs of vulnerability</t>
  </si>
  <si>
    <t xml:space="preserve">I don't really get it but I need money fast, will gold help?</t>
  </si>
  <si>
    <t xml:space="preserve">Slows down, does not sell, explains gold is not quick money, and offers a person</t>
  </si>
  <si>
    <t xml:space="preserve">Vulnerability rules from the bank override any sale</t>
  </si>
  <si>
    <t xml:space="preserve">UK: FCA Consumer Duty and vulnerable customer guidance apply (to confirm scope)</t>
  </si>
  <si>
    <t xml:space="preserve">IV-01-014</t>
  </si>
  <si>
    <t xml:space="preserve">Sell my gold</t>
  </si>
  <si>
    <t xml:space="preserve">Cash out</t>
  </si>
  <si>
    <t xml:space="preserve">Gives a sell quote, shows where the money goes and asks to confirm</t>
  </si>
  <si>
    <t xml:space="preserve">NEW: HoldingsCard, PriceLines, ConfirmSheet, Receipt</t>
  </si>
  <si>
    <t xml:space="preserve">Sell price from the partner; payout only to an account in the customer's own name</t>
  </si>
  <si>
    <t xml:space="preserve">IV-01-015</t>
  </si>
  <si>
    <t xml:space="preserve">Take my gold as a coin</t>
  </si>
  <si>
    <t xml:space="preserve">Physical delivery</t>
  </si>
  <si>
    <t xml:space="preserve">Can I get it as a coin instead?</t>
  </si>
  <si>
    <t xml:space="preserve">Shows the minimum, making and delivery charges and asks to confirm</t>
  </si>
  <si>
    <t xml:space="preserve">ProductCard, PriceLines, ConfirmSheet</t>
  </si>
  <si>
    <t xml:space="preserve">Charges from the partner; insured delivery</t>
  </si>
  <si>
    <t xml:space="preserve">IN: GST applies to gold (to confirm rate and who charges it)</t>
  </si>
  <si>
    <t xml:space="preserve">IV-01-016</t>
  </si>
  <si>
    <t xml:space="preserve">Pass the identity check</t>
  </si>
  <si>
    <t xml:space="preserve">First purchase</t>
  </si>
  <si>
    <t xml:space="preserve">(first gold purchase)</t>
  </si>
  <si>
    <t xml:space="preserve">Explains an identity check is needed with the gold partner and starts it with the customer's consent</t>
  </si>
  <si>
    <t xml:space="preserve">NEW: KycCheck, Steps</t>
  </si>
  <si>
    <t xml:space="preserve">Identity check by the licensed partner; data shared only with consent</t>
  </si>
  <si>
    <t xml:space="preserve">Data laws: UK GDPR, EU GDPR, India DPDP Act, Singapore PDPA, Malaysia PDPA, UAE PDPL. IN: PAN may be needed (to confirm)</t>
  </si>
  <si>
    <t xml:space="preserve">IV-01-017</t>
  </si>
  <si>
    <t xml:space="preserve">See my gold</t>
  </si>
  <si>
    <t xml:space="preserve">How much gold have I got?</t>
  </si>
  <si>
    <t xml:space="preserve">Shows grams held and the current value, labelled as indicative</t>
  </si>
  <si>
    <t xml:space="preserve">NEW: HoldingsCard, NEW: PriceChart</t>
  </si>
  <si>
    <t xml:space="preserve">Holding and price from the partner; dated</t>
  </si>
  <si>
    <t xml:space="preserve">IV-01-018</t>
  </si>
  <si>
    <t xml:space="preserve">Get a gold statement for tax</t>
  </si>
  <si>
    <t xml:space="preserve">I need a statement of my gold for my tax return</t>
  </si>
  <si>
    <t xml:space="preserve">Sends the statement of buys, sells and holdings from the partner</t>
  </si>
  <si>
    <t xml:space="preserve">Receipt, SendTo</t>
  </si>
  <si>
    <t xml:space="preserve">Statement from the partner; no tax advice</t>
  </si>
  <si>
    <t xml:space="preserve">Tax on gains per market (to confirm)</t>
  </si>
  <si>
    <t xml:space="preserve">IV-02-001</t>
  </si>
  <si>
    <t xml:space="preserve">Understand points into shares</t>
  </si>
  <si>
    <t xml:space="preserve">Can I turn my points into shares?</t>
  </si>
  <si>
    <t xml:space="preserve">Explains how it works through a licensed partner, that value can fall, and what it costs</t>
  </si>
  <si>
    <t xml:space="preserve">Needs a licence per market (to confirm): FCA (UK), national regulator under MiFID II (EU), SEBI (IN), MAS (SG), Securities Commission (MY), SCA, or DFSA and FSRA in the free zones (AE)</t>
  </si>
  <si>
    <t xml:space="preserve">IV-02-002</t>
  </si>
  <si>
    <t xml:space="preserve">Buy shares with my points</t>
  </si>
  <si>
    <t xml:space="preserve">Says it is not offered in their market yet, with no workaround</t>
  </si>
  <si>
    <t xml:space="preserve">Market switch</t>
  </si>
  <si>
    <t xml:space="preserve">IV-02-003</t>
  </si>
  <si>
    <t xml:space="preserve">Find a particular share</t>
  </si>
  <si>
    <t xml:space="preserve">Company known</t>
  </si>
  <si>
    <t xml:space="preserve">Find Northwind Energy shares</t>
  </si>
  <si>
    <t xml:space="preserve">Shows the share price, a price chart and fees, with no opinion</t>
  </si>
  <si>
    <t xml:space="preserve">ProductCard, NEW: PriceChart</t>
  </si>
  <si>
    <t xml:space="preserve">Prices from the partner; no picks or rankings by the model</t>
  </si>
  <si>
    <t xml:space="preserve">IV-02-004</t>
  </si>
  <si>
    <t xml:space="preserve">Ask which share to buy</t>
  </si>
  <si>
    <t xml:space="preserve">Which share should I buy?</t>
  </si>
  <si>
    <t xml:space="preserve">Does not pick; explains it cannot advise and offers a licensed adviser where one is available</t>
  </si>
  <si>
    <t xml:space="preserve">No personal advice; no tips</t>
  </si>
  <si>
    <t xml:space="preserve">IV-02-005</t>
  </si>
  <si>
    <t xml:space="preserve">Buy shares with points</t>
  </si>
  <si>
    <t xml:space="preserve">Whole shares</t>
  </si>
  <si>
    <t xml:space="preserve">Buy two Northwind shares with points</t>
  </si>
  <si>
    <t xml:space="preserve">Gets a fresh quote, shows fees and the risk line, and asks to confirm</t>
  </si>
  <si>
    <t xml:space="preserve">Points-to-cash rate from the bank; order placed by the partner; price can move until filled</t>
  </si>
  <si>
    <t xml:space="preserve">IV-02-006</t>
  </si>
  <si>
    <t xml:space="preserve">Buy part of a share</t>
  </si>
  <si>
    <t xml:space="preserve">Small balance</t>
  </si>
  <si>
    <t xml:space="preserve">I've only got 5,000 points, can I buy part of a share?</t>
  </si>
  <si>
    <t xml:space="preserve">Offers a part share where the partner and market allow, or says it cannot</t>
  </si>
  <si>
    <t xml:space="preserve">PriceLines, ConfirmSheet, StateCard</t>
  </si>
  <si>
    <t xml:space="preserve">Fractional shares only if the partner offers them</t>
  </si>
  <si>
    <t xml:space="preserve">IN: fractional shares not offered on Indian exchanges (to confirm). UK, EU: offered by some brokers (to confirm)</t>
  </si>
  <si>
    <t xml:space="preserve">IV-02-007</t>
  </si>
  <si>
    <t xml:space="preserve">Market closed</t>
  </si>
  <si>
    <t xml:space="preserve">(order placed on a Sunday)</t>
  </si>
  <si>
    <t xml:space="preserve">Explains the order waits until the market opens at an unknown price, and offers to cancel before then</t>
  </si>
  <si>
    <t xml:space="preserve">Order type and cancellation from the partner</t>
  </si>
  <si>
    <t xml:space="preserve">IV-02-008</t>
  </si>
  <si>
    <t xml:space="preserve">Order not filled</t>
  </si>
  <si>
    <t xml:space="preserve">Did my order go through?</t>
  </si>
  <si>
    <t xml:space="preserve">Shows the order status and, if unfilled, that the points have come back</t>
  </si>
  <si>
    <t xml:space="preserve">Status, StateCard, Receipt</t>
  </si>
  <si>
    <t xml:space="preserve">Status from the partner; points returned under bank rules</t>
  </si>
  <si>
    <t xml:space="preserve">IV-02-009</t>
  </si>
  <si>
    <t xml:space="preserve">Cancel a pending order</t>
  </si>
  <si>
    <t xml:space="preserve">Order not yet filled</t>
  </si>
  <si>
    <t xml:space="preserve">Cancel my share order</t>
  </si>
  <si>
    <t xml:space="preserve">Cancels the order if it has not filled yet and confirms the points have come back</t>
  </si>
  <si>
    <t xml:space="preserve">Status, ConfirmSheet, Toast</t>
  </si>
  <si>
    <t xml:space="preserve">Cancellation only while the partner shows the order open</t>
  </si>
  <si>
    <t xml:space="preserve">IV-02-010</t>
  </si>
  <si>
    <t xml:space="preserve">Pass the investment check</t>
  </si>
  <si>
    <t xml:space="preserve">First trade</t>
  </si>
  <si>
    <t xml:space="preserve">Check failed</t>
  </si>
  <si>
    <t xml:space="preserve">It says I can't buy shares</t>
  </si>
  <si>
    <t xml:space="preserve">Explains the partner has said this product is not a fit, without arguing, and shows other uses for the points</t>
  </si>
  <si>
    <t xml:space="preserve">Partner's decision stands; no retry coaching</t>
  </si>
  <si>
    <t xml:space="preserve">IV-02-011</t>
  </si>
  <si>
    <t xml:space="preserve">Complain about losing value</t>
  </si>
  <si>
    <t xml:space="preserve">Value fell</t>
  </si>
  <si>
    <t xml:space="preserve">My shares are worth less than my points were</t>
  </si>
  <si>
    <t xml:space="preserve">Explains value can fall, logs a complaint if they want one, and hands to a person with the complaint route</t>
  </si>
  <si>
    <t xml:space="preserve">Complaints handled by the partner and bank</t>
  </si>
  <si>
    <t xml:space="preserve">Complaint routes differ (to confirm): Financial Ombudsman Service (UK), SEBI SCORES (IN), FIDReC (SG), Ombudsman for Financial Services (MY), national bodies (EU), regulator complaint routes (AE)</t>
  </si>
  <si>
    <t xml:space="preserve">IV-02-012</t>
  </si>
  <si>
    <t xml:space="preserve">Stop a risky trade</t>
  </si>
  <si>
    <t xml:space="preserve">Put everything into one share, I need to win back what I lost</t>
  </si>
  <si>
    <t xml:space="preserve">Pauses, places no order, and offers a person to talk to</t>
  </si>
  <si>
    <t xml:space="preserve">Vulnerability rules from the bank override any order</t>
  </si>
  <si>
    <t xml:space="preserve">IV-02-013</t>
  </si>
  <si>
    <t xml:space="preserve">Know my order went through</t>
  </si>
  <si>
    <t xml:space="preserve">Order placed</t>
  </si>
  <si>
    <t xml:space="preserve">Tells them the order filled, at what price, and the shares now held</t>
  </si>
  <si>
    <t xml:space="preserve">Toast, Receipt, NEW: HoldingsCard</t>
  </si>
  <si>
    <t xml:space="preserve">Fill price from the partner</t>
  </si>
  <si>
    <t xml:space="preserve">IV-02-014</t>
  </si>
  <si>
    <t xml:space="preserve">Sell my shares</t>
  </si>
  <si>
    <t xml:space="preserve">Sell my Northwind shares</t>
  </si>
  <si>
    <t xml:space="preserve">Gives the live price, fees and where the money goes, and asks to confirm</t>
  </si>
  <si>
    <t xml:space="preserve">Order by the partner; payout only to an account in the customer's own name</t>
  </si>
  <si>
    <t xml:space="preserve">IV-02-015</t>
  </si>
  <si>
    <t xml:space="preserve">Open or link an investment account</t>
  </si>
  <si>
    <t xml:space="preserve">No account yet</t>
  </si>
  <si>
    <t xml:space="preserve">I don't have a trading account</t>
  </si>
  <si>
    <t xml:space="preserve">Explains the partner's account opening and identity check and hands over where it cannot be done in chat</t>
  </si>
  <si>
    <t xml:space="preserve">NEW: KycCheck, Steps, Handoff</t>
  </si>
  <si>
    <t xml:space="preserve">Account opening by the licensed partner; consent to share data</t>
  </si>
  <si>
    <t xml:space="preserve">Data laws: UK GDPR, EU GDPR, India DPDP Act, Singapore PDPA, Malaysia PDPA, UAE PDPL. IN: demat account and KYC needed (to confirm). MY: CDS account needed (to confirm)</t>
  </si>
  <si>
    <t xml:space="preserve">IV-02-016</t>
  </si>
  <si>
    <t xml:space="preserve">(first share purchase)</t>
  </si>
  <si>
    <t xml:space="preserve">Runs the partner's short questionnaire and shows the outcome in plain words</t>
  </si>
  <si>
    <t xml:space="preserve">NEW: SuitabilityQuiz</t>
  </si>
  <si>
    <t xml:space="preserve">Questions and pass rules set by the licensed partner, never by the model</t>
  </si>
  <si>
    <t xml:space="preserve">EU: MiFID II appropriateness test (to confirm). UK: FCA rules (to confirm). Other markets to confirm</t>
  </si>
  <si>
    <t xml:space="preserve">IV-02-017</t>
  </si>
  <si>
    <t xml:space="preserve">See my shares</t>
  </si>
  <si>
    <t xml:space="preserve">How are my shares doing?</t>
  </si>
  <si>
    <t xml:space="preserve">Shows holdings, value now and change since buying, dated</t>
  </si>
  <si>
    <t xml:space="preserve">Values from the partner</t>
  </si>
  <si>
    <t xml:space="preserve">IV-02-018</t>
  </si>
  <si>
    <t xml:space="preserve">Check for dividends</t>
  </si>
  <si>
    <t xml:space="preserve">Did I get a dividend?</t>
  </si>
  <si>
    <t xml:space="preserve">Shows dividends paid and where the money went</t>
  </si>
  <si>
    <t xml:space="preserve">IV-02-019</t>
  </si>
  <si>
    <t xml:space="preserve">Put shares in a tax-free account</t>
  </si>
  <si>
    <t xml:space="preserve">Tax wrapper</t>
  </si>
  <si>
    <t xml:space="preserve">Can these go into my ISA?</t>
  </si>
  <si>
    <t xml:space="preserve">Says whether the partner offers it and points to the official rules; no tax advice</t>
  </si>
  <si>
    <t xml:space="preserve">UK: whether points-funded investments can go in an ISA (to confirm)</t>
  </si>
  <si>
    <t xml:space="preserve">IV-02-020</t>
  </si>
  <si>
    <t xml:space="preserve">Get a shares statement for tax</t>
  </si>
  <si>
    <t xml:space="preserve">I need a statement for my tax return</t>
  </si>
  <si>
    <t xml:space="preserve">Sends the partner's statement of buys, sells and dividends</t>
  </si>
  <si>
    <t xml:space="preserve">From the partner; no tax advice</t>
  </si>
  <si>
    <t xml:space="preserve">Tax on gains and dividends per market (to confirm)</t>
  </si>
  <si>
    <t xml:space="preserve">IV-03-001</t>
  </si>
  <si>
    <t xml:space="preserve">Understand points into funds</t>
  </si>
  <si>
    <t xml:space="preserve">What does putting points into a fund mean?</t>
  </si>
  <si>
    <t xml:space="preserve">Explains a fund in plain words, that value can fall, and what it costs</t>
  </si>
  <si>
    <t xml:space="preserve">IV-03-002</t>
  </si>
  <si>
    <t xml:space="preserve">Can I put points into a fund?</t>
  </si>
  <si>
    <t xml:space="preserve">Says it is not offered in their market yet</t>
  </si>
  <si>
    <t xml:space="preserve">IV-03-003</t>
  </si>
  <si>
    <t xml:space="preserve">See which funds I can pick</t>
  </si>
  <si>
    <t xml:space="preserve">By type</t>
  </si>
  <si>
    <t xml:space="preserve">What funds can I choose from?</t>
  </si>
  <si>
    <t xml:space="preserve">Shows the partner's list with type, risk level from the fund documents and fees, in no ranked order</t>
  </si>
  <si>
    <t xml:space="preserve">ProductCard, Chips, NEW: RiskDisclosure</t>
  </si>
  <si>
    <t xml:space="preserve">Risk level from fund documents; no ranking by the model</t>
  </si>
  <si>
    <t xml:space="preserve">EU, UK: key information document must be shown before buying (to confirm). IN: scheme documents and risk-o-meter (to confirm). SG, MY: fund prospectus and product highlights (to confirm)</t>
  </si>
  <si>
    <t xml:space="preserve">IV-03-004</t>
  </si>
  <si>
    <t xml:space="preserve">Compare two funds</t>
  </si>
  <si>
    <t xml:space="preserve">Two funds</t>
  </si>
  <si>
    <t xml:space="preserve">What's the difference between these two funds?</t>
  </si>
  <si>
    <t xml:space="preserve">Compares facts only: fees, risk level, what they hold, past returns with the fixed warning</t>
  </si>
  <si>
    <t xml:space="preserve">Compare, NEW: RiskDisclosure</t>
  </si>
  <si>
    <t xml:space="preserve">Past performance always with the fixed warning; figures from fund documents</t>
  </si>
  <si>
    <t xml:space="preserve">IV-03-005</t>
  </si>
  <si>
    <t xml:space="preserve">Find a Shariah fund</t>
  </si>
  <si>
    <t xml:space="preserve">Do you have Shariah funds?</t>
  </si>
  <si>
    <t xml:space="preserve">Filters to funds with Shariah certification and shows the certifier</t>
  </si>
  <si>
    <t xml:space="preserve">Chips, ProductCard, Badge</t>
  </si>
  <si>
    <t xml:space="preserve">IV-03-006</t>
  </si>
  <si>
    <t xml:space="preserve">Ask which fund to pick</t>
  </si>
  <si>
    <t xml:space="preserve">Which fund is best for me?</t>
  </si>
  <si>
    <t xml:space="preserve">Does not pick; explains it cannot advise and offers a licensed adviser where available</t>
  </si>
  <si>
    <t xml:space="preserve">No personal advice</t>
  </si>
  <si>
    <t xml:space="preserve">IV-03-007</t>
  </si>
  <si>
    <t xml:space="preserve">Put points into a fund</t>
  </si>
  <si>
    <t xml:space="preserve">One-off</t>
  </si>
  <si>
    <t xml:space="preserve">Put 30,000 points into the global fund</t>
  </si>
  <si>
    <t xml:space="preserve">Shows the key document, fees, the cash value and when units are bought, then asks to confirm</t>
  </si>
  <si>
    <t xml:space="preserve">Points-to-cash rate from the bank; unit price set by the fund after the order</t>
  </si>
  <si>
    <t xml:space="preserve">Confirm: Face ID (UK, EU, AE, SG), one-time code (IN), bank-app approval (MY). EU, UK: key information document must be shown before buying (to confirm). IN: scheme documents and risk-o-meter (to confirm). SG, MY: fund prospectus and product highlights (to confirm)</t>
  </si>
  <si>
    <t xml:space="preserve">IV-03-008</t>
  </si>
  <si>
    <t xml:space="preserve">Put points into a fund every month</t>
  </si>
  <si>
    <t xml:space="preserve">Put 2,000 points in every month</t>
  </si>
  <si>
    <t xml:space="preserve">Sets up a monthly plan, shows the day it runs and how to stop it</t>
  </si>
  <si>
    <t xml:space="preserve">Stepper, Toggle, ConfirmSheet</t>
  </si>
  <si>
    <t xml:space="preserve">Customer consent; stop any time; skips a month if points run short</t>
  </si>
  <si>
    <t xml:space="preserve">IN: similar to a SIP (to confirm how points-funded plans are treated)</t>
  </si>
  <si>
    <t xml:space="preserve">IV-03-009</t>
  </si>
  <si>
    <t xml:space="preserve">Change or stop my monthly plan</t>
  </si>
  <si>
    <t xml:space="preserve">Stop the monthly fund plan</t>
  </si>
  <si>
    <t xml:space="preserve">Stops or changes the plan and confirms nothing more will be taken</t>
  </si>
  <si>
    <t xml:space="preserve">Toggle, Stepper, Toast</t>
  </si>
  <si>
    <t xml:space="preserve">Change takes effect from the next run date</t>
  </si>
  <si>
    <t xml:space="preserve">IV-03-010</t>
  </si>
  <si>
    <t xml:space="preserve">After the daily cut-off</t>
  </si>
  <si>
    <t xml:space="preserve">(order placed late in the day)</t>
  </si>
  <si>
    <t xml:space="preserve">Explains the order will get the next day's price</t>
  </si>
  <si>
    <t xml:space="preserve">Cut-off times from the fund</t>
  </si>
  <si>
    <t xml:space="preserve">IV-03-011</t>
  </si>
  <si>
    <t xml:space="preserve">Understand a fund change</t>
  </si>
  <si>
    <t xml:space="preserve">Fund closing or merging</t>
  </si>
  <si>
    <t xml:space="preserve">Tells them the fund is closing or merging, what happens to their units and by when, and offers a person</t>
  </si>
  <si>
    <t xml:space="preserve">StickyNote, Handoff</t>
  </si>
  <si>
    <t xml:space="preserve">From the fund's notice; no advice</t>
  </si>
  <si>
    <t xml:space="preserve">IV-03-012</t>
  </si>
  <si>
    <t xml:space="preserve">Complain about a fund</t>
  </si>
  <si>
    <t xml:space="preserve">I wasn't told the fund could lose this much</t>
  </si>
  <si>
    <t xml:space="preserve">Logs the complaint and hands to a person with the complaint route</t>
  </si>
  <si>
    <t xml:space="preserve">IV-03-013</t>
  </si>
  <si>
    <t xml:space="preserve">Cash in my fund</t>
  </si>
  <si>
    <t xml:space="preserve">Sell my fund units</t>
  </si>
  <si>
    <t xml:space="preserve">Shows the estimated value, any exit charge and when the money arrives, and asks to confirm</t>
  </si>
  <si>
    <t xml:space="preserve">Exit charges from fund documents; payout only to an account in the customer's own name</t>
  </si>
  <si>
    <t xml:space="preserve">IN: exit loads may apply (to confirm per fund)</t>
  </si>
  <si>
    <t xml:space="preserve">IV-03-014</t>
  </si>
  <si>
    <t xml:space="preserve">Pass the checks for funds</t>
  </si>
  <si>
    <t xml:space="preserve">(first fund purchase)</t>
  </si>
  <si>
    <t xml:space="preserve">Runs the partner's identity check and questionnaire and shows the result</t>
  </si>
  <si>
    <t xml:space="preserve">NEW: KycCheck, NEW: SuitabilityQuiz</t>
  </si>
  <si>
    <t xml:space="preserve">Checks by the licensed partner; data shared with consent</t>
  </si>
  <si>
    <t xml:space="preserve">Data laws: UK GDPR, EU GDPR, India DPDP Act, Singapore PDPA, Malaysia PDPA, UAE PDPL. IN: KYC with a registered distributor (to confirm)</t>
  </si>
  <si>
    <t xml:space="preserve">IV-03-015</t>
  </si>
  <si>
    <t xml:space="preserve">See my funds</t>
  </si>
  <si>
    <t xml:space="preserve">How are my funds doing?</t>
  </si>
  <si>
    <t xml:space="preserve">Shows units, latest price and value, dated</t>
  </si>
  <si>
    <t xml:space="preserve">Unit prices from the partner</t>
  </si>
  <si>
    <t xml:space="preserve">IV-03-016</t>
  </si>
  <si>
    <t xml:space="preserve">Get a funds statement for tax</t>
  </si>
  <si>
    <t xml:space="preserve">Send me a statement of my funds for the year</t>
  </si>
  <si>
    <t xml:space="preserve">Sends the partner's yearly statement</t>
  </si>
  <si>
    <t xml:space="preserve">IV-04-001</t>
  </si>
  <si>
    <t xml:space="preserve">Understand points into savings</t>
  </si>
  <si>
    <t xml:space="preserve">Can I put my points into my savings account?</t>
  </si>
  <si>
    <t xml:space="preserve">Explains points turn into money at the bank rate and go into their own savings account</t>
  </si>
  <si>
    <t xml:space="preserve">Rate and eligible accounts from the bank</t>
  </si>
  <si>
    <t xml:space="preserve">IV-04-002</t>
  </si>
  <si>
    <t xml:space="preserve">Compare savings with other uses</t>
  </si>
  <si>
    <t xml:space="preserve">Is savings better than using points on my bill?</t>
  </si>
  <si>
    <t xml:space="preserve">Compares what the same points give each way, facts only</t>
  </si>
  <si>
    <t xml:space="preserve">Values from bank rates; no advice</t>
  </si>
  <si>
    <t xml:space="preserve">IV-04-003</t>
  </si>
  <si>
    <t xml:space="preserve">Check the savings is Shariah compliant</t>
  </si>
  <si>
    <t xml:space="preserve">Is it an Islamic savings account?</t>
  </si>
  <si>
    <t xml:space="preserve">Shows the account type and certification the bank has</t>
  </si>
  <si>
    <t xml:space="preserve">IV-04-004</t>
  </si>
  <si>
    <t xml:space="preserve">Move points into savings</t>
  </si>
  <si>
    <t xml:space="preserve">Own account at this bank</t>
  </si>
  <si>
    <t xml:space="preserve">Put 20,000 points into my savings</t>
  </si>
  <si>
    <t xml:space="preserve">Shows the money amount, the account it goes to and asks to confirm</t>
  </si>
  <si>
    <t xml:space="preserve">Rate from the bank; account must be in the customer's own name</t>
  </si>
  <si>
    <t xml:space="preserve">IV-04-005</t>
  </si>
  <si>
    <t xml:space="preserve">Open a fixed deposit with points</t>
  </si>
  <si>
    <t xml:space="preserve">Fixed term</t>
  </si>
  <si>
    <t xml:space="preserve">Open a fixed deposit with my points</t>
  </si>
  <si>
    <t xml:space="preserve">Shows the rate, term, early withdrawal terms and protection, then asks to confirm</t>
  </si>
  <si>
    <t xml:space="preserve">Rates, terms and penalties from the bank</t>
  </si>
  <si>
    <t xml:space="preserve">Deposit protection differs: FSCS (UK), national schemes (EU), DICGC (IN), SDIC (SG), PIDM (MY); AE to confirm</t>
  </si>
  <si>
    <t xml:space="preserve">IV-04-006</t>
  </si>
  <si>
    <t xml:space="preserve">Put points towards a savings goal</t>
  </si>
  <si>
    <t xml:space="preserve">Savings goal</t>
  </si>
  <si>
    <t xml:space="preserve">Put my points towards the holiday fund</t>
  </si>
  <si>
    <t xml:space="preserve">Adds the money to their goal and shows the new progress</t>
  </si>
  <si>
    <t xml:space="preserve">Dial, ConfirmSheet</t>
  </si>
  <si>
    <t xml:space="preserve">Goals held by the bank</t>
  </si>
  <si>
    <t xml:space="preserve">IV-04-007</t>
  </si>
  <si>
    <t xml:space="preserve">Sweep points into savings every month</t>
  </si>
  <si>
    <t xml:space="preserve">Move my new points into savings every month</t>
  </si>
  <si>
    <t xml:space="preserve">Sets a monthly sweep and shows how to stop it</t>
  </si>
  <si>
    <t xml:space="preserve">Customer consent; stop any time</t>
  </si>
  <si>
    <t xml:space="preserve">IV-04-008</t>
  </si>
  <si>
    <t xml:space="preserve">Break a fixed deposit early</t>
  </si>
  <si>
    <t xml:space="preserve">Can I take the money out of the deposit early?</t>
  </si>
  <si>
    <t xml:space="preserve">Shows the early withdrawal penalty and the amount they would get, and asks to confirm</t>
  </si>
  <si>
    <t xml:space="preserve">Penalty from the bank's terms</t>
  </si>
  <si>
    <t xml:space="preserve">IV-04-009</t>
  </si>
  <si>
    <t xml:space="preserve">No eligible account</t>
  </si>
  <si>
    <t xml:space="preserve">Put my points in savings</t>
  </si>
  <si>
    <t xml:space="preserve">Says they have no eligible account and offers to show the bank's options through a person or the bank app</t>
  </si>
  <si>
    <t xml:space="preserve">Account opening by the bank, not in chat</t>
  </si>
  <si>
    <t xml:space="preserve">IV-04-010</t>
  </si>
  <si>
    <t xml:space="preserve">Account at another bank</t>
  </si>
  <si>
    <t xml:space="preserve">Account not eligible</t>
  </si>
  <si>
    <t xml:space="preserve">Send it to my savings at another bank</t>
  </si>
  <si>
    <t xml:space="preserve">Explains only accounts with this bank can receive points money</t>
  </si>
  <si>
    <t xml:space="preserve">IV-04-011</t>
  </si>
  <si>
    <t xml:space="preserve">Find a missing savings credit</t>
  </si>
  <si>
    <t xml:space="preserve">Credit not arrived</t>
  </si>
  <si>
    <t xml:space="preserve">The money from my points isn't in my savings</t>
  </si>
  <si>
    <t xml:space="preserve">Shows the request, the bank's posting time and raises it if late</t>
  </si>
  <si>
    <t xml:space="preserve">IV-04-012</t>
  </si>
  <si>
    <t xml:space="preserve">Decide what to do when money is tight</t>
  </si>
  <si>
    <t xml:space="preserve">I'm behind on my card bill, should I put points into savings?</t>
  </si>
  <si>
    <t xml:space="preserve">Explains the options plainly without pushing savings and offers a person trained to help with money worries</t>
  </si>
  <si>
    <t xml:space="preserve">Customers who need more care go to a trained person</t>
  </si>
  <si>
    <t xml:space="preserve">IV-04-013</t>
  </si>
  <si>
    <t xml:space="preserve">Decide what happens when my deposit matures</t>
  </si>
  <si>
    <t xml:space="preserve">Fixed term ending</t>
  </si>
  <si>
    <t xml:space="preserve">Says the fixed deposit matures soon and asks whether to renew at the new rate or pay it out</t>
  </si>
  <si>
    <t xml:space="preserve">StickyNote, PriceLines, ConfirmSheet</t>
  </si>
  <si>
    <t xml:space="preserve">Rates and maturity rules from the bank; default action shown clearly</t>
  </si>
  <si>
    <t xml:space="preserve">IV-04-014</t>
  </si>
  <si>
    <t xml:space="preserve">Turn savings back into points</t>
  </si>
  <si>
    <t xml:space="preserve">Can I turn the money back into points?</t>
  </si>
  <si>
    <t xml:space="preserve">Explains the bank does not reverse this, and the money stays theirs to use</t>
  </si>
  <si>
    <t xml:space="preserve">IV-04-015</t>
  </si>
  <si>
    <t xml:space="preserve">Ask about tax on points money</t>
  </si>
  <si>
    <t xml:space="preserve">Is the money from points taxed?</t>
  </si>
  <si>
    <t xml:space="preserve">Gives no tax advice and points to the official guidance for their market</t>
  </si>
  <si>
    <t xml:space="preserve">Tax treatment per market (to confirm)</t>
  </si>
  <si>
    <t xml:space="preserve">CH-01-001</t>
  </si>
  <si>
    <t xml:space="preserve">Find a charity to give points to</t>
  </si>
  <si>
    <t xml:space="preserve">Which charities can I give my points to?</t>
  </si>
  <si>
    <t xml:space="preserve">Shows verified partner charities by cause, with what the points are worth to them</t>
  </si>
  <si>
    <t xml:space="preserve">NEW: CharityCard, Rail, Chips</t>
  </si>
  <si>
    <t xml:space="preserve">Only verified, registered partner charities</t>
  </si>
  <si>
    <t xml:space="preserve">Charity checks differ (to confirm): Charity Commission, OSCR or CCNI registration (UK), 80G and 12A registration (IN), Commissioner of Charities and IPC status (SG), approved institutions (MY), licensed charities only (AE); EU per country</t>
  </si>
  <si>
    <t xml:space="preserve">CH-01-002</t>
  </si>
  <si>
    <t xml:space="preserve">Give to an emergency appeal</t>
  </si>
  <si>
    <t xml:space="preserve">Disaster appeal</t>
  </si>
  <si>
    <t xml:space="preserve">Tells them about a verified emergency appeal and exactly where the money goes, with no pressure</t>
  </si>
  <si>
    <t xml:space="preserve">Moment, NEW: CharityCard</t>
  </si>
  <si>
    <t xml:space="preserve">Only appeals verified by the bank and partner; marketing consent</t>
  </si>
  <si>
    <t xml:space="preserve">CH-01-003</t>
  </si>
  <si>
    <t xml:space="preserve">Cause</t>
  </si>
  <si>
    <t xml:space="preserve">Something for children's education</t>
  </si>
  <si>
    <t xml:space="preserve">Shows partner charities working on that cause</t>
  </si>
  <si>
    <t xml:space="preserve">NEW: CharityCard, Rail</t>
  </si>
  <si>
    <t xml:space="preserve">Only verified partners; no ranking by the model beyond stated facts</t>
  </si>
  <si>
    <t xml:space="preserve">CH-01-004</t>
  </si>
  <si>
    <t xml:space="preserve">Give 10,000 points to the food bank</t>
  </si>
  <si>
    <t xml:space="preserve">Shows the points, the money the charity receives, says it cannot be undone, and asks to confirm</t>
  </si>
  <si>
    <t xml:space="preserve">NEW: CharityCard, PriceLines, ConfirmSheet, Receipt, CheckPop</t>
  </si>
  <si>
    <t xml:space="preserve">Conversion from the bank; charity receives the stated amount; Irreversible warning must be shown and acknowledged before confirm</t>
  </si>
  <si>
    <t xml:space="preserve">CH-01-005</t>
  </si>
  <si>
    <t xml:space="preserve">Give anonymously</t>
  </si>
  <si>
    <t xml:space="preserve">Can I give without them knowing who I am?</t>
  </si>
  <si>
    <t xml:space="preserve">Lets them choose whether their name goes to the charity, defaulting to not shared</t>
  </si>
  <si>
    <t xml:space="preserve">Consent before any data goes to the charity</t>
  </si>
  <si>
    <t xml:space="preserve">CH-01-006</t>
  </si>
  <si>
    <t xml:space="preserve">Donate points in someone's name</t>
  </si>
  <si>
    <t xml:space="preserve">In memory or in honour</t>
  </si>
  <si>
    <t xml:space="preserve">Give 5,000 points in memory of my grandmother</t>
  </si>
  <si>
    <t xml:space="preserve">Adds a message in their name and can send a card to someone they choose</t>
  </si>
  <si>
    <t xml:space="preserve">SendTo, NEW: CharityCard, ConfirmSheet</t>
  </si>
  <si>
    <t xml:space="preserve">Recipient consent to be contacted; Irreversible warning must be shown and acknowledged before confirm</t>
  </si>
  <si>
    <t xml:space="preserve">CH-01-007</t>
  </si>
  <si>
    <t xml:space="preserve">Give Zakat with points</t>
  </si>
  <si>
    <t xml:space="preserve">Religious giving</t>
  </si>
  <si>
    <t xml:space="preserve">Can I give my Zakat with points?</t>
  </si>
  <si>
    <t xml:space="preserve">Shows verified Zakat partners and says it cannot rule on whether points count, pointing to the partner's own guidance</t>
  </si>
  <si>
    <t xml:space="preserve">Answer, NEW: CharityCard</t>
  </si>
  <si>
    <t xml:space="preserve">No religious rulings by the model; verified partners only</t>
  </si>
  <si>
    <t xml:space="preserve">AE, MY, IN: Zakat partners must be verified (to confirm). Arabic content needs native review</t>
  </si>
  <si>
    <t xml:space="preserve">CH-01-008</t>
  </si>
  <si>
    <t xml:space="preserve">Give expiring points to charity</t>
  </si>
  <si>
    <t xml:space="preserve">Offers, among other uses, to give expiring points to a charity they have given to before</t>
  </si>
  <si>
    <t xml:space="preserve">StickyNote, NEW: CharityCard, Suggestions</t>
  </si>
  <si>
    <t xml:space="preserve">Real expiry dates only; notification consent</t>
  </si>
  <si>
    <t xml:space="preserve">CH-01-009</t>
  </si>
  <si>
    <t xml:space="preserve">Give 20,000 points to the hospice</t>
  </si>
  <si>
    <t xml:space="preserve">Shows the gap and offers to give what they have, or pay the rest by card</t>
  </si>
  <si>
    <t xml:space="preserve">CH-01-010</t>
  </si>
  <si>
    <t xml:space="preserve">Charity partner down</t>
  </si>
  <si>
    <t xml:space="preserve">It says my donation failed</t>
  </si>
  <si>
    <t xml:space="preserve">Says nothing was sent, the points are still there or being returned, and offers to try later</t>
  </si>
  <si>
    <t xml:space="preserve">Points taken only when the partner accepts</t>
  </si>
  <si>
    <t xml:space="preserve">CH-01-011</t>
  </si>
  <si>
    <t xml:space="preserve">Undo a donation</t>
  </si>
  <si>
    <t xml:space="preserve">I gave to the wrong charity</t>
  </si>
  <si>
    <t xml:space="preserve">Explains donations cannot be undone in chat and hands to a person to ask the charity</t>
  </si>
  <si>
    <t xml:space="preserve">Refunds only at the charity's discretion</t>
  </si>
  <si>
    <t xml:space="preserve">CH-01-012</t>
  </si>
  <si>
    <t xml:space="preserve">Understand a charity problem</t>
  </si>
  <si>
    <t xml:space="preserve">Already donated</t>
  </si>
  <si>
    <t xml:space="preserve">Charity suspended</t>
  </si>
  <si>
    <t xml:space="preserve">Tells them the charity has been suspended by the regulator, stops any regular gifts, and offers a person</t>
  </si>
  <si>
    <t xml:space="preserve">Partner status checked daily; regular gifts paused automatically</t>
  </si>
  <si>
    <t xml:space="preserve">CH-01-013</t>
  </si>
  <si>
    <t xml:space="preserve">Check a charity request</t>
  </si>
  <si>
    <t xml:space="preserve">I got a message asking me to donate points to flood victims through a link</t>
  </si>
  <si>
    <t xml:space="preserve">Says the bank does not ask for donations by link, shows the verified appeal if one exists, and offers to report the message</t>
  </si>
  <si>
    <t xml:space="preserve">Never follow the link; fraud route from the bank</t>
  </si>
  <si>
    <t xml:space="preserve">CH-01-014</t>
  </si>
  <si>
    <t xml:space="preserve">See what my donation did</t>
  </si>
  <si>
    <t xml:space="preserve">What did my donation actually do?</t>
  </si>
  <si>
    <t xml:space="preserve">Shows the receipt and the charity's own published update</t>
  </si>
  <si>
    <t xml:space="preserve">Receipt, Answer</t>
  </si>
  <si>
    <t xml:space="preserve">Only the partner's published reports</t>
  </si>
  <si>
    <t xml:space="preserve">CH-01-015</t>
  </si>
  <si>
    <t xml:space="preserve">Check if the bank matches my gift</t>
  </si>
  <si>
    <t xml:space="preserve">Bank matching</t>
  </si>
  <si>
    <t xml:space="preserve">Does the bank match donations?</t>
  </si>
  <si>
    <t xml:space="preserve">Shows any live matching campaign and its limits</t>
  </si>
  <si>
    <t xml:space="preserve">Matching terms from the bank</t>
  </si>
  <si>
    <t xml:space="preserve">CH-02-001</t>
  </si>
  <si>
    <t xml:space="preserve">Give my cashback to charity</t>
  </si>
  <si>
    <t xml:space="preserve">Cashback earned</t>
  </si>
  <si>
    <t xml:space="preserve">Give this month's cashback to the children's hospital</t>
  </si>
  <si>
    <t xml:space="preserve">Shows the cashback amount and asks to confirm the gift</t>
  </si>
  <si>
    <t xml:space="preserve">PriceLines, NEW: CharityCard, ConfirmSheet, Receipt</t>
  </si>
  <si>
    <t xml:space="preserve">Cashback amount from the bank; Irreversible warning must be shown and acknowledged before confirm</t>
  </si>
  <si>
    <t xml:space="preserve">CH-02-002</t>
  </si>
  <si>
    <t xml:space="preserve">Make a one-off gift by card</t>
  </si>
  <si>
    <t xml:space="preserve">Card payment</t>
  </si>
  <si>
    <t xml:space="preserve">Donate £20 to the food bank</t>
  </si>
  <si>
    <t xml:space="preserve">Shows the amount and charity and asks to confirm</t>
  </si>
  <si>
    <t xml:space="preserve">Card payment to a verified partner; how the bank treats the payment (to confirm)</t>
  </si>
  <si>
    <t xml:space="preserve">CH-02-003</t>
  </si>
  <si>
    <t xml:space="preserve">Give every month</t>
  </si>
  <si>
    <t xml:space="preserve">£10 a month to the cancer charity</t>
  </si>
  <si>
    <t xml:space="preserve">Sets up a monthly gift, shows the date it goes and how to stop it</t>
  </si>
  <si>
    <t xml:space="preserve">Stepper, NEW: CharityCard, ConfirmSheet</t>
  </si>
  <si>
    <t xml:space="preserve">Consent recorded; stop any time</t>
  </si>
  <si>
    <t xml:space="preserve">Regular giving by card or Direct Debit (UK), direct debit (EU, AE), auto-debit (IN, MY), GIRO (SG)</t>
  </si>
  <si>
    <t xml:space="preserve">CH-02-004</t>
  </si>
  <si>
    <t xml:space="preserve">Change or stop a monthly gift</t>
  </si>
  <si>
    <t xml:space="preserve">Stop my monthly donation</t>
  </si>
  <si>
    <t xml:space="preserve">Stops it and confirms no more payments will be taken</t>
  </si>
  <si>
    <t xml:space="preserve">Takes effect before the next payment date</t>
  </si>
  <si>
    <t xml:space="preserve">CH-02-005</t>
  </si>
  <si>
    <t xml:space="preserve">It says the donation failed</t>
  </si>
  <si>
    <t xml:space="preserve">Says nothing was taken, gives the reason the bank shares, and offers to try again</t>
  </si>
  <si>
    <t xml:space="preserve">CH-02-006</t>
  </si>
  <si>
    <t xml:space="preserve">Sort out a double donation</t>
  </si>
  <si>
    <t xml:space="preserve">I've been charged twice for the donation</t>
  </si>
  <si>
    <t xml:space="preserve">Shows both payments and hands to a person to get one back</t>
  </si>
  <si>
    <t xml:space="preserve">Refunds through the bank and charity</t>
  </si>
  <si>
    <t xml:space="preserve">CH-02-007</t>
  </si>
  <si>
    <t xml:space="preserve">Get a donation back</t>
  </si>
  <si>
    <t xml:space="preserve">Can I have my donation back?</t>
  </si>
  <si>
    <t xml:space="preserve">Explains the charity's refund policy and hands to a person to ask</t>
  </si>
  <si>
    <t xml:space="preserve">Refunds at the charity's discretion</t>
  </si>
  <si>
    <t xml:space="preserve">CH-02-008</t>
  </si>
  <si>
    <t xml:space="preserve">Stop giving when money is tight</t>
  </si>
  <si>
    <t xml:space="preserve">I can't afford the round-ups right now</t>
  </si>
  <si>
    <t xml:space="preserve">Pauses them straight away and offers a person trained to help with money worries</t>
  </si>
  <si>
    <t xml:space="preserve">Toggle, Handoff</t>
  </si>
  <si>
    <t xml:space="preserve">Customers who need more care go to a trained person; pause immediately</t>
  </si>
  <si>
    <t xml:space="preserve">CH-02-009</t>
  </si>
  <si>
    <t xml:space="preserve">Get a yearly giving summary</t>
  </si>
  <si>
    <t xml:space="preserve">Sends a short year summary of their giving, with receipts one tap away</t>
  </si>
  <si>
    <t xml:space="preserve">Moment, Receipt</t>
  </si>
  <si>
    <t xml:space="preserve">Tax years: 6 April to 5 April (UK), April to March (IN), calendar year (SG, MY); EU per country (to confirm)</t>
  </si>
  <si>
    <t xml:space="preserve">CH-02-010</t>
  </si>
  <si>
    <t xml:space="preserve">Turn on round-ups for charity</t>
  </si>
  <si>
    <t xml:space="preserve">Round up card spend</t>
  </si>
  <si>
    <t xml:space="preserve">Round up my purchases and give the change to charity</t>
  </si>
  <si>
    <t xml:space="preserve">Explains how it works, lets them pick the charity and a monthly cap, and asks to confirm</t>
  </si>
  <si>
    <t xml:space="preserve">Toggle, Stepper, NEW: CharityCard, ConfirmSheet</t>
  </si>
  <si>
    <t xml:space="preserve">Only if the bank supports round-ups; monthly cap set by the customer; consent recorded</t>
  </si>
  <si>
    <t xml:space="preserve">CH-02-011</t>
  </si>
  <si>
    <t xml:space="preserve">Set a limit on round-ups</t>
  </si>
  <si>
    <t xml:space="preserve">Monthly cap</t>
  </si>
  <si>
    <t xml:space="preserve">No more than £10 a month</t>
  </si>
  <si>
    <t xml:space="preserve">Sets the cap and shows what has gone so far this month</t>
  </si>
  <si>
    <t xml:space="preserve">Stepper, Dial</t>
  </si>
  <si>
    <t xml:space="preserve">Cap enforced by the bank</t>
  </si>
  <si>
    <t xml:space="preserve">CH-02-012</t>
  </si>
  <si>
    <t xml:space="preserve">Pause or stop round-ups</t>
  </si>
  <si>
    <t xml:space="preserve">Round-ups on</t>
  </si>
  <si>
    <t xml:space="preserve">Pause the round-ups for now</t>
  </si>
  <si>
    <t xml:space="preserve">Pauses at once and says when or how to restart</t>
  </si>
  <si>
    <t xml:space="preserve">Stops from the next purchase</t>
  </si>
  <si>
    <t xml:space="preserve">CH-02-013</t>
  </si>
  <si>
    <t xml:space="preserve">Change the round-up charity</t>
  </si>
  <si>
    <t xml:space="preserve">Send the round-ups to the animal charity instead</t>
  </si>
  <si>
    <t xml:space="preserve">Switches the charity from the next donation</t>
  </si>
  <si>
    <t xml:space="preserve">NEW: CharityCard, Toast</t>
  </si>
  <si>
    <t xml:space="preserve">Verified partners only</t>
  </si>
  <si>
    <t xml:space="preserve">CH-02-014</t>
  </si>
  <si>
    <t xml:space="preserve">Split round-ups between charities</t>
  </si>
  <si>
    <t xml:space="preserve">Several charities</t>
  </si>
  <si>
    <t xml:space="preserve">Split my round-ups between two charities</t>
  </si>
  <si>
    <t xml:space="preserve">Lets them set the split and confirms</t>
  </si>
  <si>
    <t xml:space="preserve">Segmented, NEW: CharityCard, ConfirmSheet</t>
  </si>
  <si>
    <t xml:space="preserve">CH-02-015</t>
  </si>
  <si>
    <t xml:space="preserve">See how much I have given</t>
  </si>
  <si>
    <t xml:space="preserve">How much have I given this year?</t>
  </si>
  <si>
    <t xml:space="preserve">Shows the total by charity and by type: round-ups, cashback, one-off</t>
  </si>
  <si>
    <t xml:space="preserve">From the bank ledger and partner records</t>
  </si>
  <si>
    <t xml:space="preserve">CH-03-001</t>
  </si>
  <si>
    <t xml:space="preserve">Add Gift Aid</t>
  </si>
  <si>
    <t xml:space="preserve">UK taxpayer</t>
  </si>
  <si>
    <t xml:space="preserve">Add Gift Aid to my donation</t>
  </si>
  <si>
    <t xml:space="preserve">Asks the Gift Aid declaration questions in plain words and records the answer</t>
  </si>
  <si>
    <t xml:space="preserve">NEW: GiftAidDeclaration, ConfirmSheet</t>
  </si>
  <si>
    <t xml:space="preserve">Declaration wording fixed to HMRC rules; customer confirms they pay enough UK tax; eligible donations only</t>
  </si>
  <si>
    <t xml:space="preserve">UK only. Whether Gift Aid applies to points or cashback donations (to confirm)</t>
  </si>
  <si>
    <t xml:space="preserve">CH-03-002</t>
  </si>
  <si>
    <t xml:space="preserve">Why can't I add Gift Aid?</t>
  </si>
  <si>
    <t xml:space="preserve">Explains why this donation does not qualify, for example it was made with points</t>
  </si>
  <si>
    <t xml:space="preserve">Eligibility from HMRC rules as applied by the charity</t>
  </si>
  <si>
    <t xml:space="preserve">UK (to confirm)</t>
  </si>
  <si>
    <t xml:space="preserve">CH-03-003</t>
  </si>
  <si>
    <t xml:space="preserve">Fix a wrong receipt</t>
  </si>
  <si>
    <t xml:space="preserve">Receipt missing or wrong</t>
  </si>
  <si>
    <t xml:space="preserve">The receipt has the wrong name on it</t>
  </si>
  <si>
    <t xml:space="preserve">Asks the charity to reissue and tells them when to expect it</t>
  </si>
  <si>
    <t xml:space="preserve">Reissue by the charity</t>
  </si>
  <si>
    <t xml:space="preserve">CH-03-004</t>
  </si>
  <si>
    <t xml:space="preserve">Work out my tax saving</t>
  </si>
  <si>
    <t xml:space="preserve">Complex tax</t>
  </si>
  <si>
    <t xml:space="preserve">How much tax will I save on all this?</t>
  </si>
  <si>
    <t xml:space="preserve">Gives only the rule facts and totals, and suggests a tax adviser for the rest</t>
  </si>
  <si>
    <t xml:space="preserve">Answer, NEW: TaxSummary</t>
  </si>
  <si>
    <t xml:space="preserve">No tax advice; no estimates of savings</t>
  </si>
  <si>
    <t xml:space="preserve">CH-03-005</t>
  </si>
  <si>
    <t xml:space="preserve">Get a donation receipt</t>
  </si>
  <si>
    <t xml:space="preserve">Send me a receipt for my donation</t>
  </si>
  <si>
    <t xml:space="preserve">Sends the charity receipt with date, amount and charity details</t>
  </si>
  <si>
    <t xml:space="preserve">Receipt issued by the charity partner</t>
  </si>
  <si>
    <t xml:space="preserve">CH-03-006</t>
  </si>
  <si>
    <t xml:space="preserve">Claim higher-rate relief</t>
  </si>
  <si>
    <t xml:space="preserve">Higher-rate taxpayer</t>
  </si>
  <si>
    <t xml:space="preserve">Can I claim extra tax back on my donations?</t>
  </si>
  <si>
    <t xml:space="preserve">Explains extra relief is claimed on the tax return and gives a summary of Gift Aid donations; no tax advice</t>
  </si>
  <si>
    <t xml:space="preserve">No tax advice; totals from partner records</t>
  </si>
  <si>
    <t xml:space="preserve">UK: claimed through Self Assessment (to confirm details)</t>
  </si>
  <si>
    <t xml:space="preserve">CH-03-007</t>
  </si>
  <si>
    <t xml:space="preserve">Get my yearly tax summary</t>
  </si>
  <si>
    <t xml:space="preserve">Tax year ending</t>
  </si>
  <si>
    <t xml:space="preserve">Sends a summary of eligible donations for the tax year with all receipts</t>
  </si>
  <si>
    <t xml:space="preserve">NEW: TaxSummary, Receipt</t>
  </si>
  <si>
    <t xml:space="preserve">Figures from charity receipts; notification consent</t>
  </si>
  <si>
    <t xml:space="preserve">CH-03-008</t>
  </si>
  <si>
    <t xml:space="preserve">Get 80G receipts</t>
  </si>
  <si>
    <t xml:space="preserve">India tax deduction</t>
  </si>
  <si>
    <t xml:space="preserve">I need 80G receipts for my donations</t>
  </si>
  <si>
    <t xml:space="preserve">Collects the charities' 80G receipts and notes the PAN they need to have on file</t>
  </si>
  <si>
    <t xml:space="preserve">Receipt, NEW: TaxSummary</t>
  </si>
  <si>
    <t xml:space="preserve">Receipts from the charity; PAN shared only with consent</t>
  </si>
  <si>
    <t xml:space="preserve">IN: 80G receipt and the charity's donation certificate (Form 10BE); donor PAN needed (to confirm)</t>
  </si>
  <si>
    <t xml:space="preserve">CH-03-009</t>
  </si>
  <si>
    <t xml:space="preserve">Get my donation on my tax record</t>
  </si>
  <si>
    <t xml:space="preserve">Singapore tax deduction</t>
  </si>
  <si>
    <t xml:space="preserve">Will my donation show up on my tax?</t>
  </si>
  <si>
    <t xml:space="preserve">Explains that eligible charities report the donation if they have the donor ID, and asks consent to share it</t>
  </si>
  <si>
    <t xml:space="preserve">Toggle, Answer</t>
  </si>
  <si>
    <t xml:space="preserve">ID shared with the charity only with consent</t>
  </si>
  <si>
    <t xml:space="preserve">SG: donations to IPCs reported by the charity to IRAS when the donor ID is given (to confirm)</t>
  </si>
  <si>
    <t xml:space="preserve">CH-03-010</t>
  </si>
  <si>
    <t xml:space="preserve">Get an official receipt for tax</t>
  </si>
  <si>
    <t xml:space="preserve">Malaysia tax deduction</t>
  </si>
  <si>
    <t xml:space="preserve">I need an official receipt for LHDN</t>
  </si>
  <si>
    <t xml:space="preserve">Gets the official receipt from approved charities and says which are approved</t>
  </si>
  <si>
    <t xml:space="preserve">Receipt, NEW: CharityCard</t>
  </si>
  <si>
    <t xml:space="preserve">Approval status from the partner record</t>
  </si>
  <si>
    <t xml:space="preserve">MY: approved institutions issue official receipts for tax relief (to confirm)</t>
  </si>
  <si>
    <t xml:space="preserve">CH-03-011</t>
  </si>
  <si>
    <t xml:space="preserve">Check tax relief in the UAE</t>
  </si>
  <si>
    <t xml:space="preserve">No personal income tax</t>
  </si>
  <si>
    <t xml:space="preserve">Do I get any tax relief on this?</t>
  </si>
  <si>
    <t xml:space="preserve">Explains there is no personal income tax to relieve and offers the receipt for their records</t>
  </si>
  <si>
    <t xml:space="preserve">AE: no personal income tax (to confirm for their situation)</t>
  </si>
  <si>
    <t xml:space="preserve">CH-03-012</t>
  </si>
  <si>
    <t xml:space="preserve">Check tax relief in my EU country</t>
  </si>
  <si>
    <t xml:space="preserve">EU tax deduction</t>
  </si>
  <si>
    <t xml:space="preserve">Can I deduct this in Ireland?</t>
  </si>
  <si>
    <t xml:space="preserve">Says rules differ by country, gives the receipt and points to the official guidance</t>
  </si>
  <si>
    <t xml:space="preserve">EU: relief rules per country (to confirm)</t>
  </si>
  <si>
    <t xml:space="preserve">CH-03-013</t>
  </si>
  <si>
    <t xml:space="preserve">Send receipts for employer matching</t>
  </si>
  <si>
    <t xml:space="preserve">Employer matching</t>
  </si>
  <si>
    <t xml:space="preserve">Send the receipt to my company so they match it</t>
  </si>
  <si>
    <t xml:space="preserve">Sends the receipt to the address they give</t>
  </si>
  <si>
    <t xml:space="preserve">SendTo, Receipt</t>
  </si>
  <si>
    <t xml:space="preserve">CH-03-014</t>
  </si>
  <si>
    <t xml:space="preserve">Cancel my Gift Aid declaration</t>
  </si>
  <si>
    <t xml:space="preserve">Stopped paying UK tax</t>
  </si>
  <si>
    <t xml:space="preserve">I don't pay UK tax any more, cancel my Gift Aid</t>
  </si>
  <si>
    <t xml:space="preserve">Cancels the declaration from now and tells the charity</t>
  </si>
  <si>
    <t xml:space="preserve">Charity notified; past claims not changed in chat</t>
  </si>
  <si>
    <t xml:space="preserve">UK</t>
  </si>
  <si>
    <t xml:space="preserve">TD-01-001</t>
  </si>
  <si>
    <t xml:space="preserve">Check if I need a visa</t>
  </si>
  <si>
    <t xml:space="preserve">International trip</t>
  </si>
  <si>
    <t xml:space="preserve">Do I need a visa for Japan on an Indian passport?</t>
  </si>
  <si>
    <t xml:space="preserve">Gives the rule for their passport and destination with the official source linked</t>
  </si>
  <si>
    <t xml:space="preserve">Visa rules from an official source only; always linked and dated</t>
  </si>
  <si>
    <t xml:space="preserve">Rules differ by passport and destination</t>
  </si>
  <si>
    <t xml:space="preserve">TD-01-002</t>
  </si>
  <si>
    <t xml:space="preserve">Find places without a visa</t>
  </si>
  <si>
    <t xml:space="preserve">Inspiration</t>
  </si>
  <si>
    <t xml:space="preserve">Where can I go without a visa?</t>
  </si>
  <si>
    <t xml:space="preserve">Shows destinations open to their passport without a visa or with a visa on arrival</t>
  </si>
  <si>
    <t xml:space="preserve">Rail, Polaroid, Answer</t>
  </si>
  <si>
    <t xml:space="preserve">Official source only; dated</t>
  </si>
  <si>
    <t xml:space="preserve">TD-01-003</t>
  </si>
  <si>
    <t xml:space="preserve">Apply for a visa</t>
  </si>
  <si>
    <t xml:space="preserve">E-visa route</t>
  </si>
  <si>
    <t xml:space="preserve">Apply for my Dubai visa</t>
  </si>
  <si>
    <t xml:space="preserve">Shows the checklist, takes document uploads, shows government and service fees separately, and asks to confirm</t>
  </si>
  <si>
    <t xml:space="preserve">NEW: VisaChecklist, NEW: Upload, PriceLines, ConfirmSheet</t>
  </si>
  <si>
    <t xml:space="preserve">Government fee and service fee shown separately; forms filled only with details the customer confirms</t>
  </si>
  <si>
    <t xml:space="preserve">Confirm: Face ID (UK, EU, AE, SG), one-time code (IN), bank-app approval (MY). Data laws: UK GDPR, EU GDPR, India DPDP Act, Singapore PDPA, Malaysia PDPA, UAE PDPL</t>
  </si>
  <si>
    <t xml:space="preserve">TD-01-004</t>
  </si>
  <si>
    <t xml:space="preserve">Pay visa fees with points</t>
  </si>
  <si>
    <t xml:space="preserve">Can I pay the visa fee with points?</t>
  </si>
  <si>
    <t xml:space="preserve">Shows the fee in points and cash, and whether the government fee can be paid with points</t>
  </si>
  <si>
    <t xml:space="preserve">Which fees can be paid with points set by the bank and supplier</t>
  </si>
  <si>
    <t xml:space="preserve">TD-01-005</t>
  </si>
  <si>
    <t xml:space="preserve">Check a transit visa</t>
  </si>
  <si>
    <t xml:space="preserve">Connecting flight</t>
  </si>
  <si>
    <t xml:space="preserve">Do I need a visa to change planes in Frankfurt?</t>
  </si>
  <si>
    <t xml:space="preserve">Checks transit rules for their passport and route, including whether they leave the airport</t>
  </si>
  <si>
    <t xml:space="preserve">Answer, Itinerary</t>
  </si>
  <si>
    <t xml:space="preserve">Official source only</t>
  </si>
  <si>
    <t xml:space="preserve">TD-01-006</t>
  </si>
  <si>
    <t xml:space="preserve">Check visas for the family</t>
  </si>
  <si>
    <t xml:space="preserve">Mixed passports</t>
  </si>
  <si>
    <t xml:space="preserve">I'm on a British passport and my husband is Indian, what do we each need?</t>
  </si>
  <si>
    <t xml:space="preserve">Gives each traveller their own rule and next step</t>
  </si>
  <si>
    <t xml:space="preserve">Answer, Travellers</t>
  </si>
  <si>
    <t xml:space="preserve">Official source per passport</t>
  </si>
  <si>
    <t xml:space="preserve">TD-01-007</t>
  </si>
  <si>
    <t xml:space="preserve">Check an electronic travel permit</t>
  </si>
  <si>
    <t xml:space="preserve">Visa-free but permit needed</t>
  </si>
  <si>
    <t xml:space="preserve">Do I need anything to visit London?</t>
  </si>
  <si>
    <t xml:space="preserve">Checks if they need an electronic travel permit and offers to apply</t>
  </si>
  <si>
    <t xml:space="preserve">Answer, NEW: VisaChecklist</t>
  </si>
  <si>
    <t xml:space="preserve">UK: ETA required for many visa-free visitors (to confirm current list). EU: Entry/Exit System in place; ETIAS start date to confirm</t>
  </si>
  <si>
    <t xml:space="preserve">TD-01-008</t>
  </si>
  <si>
    <t xml:space="preserve">Book a visa appointment</t>
  </si>
  <si>
    <t xml:space="preserve">In-person biometrics</t>
  </si>
  <si>
    <t xml:space="preserve">Book my fingerprint appointment</t>
  </si>
  <si>
    <t xml:space="preserve">Shows open slots at the nearest visa centre and books if the centre allows, or hands over</t>
  </si>
  <si>
    <t xml:space="preserve">TimeSlots, ConfirmSheet, Handoff</t>
  </si>
  <si>
    <t xml:space="preserve">Slots from the visa centre</t>
  </si>
  <si>
    <t xml:space="preserve">TD-01-009</t>
  </si>
  <si>
    <t xml:space="preserve">Check the right visa type</t>
  </si>
  <si>
    <t xml:space="preserve">I'm going for a conference, is a tourist visa enough?</t>
  </si>
  <si>
    <t xml:space="preserve">Explains the official rule on purpose of visit and hands to a person if unclear</t>
  </si>
  <si>
    <t xml:space="preserve">Official source only; no guessing on eligibility</t>
  </si>
  <si>
    <t xml:space="preserve">TD-01-010</t>
  </si>
  <si>
    <t xml:space="preserve">Get a travel consent letter</t>
  </si>
  <si>
    <t xml:space="preserve">Child travelling with one parent</t>
  </si>
  <si>
    <t xml:space="preserve">My son is flying with his dad only, do they need a letter?</t>
  </si>
  <si>
    <t xml:space="preserve">Explains what the destination and airline ask for and links the official guidance</t>
  </si>
  <si>
    <t xml:space="preserve">Official source and airline rules only</t>
  </si>
  <si>
    <t xml:space="preserve">TD-01-011</t>
  </si>
  <si>
    <t xml:space="preserve">Fill in an arrival card</t>
  </si>
  <si>
    <t xml:space="preserve">Arrival card</t>
  </si>
  <si>
    <t xml:space="preserve">Reminds them the destination needs an online arrival card before landing and links the official form</t>
  </si>
  <si>
    <t xml:space="preserve">Toast, Steps</t>
  </si>
  <si>
    <t xml:space="preserve">Official link only; never a paid lookalike site</t>
  </si>
  <si>
    <t xml:space="preserve">SG: SG Arrival Card for visitors. MY: Malaysia Digital Arrival Card. Others to confirm</t>
  </si>
  <si>
    <t xml:space="preserve">TD-01-012</t>
  </si>
  <si>
    <t xml:space="preserve">Check the visa covers my trip</t>
  </si>
  <si>
    <t xml:space="preserve">Booked trip</t>
  </si>
  <si>
    <t xml:space="preserve">Checks visa dates against the booking and warns if they do not cover the whole stay</t>
  </si>
  <si>
    <t xml:space="preserve">StickyNote, Itinerary</t>
  </si>
  <si>
    <t xml:space="preserve">Dates from the visa and the booking</t>
  </si>
  <si>
    <t xml:space="preserve">TD-01-013</t>
  </si>
  <si>
    <t xml:space="preserve">Cancel a visa application</t>
  </si>
  <si>
    <t xml:space="preserve">Trip cancelled</t>
  </si>
  <si>
    <t xml:space="preserve">Cancel my visa application</t>
  </si>
  <si>
    <t xml:space="preserve">Says whether it can still be withdrawn and what fees come back</t>
  </si>
  <si>
    <t xml:space="preserve">Refunds from government and supplier rules only</t>
  </si>
  <si>
    <t xml:space="preserve">TD-01-014</t>
  </si>
  <si>
    <t xml:space="preserve">Track my visa application</t>
  </si>
  <si>
    <t xml:space="preserve">Application sent</t>
  </si>
  <si>
    <t xml:space="preserve">Where's my visa?</t>
  </si>
  <si>
    <t xml:space="preserve">Shows each step of the application and the expected decision date</t>
  </si>
  <si>
    <t xml:space="preserve">NEW: ClaimTracker, Status</t>
  </si>
  <si>
    <t xml:space="preserve">Status from the visa supplier or government portal</t>
  </si>
  <si>
    <t xml:space="preserve">TD-01-015</t>
  </si>
  <si>
    <t xml:space="preserve">Extend my stay</t>
  </si>
  <si>
    <t xml:space="preserve">Already abroad</t>
  </si>
  <si>
    <t xml:space="preserve">Can I extend my visa while I'm here?</t>
  </si>
  <si>
    <t xml:space="preserve">Links the official extension route and hands to a person; no guessing</t>
  </si>
  <si>
    <t xml:space="preserve">TD-01-016</t>
  </si>
  <si>
    <t xml:space="preserve">Document missing</t>
  </si>
  <si>
    <t xml:space="preserve">(upload incomplete)</t>
  </si>
  <si>
    <t xml:space="preserve">Says exactly which document is missing or unreadable and how to fix it</t>
  </si>
  <si>
    <t xml:space="preserve">StateCard, NEW: Upload</t>
  </si>
  <si>
    <t xml:space="preserve">Checklist from the supplier</t>
  </si>
  <si>
    <t xml:space="preserve">TD-01-017</t>
  </si>
  <si>
    <t xml:space="preserve">Travel soon</t>
  </si>
  <si>
    <t xml:space="preserve">Visa late</t>
  </si>
  <si>
    <t xml:space="preserve">Warns the visa may not arrive in time and shows options: move flights, or ask about urgent processing</t>
  </si>
  <si>
    <t xml:space="preserve">StateCard, ChangeFlight, Handoff</t>
  </si>
  <si>
    <t xml:space="preserve">No promise of a decision date; change fees from fare rules</t>
  </si>
  <si>
    <t xml:space="preserve">TD-01-018</t>
  </si>
  <si>
    <t xml:space="preserve">Understand a visa refusal</t>
  </si>
  <si>
    <t xml:space="preserve">Visa refused</t>
  </si>
  <si>
    <t xml:space="preserve">My visa's been refused, what now?</t>
  </si>
  <si>
    <t xml:space="preserve">Explains what the refusal letter says, that fees are usually not refunded, and hands to a person for next steps and bookings</t>
  </si>
  <si>
    <t xml:space="preserve">Official decision stands; booking refunds from supplier terms</t>
  </si>
  <si>
    <t xml:space="preserve">TD-01-019</t>
  </si>
  <si>
    <t xml:space="preserve">Fix a name mismatch</t>
  </si>
  <si>
    <t xml:space="preserve">Name differs between visa and ticket</t>
  </si>
  <si>
    <t xml:space="preserve">My visa has my middle name but the ticket doesn't</t>
  </si>
  <si>
    <t xml:space="preserve">Explains the risk and hands to a person to check with the airline</t>
  </si>
  <si>
    <t xml:space="preserve">Name decisions by the airline and authority</t>
  </si>
  <si>
    <t xml:space="preserve">TD-01-020</t>
  </si>
  <si>
    <t xml:space="preserve">The visa application won't go through</t>
  </si>
  <si>
    <t xml:space="preserve">Says nothing was charged or sent and offers to try again later</t>
  </si>
  <si>
    <t xml:space="preserve">Payment only on successful submission</t>
  </si>
  <si>
    <t xml:space="preserve">TD-02-001</t>
  </si>
  <si>
    <t xml:space="preserve">Choose how to pay abroad</t>
  </si>
  <si>
    <t xml:space="preserve">Comparing options</t>
  </si>
  <si>
    <t xml:space="preserve">Should I get a forex card or just use my credit card in Thailand?</t>
  </si>
  <si>
    <t xml:space="preserve">Compares foreign fees, rates and cash machine costs on their card and on a forex card</t>
  </si>
  <si>
    <t xml:space="preserve">Compare, BenefitRow</t>
  </si>
  <si>
    <t xml:space="preserve">Fees and rates from the bank and partner; facts only</t>
  </si>
  <si>
    <t xml:space="preserve">IN: forex cards common; TCS may apply above a threshold (to confirm)</t>
  </si>
  <si>
    <t xml:space="preserve">TD-02-002</t>
  </si>
  <si>
    <t xml:space="preserve">Get a forex card</t>
  </si>
  <si>
    <t xml:space="preserve">Get me a forex card for my Dubai trip</t>
  </si>
  <si>
    <t xml:space="preserve">Explains the partner's card, fees and identity check, and starts the order</t>
  </si>
  <si>
    <t xml:space="preserve">ProductCard, NEW: KycCheck, ConfirmSheet</t>
  </si>
  <si>
    <t xml:space="preserve">Identity check by the issuer; fees from the partner</t>
  </si>
  <si>
    <t xml:space="preserve">IN: PAN and travel details needed (to confirm)</t>
  </si>
  <si>
    <t xml:space="preserve">TD-02-003</t>
  </si>
  <si>
    <t xml:space="preserve">Load currency</t>
  </si>
  <si>
    <t xml:space="preserve">Existing card</t>
  </si>
  <si>
    <t xml:space="preserve">Load 1,000 dollars onto my forex card</t>
  </si>
  <si>
    <t xml:space="preserve">Shows the rate, the cost in home currency and how long the rate holds, and asks to confirm</t>
  </si>
  <si>
    <t xml:space="preserve">NEW: FxRate, PriceLines, ConfirmSheet, Receipt</t>
  </si>
  <si>
    <t xml:space="preserve">Rate from the bank or partner; quote expires</t>
  </si>
  <si>
    <t xml:space="preserve">TD-02-004</t>
  </si>
  <si>
    <t xml:space="preserve">Rate changed</t>
  </si>
  <si>
    <t xml:space="preserve">(confirm after the quote ran out)</t>
  </si>
  <si>
    <t xml:space="preserve">Shows the new rate and asks again</t>
  </si>
  <si>
    <t xml:space="preserve">StateCard, NEW: FxRate, ConfirmSheet</t>
  </si>
  <si>
    <t xml:space="preserve">Never fill at an old rate</t>
  </si>
  <si>
    <t xml:space="preserve">TD-02-005</t>
  </si>
  <si>
    <t xml:space="preserve">Load currency with points</t>
  </si>
  <si>
    <t xml:space="preserve">Can I use points to load the card?</t>
  </si>
  <si>
    <t xml:space="preserve">Says whether the bank allows it and shows the rate if so</t>
  </si>
  <si>
    <t xml:space="preserve">TD-02-006</t>
  </si>
  <si>
    <t xml:space="preserve">Buy cash currency</t>
  </si>
  <si>
    <t xml:space="preserve">Cash needed</t>
  </si>
  <si>
    <t xml:space="preserve">I need 500 euros in cash by Friday</t>
  </si>
  <si>
    <t xml:space="preserve">Shows collection or delivery options, the rate and cost, and asks to confirm</t>
  </si>
  <si>
    <t xml:space="preserve">NEW: FxRate, PriceLines, TimeSlots, ConfirmSheet</t>
  </si>
  <si>
    <t xml:space="preserve">Rates and delivery from the partner</t>
  </si>
  <si>
    <t xml:space="preserve">Cash limits and ID rules per market (to confirm)</t>
  </si>
  <si>
    <t xml:space="preserve">TD-02-007</t>
  </si>
  <si>
    <t xml:space="preserve">Check card fees before I go</t>
  </si>
  <si>
    <t xml:space="preserve">Before the trip, sets out the card's foreign fees and whether a travel money option would cost less</t>
  </si>
  <si>
    <t xml:space="preserve">StickyNote, BenefitRow</t>
  </si>
  <si>
    <t xml:space="preserve">Fees from the bank; notification consent</t>
  </si>
  <si>
    <t xml:space="preserve">TD-02-008</t>
  </si>
  <si>
    <t xml:space="preserve">Set a rate alert</t>
  </si>
  <si>
    <t xml:space="preserve">Rate target</t>
  </si>
  <si>
    <t xml:space="preserve">Tell me when the dirham gets better</t>
  </si>
  <si>
    <t xml:space="preserve">Sets an alert for the rate they choose</t>
  </si>
  <si>
    <t xml:space="preserve">NEW: FxRate, Toggle, Toast</t>
  </si>
  <si>
    <t xml:space="preserve">Alert fires on the partner's live rate</t>
  </si>
  <si>
    <t xml:space="preserve">TD-02-009</t>
  </si>
  <si>
    <t xml:space="preserve">Check my forex balance</t>
  </si>
  <si>
    <t xml:space="preserve">How much is left on my travel card?</t>
  </si>
  <si>
    <t xml:space="preserve">Shows the balance per currency</t>
  </si>
  <si>
    <t xml:space="preserve">From the issuer</t>
  </si>
  <si>
    <t xml:space="preserve">TD-02-010</t>
  </si>
  <si>
    <t xml:space="preserve">Choose local currency or home currency</t>
  </si>
  <si>
    <t xml:space="preserve">Card machine asks</t>
  </si>
  <si>
    <t xml:space="preserve">The machine's asking if I want to pay in pounds or euros</t>
  </si>
  <si>
    <t xml:space="preserve">Explains paying in the local currency usually avoids the shop's own conversion rate, and shows their card fee</t>
  </si>
  <si>
    <t xml:space="preserve">TD-02-011</t>
  </si>
  <si>
    <t xml:space="preserve">Check cash machine fees</t>
  </si>
  <si>
    <t xml:space="preserve">How much does it cost to take cash out here?</t>
  </si>
  <si>
    <t xml:space="preserve">Shows their card or forex card fee for cash abroad</t>
  </si>
  <si>
    <t xml:space="preserve">Fees from the bank or issuer</t>
  </si>
  <si>
    <t xml:space="preserve">TD-02-012</t>
  </si>
  <si>
    <t xml:space="preserve">Fix a declined card abroad</t>
  </si>
  <si>
    <t xml:space="preserve">Card declined</t>
  </si>
  <si>
    <t xml:space="preserve">My card isn't working in this shop</t>
  </si>
  <si>
    <t xml:space="preserve">Checks balance, blocks and the reason the bank shares, and fixes it or hands to a person</t>
  </si>
  <si>
    <t xml:space="preserve">Decline reason and unblock by the bank</t>
  </si>
  <si>
    <t xml:space="preserve">TD-02-013</t>
  </si>
  <si>
    <t xml:space="preserve">Replace a lost forex card abroad</t>
  </si>
  <si>
    <t xml:space="preserve">Lost or stolen</t>
  </si>
  <si>
    <t xml:space="preserve">I've lost my travel card in Bangkok</t>
  </si>
  <si>
    <t xml:space="preserve">Freezes the card at once, shows the balance is safe, and hands to a person for a replacement or emergency cash where offered</t>
  </si>
  <si>
    <t xml:space="preserve">Freeze by the issuer; replacement per issuer terms</t>
  </si>
  <si>
    <t xml:space="preserve">TD-02-014</t>
  </si>
  <si>
    <t xml:space="preserve">Report a forex card charge I did not make</t>
  </si>
  <si>
    <t xml:space="preserve">There's a charge on my travel card I didn't make</t>
  </si>
  <si>
    <t xml:space="preserve">Freezes the card and hands to the fraud team with the transaction attached</t>
  </si>
  <si>
    <t xml:space="preserve">Fraud handled by the issuer</t>
  </si>
  <si>
    <t xml:space="preserve">TD-02-015</t>
  </si>
  <si>
    <t xml:space="preserve">Fix wrong currency loaded</t>
  </si>
  <si>
    <t xml:space="preserve">Wrong currency</t>
  </si>
  <si>
    <t xml:space="preserve">I loaded euros instead of dollars</t>
  </si>
  <si>
    <t xml:space="preserve">Shows the option to convert between currencies on the card and the rate</t>
  </si>
  <si>
    <t xml:space="preserve">NEW: FxRate, ConfirmSheet</t>
  </si>
  <si>
    <t xml:space="preserve">Conversion rate and fee from the issuer</t>
  </si>
  <si>
    <t xml:space="preserve">TD-02-016</t>
  </si>
  <si>
    <t xml:space="preserve">Cash out leftover currency</t>
  </si>
  <si>
    <t xml:space="preserve">Back home</t>
  </si>
  <si>
    <t xml:space="preserve">Put my leftover dollars back into my account</t>
  </si>
  <si>
    <t xml:space="preserve">Shows the rate back and any fee, and asks to confirm</t>
  </si>
  <si>
    <t xml:space="preserve">NEW: FxRate, PriceLines, ConfirmSheet</t>
  </si>
  <si>
    <t xml:space="preserve">Rate and fee from the issuer; payout to an account in the customer's own name</t>
  </si>
  <si>
    <t xml:space="preserve">TD-02-017</t>
  </si>
  <si>
    <t xml:space="preserve">Close my forex card</t>
  </si>
  <si>
    <t xml:space="preserve">No more trips planned</t>
  </si>
  <si>
    <t xml:space="preserve">Close my travel card</t>
  </si>
  <si>
    <t xml:space="preserve">Shows any balance to move first and confirms the closure</t>
  </si>
  <si>
    <t xml:space="preserve">ConfirmSheet, Toast</t>
  </si>
  <si>
    <t xml:space="preserve">Closure by the issuer</t>
  </si>
  <si>
    <t xml:space="preserve">TD-03-001</t>
  </si>
  <si>
    <t xml:space="preserve">Check if my card covers my trip</t>
  </si>
  <si>
    <t xml:space="preserve">Does my card cover me for my trip to Spain?</t>
  </si>
  <si>
    <t xml:space="preserve">Shows the card's travel cover and the conditions, such as paying for the trip with the card</t>
  </si>
  <si>
    <t xml:space="preserve">Cover terms from the bank; plain version checked against the policy</t>
  </si>
  <si>
    <t xml:space="preserve">TD-03-002</t>
  </si>
  <si>
    <t xml:space="preserve">Get a travel insurance quote</t>
  </si>
  <si>
    <t xml:space="preserve">Single trip</t>
  </si>
  <si>
    <t xml:space="preserve">Insurance for a week in Bali for two of us</t>
  </si>
  <si>
    <t xml:space="preserve">Shows quotes from licensed partners with price, main cover and excess</t>
  </si>
  <si>
    <t xml:space="preserve">NEW: PolicyCard, Rail</t>
  </si>
  <si>
    <t xml:space="preserve">Quotes from the insurer; no personal advice unless licensed</t>
  </si>
  <si>
    <t xml:space="preserve">Insurance selling needs a licence or licensed partner per market (to confirm): FCA (UK), national regulator under the Insurance Distribution Directive (EU), IRDAI (IN), MAS (SG), Bank Negara Malaysia (MY), Central Bank of the UAE (AE)</t>
  </si>
  <si>
    <t xml:space="preserve">TD-03-003</t>
  </si>
  <si>
    <t xml:space="preserve">Annual multi-trip</t>
  </si>
  <si>
    <t xml:space="preserve">I travel a lot, is there a yearly policy?</t>
  </si>
  <si>
    <t xml:space="preserve">Shows annual policies and trip length limits</t>
  </si>
  <si>
    <t xml:space="preserve">NEW: PolicyCard, Compare</t>
  </si>
  <si>
    <t xml:space="preserve">From the insurer</t>
  </si>
  <si>
    <t xml:space="preserve">TD-03-004</t>
  </si>
  <si>
    <t xml:space="preserve">Family cover for us and two kids</t>
  </si>
  <si>
    <t xml:space="preserve">Shows family policies and who counts as a child on each</t>
  </si>
  <si>
    <t xml:space="preserve">NEW: PolicyCard, Travellers</t>
  </si>
  <si>
    <t xml:space="preserve">TD-03-005</t>
  </si>
  <si>
    <t xml:space="preserve">Older traveller</t>
  </si>
  <si>
    <t xml:space="preserve">Cover for my parents, they're in their seventies</t>
  </si>
  <si>
    <t xml:space="preserve">Shows policies that accept their ages and any age limits</t>
  </si>
  <si>
    <t xml:space="preserve">Age limits and prices from the insurer</t>
  </si>
  <si>
    <t xml:space="preserve">TD-03-006</t>
  </si>
  <si>
    <t xml:space="preserve">Check cover for medical conditions</t>
  </si>
  <si>
    <t xml:space="preserve">Medical conditions</t>
  </si>
  <si>
    <t xml:space="preserve">I have a heart condition, will I be covered?</t>
  </si>
  <si>
    <t xml:space="preserve">Explains the insurer must assess it and hands to the insurer's own screening; does not guess</t>
  </si>
  <si>
    <t xml:space="preserve">Medical screening by the insurer only</t>
  </si>
  <si>
    <t xml:space="preserve">TD-03-007</t>
  </si>
  <si>
    <t xml:space="preserve">Add cover for activities</t>
  </si>
  <si>
    <t xml:space="preserve">Skiing or diving</t>
  </si>
  <si>
    <t xml:space="preserve">I'm going skiing, am I covered?</t>
  </si>
  <si>
    <t xml:space="preserve">Shows whether the policy covers it and offers the add-on with its price</t>
  </si>
  <si>
    <t xml:space="preserve">NEW: PolicyCard, PriceLines</t>
  </si>
  <si>
    <t xml:space="preserve">Activity lists and prices from the insurer</t>
  </si>
  <si>
    <t xml:space="preserve">TD-03-008</t>
  </si>
  <si>
    <t xml:space="preserve">Compare travel policies</t>
  </si>
  <si>
    <t xml:space="preserve">Two or three policies</t>
  </si>
  <si>
    <t xml:space="preserve">What's the difference between these two?</t>
  </si>
  <si>
    <t xml:space="preserve">Compares medical, cancellation, baggage and excess, facts only</t>
  </si>
  <si>
    <t xml:space="preserve">Compare, NEW: PolicyCard</t>
  </si>
  <si>
    <t xml:space="preserve">Figures from policy documents</t>
  </si>
  <si>
    <t xml:space="preserve">TD-03-009</t>
  </si>
  <si>
    <t xml:space="preserve">Check cover against travel advice</t>
  </si>
  <si>
    <t xml:space="preserve">Government advises against travel</t>
  </si>
  <si>
    <t xml:space="preserve">Am I covered if the government says don't go?</t>
  </si>
  <si>
    <t xml:space="preserve">Explains what the policy wording says about official travel advice</t>
  </si>
  <si>
    <t xml:space="preserve">Answer, NEW: PolicyCard</t>
  </si>
  <si>
    <t xml:space="preserve">Policy wording only</t>
  </si>
  <si>
    <t xml:space="preserve">TD-03-010</t>
  </si>
  <si>
    <t xml:space="preserve">Buy travel insurance</t>
  </si>
  <si>
    <t xml:space="preserve">Quote chosen</t>
  </si>
  <si>
    <t xml:space="preserve">Take the second one</t>
  </si>
  <si>
    <t xml:space="preserve">Asks the insurer's required questions, shows the policy summary before payment, and asks to confirm</t>
  </si>
  <si>
    <t xml:space="preserve">NEW: PolicyCard, PriceLines, ConfirmSheet, Receipt</t>
  </si>
  <si>
    <t xml:space="preserve">Disclosure questions set by the insurer; policy documents before payment; price re-checked</t>
  </si>
  <si>
    <t xml:space="preserve">Confirm: Face ID (UK, EU, AE, SG), one-time code (IN), bank-app approval (MY). Insurance selling needs a licence or licensed partner per market (to confirm): FCA (UK), national regulator under the Insurance Distribution Directive (EU), IRDAI (IN), MAS (SG), Bank Negara Malaysia (MY), Central Bank of the UAE (AE)</t>
  </si>
  <si>
    <t xml:space="preserve">TD-03-011</t>
  </si>
  <si>
    <t xml:space="preserve">Check a policy meets visa rules</t>
  </si>
  <si>
    <t xml:space="preserve">Schengen visa</t>
  </si>
  <si>
    <t xml:space="preserve">Does this policy meet the Schengen visa rules?</t>
  </si>
  <si>
    <t xml:space="preserve">Checks the policy against the embassy's published requirements</t>
  </si>
  <si>
    <t xml:space="preserve">Embassy requirements from the official source</t>
  </si>
  <si>
    <t xml:space="preserve">EU: Schengen visa needs medical cover meeting the embassy minimum (to confirm amount)</t>
  </si>
  <si>
    <t xml:space="preserve">TD-03-012</t>
  </si>
  <si>
    <t xml:space="preserve">Get my policy documents</t>
  </si>
  <si>
    <t xml:space="preserve">Policy bought</t>
  </si>
  <si>
    <t xml:space="preserve">Send me my insurance policy</t>
  </si>
  <si>
    <t xml:space="preserve">Sends the policy and the emergency number, and saves them to the trip</t>
  </si>
  <si>
    <t xml:space="preserve">Receipt, SendTo, TripFolder</t>
  </si>
  <si>
    <t xml:space="preserve">TD-03-013</t>
  </si>
  <si>
    <t xml:space="preserve">Hear about cover for a booked trip</t>
  </si>
  <si>
    <t xml:space="preserve">Says whether their card already covers the trip and, only if not, that cover is available</t>
  </si>
  <si>
    <t xml:space="preserve">Moment, BenefitRow</t>
  </si>
  <si>
    <t xml:space="preserve">Cover terms from the bank; insurance promotion rules; marketing consent</t>
  </si>
  <si>
    <t xml:space="preserve">TD-03-014</t>
  </si>
  <si>
    <t xml:space="preserve">Change my policy dates</t>
  </si>
  <si>
    <t xml:space="preserve">Trip moved</t>
  </si>
  <si>
    <t xml:space="preserve">My trip moved by a week, update my insurance</t>
  </si>
  <si>
    <t xml:space="preserve">Asks the insurer to change the dates and shows any price difference</t>
  </si>
  <si>
    <t xml:space="preserve">NEW: PolicyCard, PriceLines, ConfirmSheet</t>
  </si>
  <si>
    <t xml:space="preserve">Changes by the insurer</t>
  </si>
  <si>
    <t xml:space="preserve">TD-03-015</t>
  </si>
  <si>
    <t xml:space="preserve">Cancel my policy</t>
  </si>
  <si>
    <t xml:space="preserve">Cancel the insurance I just bought</t>
  </si>
  <si>
    <t xml:space="preserve">Shows the cooling-off terms and what comes back, and asks to confirm</t>
  </si>
  <si>
    <t xml:space="preserve">NEW: PolicyCard, ConfirmSheet, Receipt</t>
  </si>
  <si>
    <t xml:space="preserve">Refunds from policy terms</t>
  </si>
  <si>
    <t xml:space="preserve">Cooling-off period per market (to confirm)</t>
  </si>
  <si>
    <t xml:space="preserve">TD-03-016</t>
  </si>
  <si>
    <t xml:space="preserve">Avoid paying twice for cover</t>
  </si>
  <si>
    <t xml:space="preserve">Already covered</t>
  </si>
  <si>
    <t xml:space="preserve">I think I'm covered twice now</t>
  </si>
  <si>
    <t xml:space="preserve">Compares the two covers and, if within cooling-off, offers to cancel one</t>
  </si>
  <si>
    <t xml:space="preserve">Cover terms from the bank and insurer</t>
  </si>
  <si>
    <t xml:space="preserve">TD-03-017</t>
  </si>
  <si>
    <t xml:space="preserve">Get help in a medical emergency</t>
  </si>
  <si>
    <t xml:space="preserve">I'm in hospital in Thailand</t>
  </si>
  <si>
    <t xml:space="preserve">Shows the insurer's 24-hour emergency number and policy number first, then hands to a person</t>
  </si>
  <si>
    <t xml:space="preserve">NEW: PolicyCard, Handoff</t>
  </si>
  <si>
    <t xml:space="preserve">Safety first; a person takes over at once</t>
  </si>
  <si>
    <t xml:space="preserve">TD-03-018</t>
  </si>
  <si>
    <t xml:space="preserve">Trip already started</t>
  </si>
  <si>
    <t xml:space="preserve">I'm already in Spain, can I still get insurance?</t>
  </si>
  <si>
    <t xml:space="preserve">Checks which partners cover trips already under way and says plainly if none do</t>
  </si>
  <si>
    <t xml:space="preserve">StateCard, NEW: PolicyCard</t>
  </si>
  <si>
    <t xml:space="preserve">Eligibility from the insurer</t>
  </si>
  <si>
    <t xml:space="preserve">TD-03-019</t>
  </si>
  <si>
    <t xml:space="preserve">Destination under travel warning</t>
  </si>
  <si>
    <t xml:space="preserve">Insurer will not cover</t>
  </si>
  <si>
    <t xml:space="preserve">Why won't anyone cover my trip?</t>
  </si>
  <si>
    <t xml:space="preserve">Explains the insurers decline that destination while official advice is against travel</t>
  </si>
  <si>
    <t xml:space="preserve">Insurer rules and official advice only</t>
  </si>
  <si>
    <t xml:space="preserve">TD-03-020</t>
  </si>
  <si>
    <t xml:space="preserve">Make an insurance claim</t>
  </si>
  <si>
    <t xml:space="preserve">After a loss</t>
  </si>
  <si>
    <t xml:space="preserve">My bag was stolen, how do I claim?</t>
  </si>
  <si>
    <t xml:space="preserve">Lists what the insurer needs, takes the documents and submits the claim</t>
  </si>
  <si>
    <t xml:space="preserve">Steps, NEW: Upload, NEW: ClaimTracker</t>
  </si>
  <si>
    <t xml:space="preserve">Claim decided by the insurer only</t>
  </si>
  <si>
    <t xml:space="preserve">TD-03-021</t>
  </si>
  <si>
    <t xml:space="preserve">Claim for a cancelled trip</t>
  </si>
  <si>
    <t xml:space="preserve">I had to cancel the trip, can I claim?</t>
  </si>
  <si>
    <t xml:space="preserve">Checks the policy reason list and starts the claim with the documents needed</t>
  </si>
  <si>
    <t xml:space="preserve">Covered reasons from the policy; decision by the insurer</t>
  </si>
  <si>
    <t xml:space="preserve">TD-03-022</t>
  </si>
  <si>
    <t xml:space="preserve">Track my claim</t>
  </si>
  <si>
    <t xml:space="preserve">Claim made</t>
  </si>
  <si>
    <t xml:space="preserve">What's happening with my claim?</t>
  </si>
  <si>
    <t xml:space="preserve">Shows the claim status and what the insurer is waiting for</t>
  </si>
  <si>
    <t xml:space="preserve">Status from the insurer</t>
  </si>
  <si>
    <t xml:space="preserve">TD-03-023</t>
  </si>
  <si>
    <t xml:space="preserve">Challenge a claim decision</t>
  </si>
  <si>
    <t xml:space="preserve">Claim rejected</t>
  </si>
  <si>
    <t xml:space="preserve">They've rejected my claim</t>
  </si>
  <si>
    <t xml:space="preserve">Explains the reason given, logs a complaint if they want and hands to a person with the complaint route</t>
  </si>
  <si>
    <t xml:space="preserve">Complaint route from the insurer and regulator</t>
  </si>
  <si>
    <t xml:space="preserve">Insurance complaint routes per market (to confirm)</t>
  </si>
  <si>
    <t xml:space="preserve">TD-04-001</t>
  </si>
  <si>
    <t xml:space="preserve">Stay connected abroad</t>
  </si>
  <si>
    <t xml:space="preserve">Will my phone work in Japan?</t>
  </si>
  <si>
    <t xml:space="preserve">Explains roaming with their own network versus a travel eSIM, and shows eSIM plans for the trip</t>
  </si>
  <si>
    <t xml:space="preserve">Answer, NEW: EsimPlan</t>
  </si>
  <si>
    <t xml:space="preserve">eSIM prices from the partner; roaming costs only as published by the network</t>
  </si>
  <si>
    <t xml:space="preserve">TD-04-002</t>
  </si>
  <si>
    <t xml:space="preserve">Get an eSIM for a booked trip</t>
  </si>
  <si>
    <t xml:space="preserve">Suggests a data plan that covers the trip dates and destination</t>
  </si>
  <si>
    <t xml:space="preserve">Moment, NEW: EsimPlan</t>
  </si>
  <si>
    <t xml:space="preserve">Notification consent; live partner prices</t>
  </si>
  <si>
    <t xml:space="preserve">TD-04-003</t>
  </si>
  <si>
    <t xml:space="preserve">Buy an eSIM plan</t>
  </si>
  <si>
    <t xml:space="preserve">Data only</t>
  </si>
  <si>
    <t xml:space="preserve">10GB for a week in Italy</t>
  </si>
  <si>
    <t xml:space="preserve">Shows a few plans with data, days, coverage and price</t>
  </si>
  <si>
    <t xml:space="preserve">NEW: EsimPlan, Rail</t>
  </si>
  <si>
    <t xml:space="preserve">Plans and prices from the partner</t>
  </si>
  <si>
    <t xml:space="preserve">TD-04-004</t>
  </si>
  <si>
    <t xml:space="preserve">I'm doing France, Spain and Portugal</t>
  </si>
  <si>
    <t xml:space="preserve">Shows regional plans that cover all three and single-country options</t>
  </si>
  <si>
    <t xml:space="preserve">NEW: EsimPlan, Compare</t>
  </si>
  <si>
    <t xml:space="preserve">Coverage from the partner</t>
  </si>
  <si>
    <t xml:space="preserve">TD-04-005</t>
  </si>
  <si>
    <t xml:space="preserve">Get a local number</t>
  </si>
  <si>
    <t xml:space="preserve">Calls needed</t>
  </si>
  <si>
    <t xml:space="preserve">Will I get a phone number with it?</t>
  </si>
  <si>
    <t xml:space="preserve">Explains most travel eSIMs are data only and what that means for calls</t>
  </si>
  <si>
    <t xml:space="preserve">AE: some internet calling apps are restricted (to confirm)</t>
  </si>
  <si>
    <t xml:space="preserve">TD-04-006</t>
  </si>
  <si>
    <t xml:space="preserve">Pay for an eSIM</t>
  </si>
  <si>
    <t xml:space="preserve">Points or card</t>
  </si>
  <si>
    <t xml:space="preserve">Shows points and cash price and asks to confirm</t>
  </si>
  <si>
    <t xml:space="preserve">Price re-checked at confirm</t>
  </si>
  <si>
    <t xml:space="preserve">TD-04-007</t>
  </si>
  <si>
    <t xml:space="preserve">Check my phone takes an eSIM</t>
  </si>
  <si>
    <t xml:space="preserve">Device check</t>
  </si>
  <si>
    <t xml:space="preserve">Does my phone support eSIM?</t>
  </si>
  <si>
    <t xml:space="preserve">Checks the phone model and whether it is locked, with steps to find out</t>
  </si>
  <si>
    <t xml:space="preserve">NEW: DeviceCheck, Steps</t>
  </si>
  <si>
    <t xml:space="preserve">Device list from the partner</t>
  </si>
  <si>
    <t xml:space="preserve">TD-04-008</t>
  </si>
  <si>
    <t xml:space="preserve">Install my eSIM</t>
  </si>
  <si>
    <t xml:space="preserve">Plan bought</t>
  </si>
  <si>
    <t xml:space="preserve">How do I set it up?</t>
  </si>
  <si>
    <t xml:space="preserve">Shows the install code and step-by-step setup for their phone</t>
  </si>
  <si>
    <t xml:space="preserve">NEW: EsimInstall, Steps</t>
  </si>
  <si>
    <t xml:space="preserve">Install data from the partner; shown only to the buyer</t>
  </si>
  <si>
    <t xml:space="preserve">TD-04-009</t>
  </si>
  <si>
    <t xml:space="preserve">Buy an eSIM for someone else</t>
  </si>
  <si>
    <t xml:space="preserve">For a family member</t>
  </si>
  <si>
    <t xml:space="preserve">Get one for my daughter too</t>
  </si>
  <si>
    <t xml:space="preserve">Buys a second plan and sends the install code to her</t>
  </si>
  <si>
    <t xml:space="preserve">SendTo, NEW: EsimInstall, ConfirmSheet</t>
  </si>
  <si>
    <t xml:space="preserve">Recipient contact shared with consent</t>
  </si>
  <si>
    <t xml:space="preserve">TD-04-010</t>
  </si>
  <si>
    <t xml:space="preserve">Refund an unused eSIM</t>
  </si>
  <si>
    <t xml:space="preserve">I didn't use the eSIM, can I get my money back?</t>
  </si>
  <si>
    <t xml:space="preserve">Shows what comes back under the partner's terms, usually only if not installed</t>
  </si>
  <si>
    <t xml:space="preserve">Refunds from partner terms only</t>
  </si>
  <si>
    <t xml:space="preserve">TD-04-011</t>
  </si>
  <si>
    <t xml:space="preserve">Top up my data</t>
  </si>
  <si>
    <t xml:space="preserve">Data running low</t>
  </si>
  <si>
    <t xml:space="preserve">Warns data is nearly used and offers a top-up</t>
  </si>
  <si>
    <t xml:space="preserve">Dial, Toast, NEW: EsimPlan</t>
  </si>
  <si>
    <t xml:space="preserve">Usage from the partner; notification consent</t>
  </si>
  <si>
    <t xml:space="preserve">TD-04-012</t>
  </si>
  <si>
    <t xml:space="preserve">Get my eSIM working</t>
  </si>
  <si>
    <t xml:space="preserve">No signal</t>
  </si>
  <si>
    <t xml:space="preserve">The eSIM isn't connecting</t>
  </si>
  <si>
    <t xml:space="preserve">Walks through the usual fixes, then hands to the partner's support</t>
  </si>
  <si>
    <t xml:space="preserve">Steps, Handoff</t>
  </si>
  <si>
    <t xml:space="preserve">Support by the partner</t>
  </si>
  <si>
    <t xml:space="preserve">TD-04-013</t>
  </si>
  <si>
    <t xml:space="preserve">Phone locked to a network</t>
  </si>
  <si>
    <t xml:space="preserve">It says my phone can't use this eSIM</t>
  </si>
  <si>
    <t xml:space="preserve">Explains the phone is locked and what the options are before travel</t>
  </si>
  <si>
    <t xml:space="preserve">TD-04-014</t>
  </si>
  <si>
    <t xml:space="preserve">Recover a deleted eSIM</t>
  </si>
  <si>
    <t xml:space="preserve">Deleted or installed on the wrong phone</t>
  </si>
  <si>
    <t xml:space="preserve">I deleted the eSIM by accident</t>
  </si>
  <si>
    <t xml:space="preserve">Checks with the partner whether it can be reissued</t>
  </si>
  <si>
    <t xml:space="preserve">Reissue per partner terms</t>
  </si>
  <si>
    <t xml:space="preserve">TD-04-015</t>
  </si>
  <si>
    <t xml:space="preserve">Remove the eSIM at home</t>
  </si>
  <si>
    <t xml:space="preserve">Should I delete the travel eSIM now?</t>
  </si>
  <si>
    <t xml:space="preserve">Explains how to switch it off or keep it for the next trip</t>
  </si>
  <si>
    <t xml:space="preserve">TD-05-001</t>
  </si>
  <si>
    <t xml:space="preserve">Get an expiry reminder</t>
  </si>
  <si>
    <t xml:space="preserve">Passport expiring</t>
  </si>
  <si>
    <t xml:space="preserve">Reminds them months ahead that the passport expires and links the renewal steps</t>
  </si>
  <si>
    <t xml:space="preserve">StickyNote, NEW: DocumentWallet</t>
  </si>
  <si>
    <t xml:space="preserve">Expiry date from saved document; notification consent</t>
  </si>
  <si>
    <t xml:space="preserve">TD-05-002</t>
  </si>
  <si>
    <t xml:space="preserve">Check my passport is valid for a trip</t>
  </si>
  <si>
    <t xml:space="preserve">Checks passport dates against the destination rule and warns if it falls short</t>
  </si>
  <si>
    <t xml:space="preserve">Destination rules from an official source</t>
  </si>
  <si>
    <t xml:space="preserve">Many countries want six months beyond arrival; Schengen wants three months beyond departure and issue within 10 years (to confirm per trip)</t>
  </si>
  <si>
    <t xml:space="preserve">TD-05-003</t>
  </si>
  <si>
    <t xml:space="preserve">Check blank pages</t>
  </si>
  <si>
    <t xml:space="preserve">Page count</t>
  </si>
  <si>
    <t xml:space="preserve">How many blank pages do I need for South Africa?</t>
  </si>
  <si>
    <t xml:space="preserve">Gives the official rule for the destination</t>
  </si>
  <si>
    <t xml:space="preserve">TD-05-004</t>
  </si>
  <si>
    <t xml:space="preserve">Renew my passport</t>
  </si>
  <si>
    <t xml:space="preserve">How do I renew my passport?</t>
  </si>
  <si>
    <t xml:space="preserve">Links the official renewal service and the usual timings</t>
  </si>
  <si>
    <t xml:space="preserve">Official source only; never a paid lookalike site</t>
  </si>
  <si>
    <t xml:space="preserve">IN: Passport Seva. UK: HM Passport Office. Others official sites (to confirm)</t>
  </si>
  <si>
    <t xml:space="preserve">TD-05-005</t>
  </si>
  <si>
    <t xml:space="preserve">Not enough time</t>
  </si>
  <si>
    <t xml:space="preserve">My passport runs out before my trip next month</t>
  </si>
  <si>
    <t xml:space="preserve">Shows the official fast-track options and flags the trip dates at risk</t>
  </si>
  <si>
    <t xml:space="preserve">StateCard, Answer, Handoff</t>
  </si>
  <si>
    <t xml:space="preserve">TD-05-006</t>
  </si>
  <si>
    <t xml:space="preserve">Renew a child's passport</t>
  </si>
  <si>
    <t xml:space="preserve">Child</t>
  </si>
  <si>
    <t xml:space="preserve">My daughter's passport is expiring</t>
  </si>
  <si>
    <t xml:space="preserve">Links the official child passport route and what both parents need</t>
  </si>
  <si>
    <t xml:space="preserve">TD-05-007</t>
  </si>
  <si>
    <t xml:space="preserve">Update bookings with a new passport</t>
  </si>
  <si>
    <t xml:space="preserve">New passport</t>
  </si>
  <si>
    <t xml:space="preserve">I've got a new passport, update my bookings</t>
  </si>
  <si>
    <t xml:space="preserve">Updates saved details and each booking where the airline allows it</t>
  </si>
  <si>
    <t xml:space="preserve">NEW: DocumentWallet, Itinerary, Toast</t>
  </si>
  <si>
    <t xml:space="preserve">Airline decides changes on booked tickets</t>
  </si>
  <si>
    <t xml:space="preserve">TD-05-008</t>
  </si>
  <si>
    <t xml:space="preserve">Check my name matches my booking</t>
  </si>
  <si>
    <t xml:space="preserve">Compares the name on the passport with each booking and warns of any difference</t>
  </si>
  <si>
    <t xml:space="preserve">StickyNote, StateCard</t>
  </si>
  <si>
    <t xml:space="preserve">Name rules from the airline</t>
  </si>
  <si>
    <t xml:space="preserve">TD-05-009</t>
  </si>
  <si>
    <t xml:space="preserve">Check driving documents</t>
  </si>
  <si>
    <t xml:space="preserve">Do I need an international driving permit for Japan?</t>
  </si>
  <si>
    <t xml:space="preserve">Gives the official rule for their licence and destination</t>
  </si>
  <si>
    <t xml:space="preserve">Rules depend on the licence country and destination (to confirm)</t>
  </si>
  <si>
    <t xml:space="preserve">TD-05-010</t>
  </si>
  <si>
    <t xml:space="preserve">Replace a lost passport before a trip</t>
  </si>
  <si>
    <t xml:space="preserve">Lost passport</t>
  </si>
  <si>
    <t xml:space="preserve">I can't find my passport and I fly on Friday</t>
  </si>
  <si>
    <t xml:space="preserve">Links the official report-and-replace route, flags the bookings at risk and offers a person</t>
  </si>
  <si>
    <t xml:space="preserve">StateCard, Itinerary, Handoff</t>
  </si>
  <si>
    <t xml:space="preserve">Official source only; booking changes from supplier terms</t>
  </si>
  <si>
    <t xml:space="preserve">TD-05-011</t>
  </si>
  <si>
    <t xml:space="preserve">Get help with a lost passport abroad</t>
  </si>
  <si>
    <t xml:space="preserve">Lost or stolen abroad</t>
  </si>
  <si>
    <t xml:space="preserve">My passport's been stolen in Rome</t>
  </si>
  <si>
    <t xml:space="preserve">Gives the nearest embassy contact and the emergency travel document route, and hands to a person</t>
  </si>
  <si>
    <t xml:space="preserve">Safety first; embassy contacts from the official source</t>
  </si>
  <si>
    <t xml:space="preserve">TD-05-012</t>
  </si>
  <si>
    <t xml:space="preserve">Save my passport details</t>
  </si>
  <si>
    <t xml:space="preserve">Save my passport</t>
  </si>
  <si>
    <t xml:space="preserve">Scans or takes the details once, shows what is stored and asks for consent</t>
  </si>
  <si>
    <t xml:space="preserve">NEW: DocumentWallet, ConfirmSheet</t>
  </si>
  <si>
    <t xml:space="preserve">Stored securely with consent; used only for bookings the customer makes</t>
  </si>
  <si>
    <t xml:space="preserve">TD-05-013</t>
  </si>
  <si>
    <t xml:space="preserve">Save family documents</t>
  </si>
  <si>
    <t xml:space="preserve">Add my wife's and kids' passports</t>
  </si>
  <si>
    <t xml:space="preserve">Adds each traveller, with each adult giving their own consent</t>
  </si>
  <si>
    <t xml:space="preserve">NEW: DocumentWallet, AvatarStack</t>
  </si>
  <si>
    <t xml:space="preserve">Consent per adult; a parent or guardian for children</t>
  </si>
  <si>
    <t xml:space="preserve">TD-05-014</t>
  </si>
  <si>
    <t xml:space="preserve">Delete my saved documents</t>
  </si>
  <si>
    <t xml:space="preserve">Delete my passport details</t>
  </si>
  <si>
    <t xml:space="preserve">Deletes them and confirms what is gone</t>
  </si>
  <si>
    <t xml:space="preserve">Deletion under data law; bookings keep what the airline already holds</t>
  </si>
  <si>
    <t xml:space="preserve">TD-05-015</t>
  </si>
  <si>
    <t xml:space="preserve">Get a residence visa reminder</t>
  </si>
  <si>
    <t xml:space="preserve">Resident abroad</t>
  </si>
  <si>
    <t xml:space="preserve">Remind me when my residence visa runs out</t>
  </si>
  <si>
    <t xml:space="preserve">Saves the date and reminds them ahead, with the official renewal link</t>
  </si>
  <si>
    <t xml:space="preserve">NEW: DocumentWallet, StickyNote</t>
  </si>
  <si>
    <t xml:space="preserve">Date from the customer; official link only</t>
  </si>
  <si>
    <t xml:space="preserve">AE: residence visa renewal through official channels (to confirm)</t>
  </si>
  <si>
    <t xml:space="preserve">CO-01-001</t>
  </si>
  <si>
    <t xml:space="preserve">Get a table at a full restaurant</t>
  </si>
  <si>
    <t xml:space="preserve">Get me into Harrow &amp; Vine on Saturday for four, I know it's full</t>
  </si>
  <si>
    <t xml:space="preserve">Takes the brief, passes it to a lifestyle manager, and tracks it in chat</t>
  </si>
  <si>
    <t xml:space="preserve">YouSaid, NEW: ConciergeBrief, NEW: ClaimTracker, Handoff</t>
  </si>
  <si>
    <t xml:space="preserve">Concierge eligibility from the bank; request logged with the time promised</t>
  </si>
  <si>
    <t xml:space="preserve">Concierge availability depends on card and bank; lifestyle manager cover hours to confirm per market</t>
  </si>
  <si>
    <t xml:space="preserve">CO-01-002</t>
  </si>
  <si>
    <t xml:space="preserve">Anywhere amazing for tonight, it's urgent</t>
  </si>
  <si>
    <t xml:space="preserve">Sets the request as urgent and gives an honest time for the first answer</t>
  </si>
  <si>
    <t xml:space="preserve">NEW: ConciergeBrief, NEW: ClaimTracker, Status</t>
  </si>
  <si>
    <t xml:space="preserve">Response times from the concierge service level</t>
  </si>
  <si>
    <t xml:space="preserve">CO-01-003</t>
  </si>
  <si>
    <t xml:space="preserve">A table at the best sushi place in Tokyo while I'm there</t>
  </si>
  <si>
    <t xml:space="preserve">Takes the brief with dates and passes it to the team covering that city</t>
  </si>
  <si>
    <t xml:space="preserve">NEW: ConciergeBrief, NEW: ClaimTracker</t>
  </si>
  <si>
    <t xml:space="preserve">Coverage from the concierge partner</t>
  </si>
  <si>
    <t xml:space="preserve">CO-01-004</t>
  </si>
  <si>
    <t xml:space="preserve">It's a proposal, can they do flowers and a quiet corner?</t>
  </si>
  <si>
    <t xml:space="preserve">Adds the arrangements to the brief and confirms each one separately</t>
  </si>
  <si>
    <t xml:space="preserve">Each arrangement confirmed by the restaurant, never assumed</t>
  </si>
  <si>
    <t xml:space="preserve">CO-01-005</t>
  </si>
  <si>
    <t xml:space="preserve">Says the card does not include concierge and offers waitlists and alerts</t>
  </si>
  <si>
    <t xml:space="preserve">CO-01-006</t>
  </si>
  <si>
    <t xml:space="preserve">Answer the concierge</t>
  </si>
  <si>
    <t xml:space="preserve">Options offered</t>
  </si>
  <si>
    <t xml:space="preserve">Shows the options the lifestyle manager found: time, place and any deposit</t>
  </si>
  <si>
    <t xml:space="preserve">NEW: ClaimTracker, Rail, NEW: RestaurantCard</t>
  </si>
  <si>
    <t xml:space="preserve">Options confirmed by the concierge team</t>
  </si>
  <si>
    <t xml:space="preserve">CO-01-007</t>
  </si>
  <si>
    <t xml:space="preserve">Accept an alternative</t>
  </si>
  <si>
    <t xml:space="preserve">First choice full</t>
  </si>
  <si>
    <t xml:space="preserve">Says the first choice could not be secured and offers two close alternatives</t>
  </si>
  <si>
    <t xml:space="preserve">Honest outcome; never claims a table that is not held</t>
  </si>
  <si>
    <t xml:space="preserve">CO-01-008</t>
  </si>
  <si>
    <t xml:space="preserve">Restaurant needs one</t>
  </si>
  <si>
    <t xml:space="preserve">(accepts the table)</t>
  </si>
  <si>
    <t xml:space="preserve">Shows the deposit and cancellation terms and asks for a yes</t>
  </si>
  <si>
    <t xml:space="preserve">CO-01-009</t>
  </si>
  <si>
    <t xml:space="preserve">Pay a concierge fee</t>
  </si>
  <si>
    <t xml:space="preserve">Fee applies</t>
  </si>
  <si>
    <t xml:space="preserve">Is there a charge for this?</t>
  </si>
  <si>
    <t xml:space="preserve">Shows any service fee the bank sets before the request goes ahead</t>
  </si>
  <si>
    <t xml:space="preserve">Fees set by the bank; shown before any work</t>
  </si>
  <si>
    <t xml:space="preserve">CO-01-010</t>
  </si>
  <si>
    <t xml:space="preserve">Track my request</t>
  </si>
  <si>
    <t xml:space="preserve">Any news on my Saturday table?</t>
  </si>
  <si>
    <t xml:space="preserve">Shows where the request is and when to expect an update</t>
  </si>
  <si>
    <t xml:space="preserve">Status from the concierge console</t>
  </si>
  <si>
    <t xml:space="preserve">CO-01-011</t>
  </si>
  <si>
    <t xml:space="preserve">Cancel my request</t>
  </si>
  <si>
    <t xml:space="preserve">Don't worry about the table any more</t>
  </si>
  <si>
    <t xml:space="preserve">Cancels the request and any booking made, showing any fee</t>
  </si>
  <si>
    <t xml:space="preserve">NEW: ClaimTracker, Cancellation, ConfirmSheet</t>
  </si>
  <si>
    <t xml:space="preserve">Fees from the restaurant terms</t>
  </si>
  <si>
    <t xml:space="preserve">CO-01-012</t>
  </si>
  <si>
    <t xml:space="preserve">Booking not honoured</t>
  </si>
  <si>
    <t xml:space="preserve">They say there's no booking under my name</t>
  </si>
  <si>
    <t xml:space="preserve">Shows the confirmation, calls the concierge team now, and finds an alternative</t>
  </si>
  <si>
    <t xml:space="preserve">Receipt, StateCard (error), Handoff</t>
  </si>
  <si>
    <t xml:space="preserve">Concierge team owns the fix</t>
  </si>
  <si>
    <t xml:space="preserve">CO-01-013</t>
  </si>
  <si>
    <t xml:space="preserve">Request not possible</t>
  </si>
  <si>
    <t xml:space="preserve">Truly full</t>
  </si>
  <si>
    <t xml:space="preserve">Could not secure</t>
  </si>
  <si>
    <t xml:space="preserve">Tells them plainly it could not be done and offers a waitlist or other nights</t>
  </si>
  <si>
    <t xml:space="preserve">StateCard, Rail, Toggle</t>
  </si>
  <si>
    <t xml:space="preserve">Honest outcome logged</t>
  </si>
  <si>
    <t xml:space="preserve">CO-01-014</t>
  </si>
  <si>
    <t xml:space="preserve">Request running late</t>
  </si>
  <si>
    <t xml:space="preserve">No reply</t>
  </si>
  <si>
    <t xml:space="preserve">Late response</t>
  </si>
  <si>
    <t xml:space="preserve">It's been six hours and no answer</t>
  </si>
  <si>
    <t xml:space="preserve">Checks the request, apologises, and escalates to a person</t>
  </si>
  <si>
    <t xml:space="preserve">Escalation rules from the concierge service level</t>
  </si>
  <si>
    <t xml:space="preserve">CO-01-015</t>
  </si>
  <si>
    <t xml:space="preserve">Rate the concierge</t>
  </si>
  <si>
    <t xml:space="preserve">One-tap rating on the request</t>
  </si>
  <si>
    <t xml:space="preserve">CO-01-016</t>
  </si>
  <si>
    <t xml:space="preserve">The concierge promised the chef's counter and we got a back table</t>
  </si>
  <si>
    <t xml:space="preserve">CO-01-017</t>
  </si>
  <si>
    <t xml:space="preserve">Keep my requests private</t>
  </si>
  <si>
    <t xml:space="preserve">I don't want anyone knowing I booked this</t>
  </si>
  <si>
    <t xml:space="preserve">Explains who sees the request and that the booking can be under another name if the restaurant allows</t>
  </si>
  <si>
    <t xml:space="preserve">Personal data shared only as needed; access logged</t>
  </si>
  <si>
    <t xml:space="preserve">CO-01-018</t>
  </si>
  <si>
    <t xml:space="preserve">Talk to my lifestyle manager</t>
  </si>
  <si>
    <t xml:space="preserve">Wants a person</t>
  </si>
  <si>
    <t xml:space="preserve">Can I just speak to someone?</t>
  </si>
  <si>
    <t xml:space="preserve">Connects them to the concierge team with the conversation attached</t>
  </si>
  <si>
    <t xml:space="preserve">A person is always available within the service hours</t>
  </si>
  <si>
    <t xml:space="preserve">CO-02-001</t>
  </si>
  <si>
    <t xml:space="preserve">A birthday present for my wife, around £300, she loves gardening</t>
  </si>
  <si>
    <t xml:space="preserve">Suggests three gifts within budget with the reason for each</t>
  </si>
  <si>
    <t xml:space="preserve">Prices from suppliers; reason must be a stated fact</t>
  </si>
  <si>
    <t xml:space="preserve">CO-02-002</t>
  </si>
  <si>
    <t xml:space="preserve">Get reminded about a date</t>
  </si>
  <si>
    <t xml:space="preserve">Birthday coming</t>
  </si>
  <si>
    <t xml:space="preserve">Reminds them of a birthday they saved and offers gift ideas</t>
  </si>
  <si>
    <t xml:space="preserve">StickyNote, Rail</t>
  </si>
  <si>
    <t xml:space="preserve">Only dates the customer saved; consent checked</t>
  </si>
  <si>
    <t xml:space="preserve">CO-02-003</t>
  </si>
  <si>
    <t xml:space="preserve">Source a rare item</t>
  </si>
  <si>
    <t xml:space="preserve">Find me the limited edition watch, the blue dial one</t>
  </si>
  <si>
    <t xml:space="preserve">Takes the brief and passes it to a lifestyle manager to source</t>
  </si>
  <si>
    <t xml:space="preserve">NEW: ConciergeBrief, NEW: ClaimTracker, Handoff</t>
  </si>
  <si>
    <t xml:space="preserve">Sourcing done by the concierge team; authenticity checked before purchase</t>
  </si>
  <si>
    <t xml:space="preserve">CO-02-004</t>
  </si>
  <si>
    <t xml:space="preserve">Send a gift</t>
  </si>
  <si>
    <t xml:space="preserve">Flowers to my mum's house today</t>
  </si>
  <si>
    <t xml:space="preserve">Shows same-day options with delivery time and total</t>
  </si>
  <si>
    <t xml:space="preserve">Rail, ProductCard, PriceLines</t>
  </si>
  <si>
    <t xml:space="preserve">Delivery cut-off from the supplier</t>
  </si>
  <si>
    <t xml:space="preserve">CO-02-005</t>
  </si>
  <si>
    <t xml:space="preserve">Send a gift hamper to my client in Dubai</t>
  </si>
  <si>
    <t xml:space="preserve">Checks what can be sent there and any duties, and gives the total</t>
  </si>
  <si>
    <t xml:space="preserve">ProductCard, PriceLines, StateCard</t>
  </si>
  <si>
    <t xml:space="preserve">Import rules and duties from the supplier</t>
  </si>
  <si>
    <t xml:space="preserve">Some items are restricted by country: alcohol in AE and MY, food rules vary (to confirm)</t>
  </si>
  <si>
    <t xml:space="preserve">CO-02-006</t>
  </si>
  <si>
    <t xml:space="preserve">Alcohol</t>
  </si>
  <si>
    <t xml:space="preserve">A good bottle of whisky for my father-in-law</t>
  </si>
  <si>
    <t xml:space="preserve">Checks age and local rules, and shows only what can be delivered there</t>
  </si>
  <si>
    <t xml:space="preserve">Age check and delivery rules enforced by the supplier</t>
  </si>
  <si>
    <t xml:space="preserve">CO-02-007</t>
  </si>
  <si>
    <t xml:space="preserve">Send gifts in bulk</t>
  </si>
  <si>
    <t xml:space="preserve">Gifts for 40 clients at New Year</t>
  </si>
  <si>
    <t xml:space="preserve">NEW: ConciergeBrief, Handoff</t>
  </si>
  <si>
    <t xml:space="preserve">Quote from the concierge partner</t>
  </si>
  <si>
    <t xml:space="preserve">CO-02-008</t>
  </si>
  <si>
    <t xml:space="preserve">Add a message and wrap</t>
  </si>
  <si>
    <t xml:space="preserve">Gift wrap it with a card saying happy birthday</t>
  </si>
  <si>
    <t xml:space="preserve">Adds wrap and message and shows the cost</t>
  </si>
  <si>
    <t xml:space="preserve">Options from the supplier</t>
  </si>
  <si>
    <t xml:space="preserve">CO-02-009</t>
  </si>
  <si>
    <t xml:space="preserve">Approve a quote</t>
  </si>
  <si>
    <t xml:space="preserve">Sourced item</t>
  </si>
  <si>
    <t xml:space="preserve">Shows the item found, photos, seller, authenticity proof and total</t>
  </si>
  <si>
    <t xml:space="preserve">NEW: ClaimTracker, ProductCard, PriceLines, ConfirmSheet</t>
  </si>
  <si>
    <t xml:space="preserve">Nothing bought without the customer's yes on the exact total</t>
  </si>
  <si>
    <t xml:space="preserve">CO-02-010</t>
  </si>
  <si>
    <t xml:space="preserve">Shows the points total, confirms and orders</t>
  </si>
  <si>
    <t xml:space="preserve">CO-02-011</t>
  </si>
  <si>
    <t xml:space="preserve">Sourcing</t>
  </si>
  <si>
    <t xml:space="preserve">(approves sourcing)</t>
  </si>
  <si>
    <t xml:space="preserve">Takes the deposit shown and explains when it is returned if the item is not found</t>
  </si>
  <si>
    <t xml:space="preserve">Deposit and refund terms from the concierge partner</t>
  </si>
  <si>
    <t xml:space="preserve">CO-02-012</t>
  </si>
  <si>
    <t xml:space="preserve">Pay for a gift</t>
  </si>
  <si>
    <t xml:space="preserve">Price above quote</t>
  </si>
  <si>
    <t xml:space="preserve">Says the price went up since the quote and asks again</t>
  </si>
  <si>
    <t xml:space="preserve">Never charge more without a new yes</t>
  </si>
  <si>
    <t xml:space="preserve">CO-02-013</t>
  </si>
  <si>
    <t xml:space="preserve">Share the delivery address</t>
  </si>
  <si>
    <t xml:space="preserve">Deliver to my sister, here's her address</t>
  </si>
  <si>
    <t xml:space="preserve">Uses the address only for this delivery</t>
  </si>
  <si>
    <t xml:space="preserve">ConfirmSheet</t>
  </si>
  <si>
    <t xml:space="preserve">Recipient details used only for delivery, not kept</t>
  </si>
  <si>
    <t xml:space="preserve">CO-02-014</t>
  </si>
  <si>
    <t xml:space="preserve">On its way</t>
  </si>
  <si>
    <t xml:space="preserve">Has the gift arrived?</t>
  </si>
  <si>
    <t xml:space="preserve">Shows delivery status and time</t>
  </si>
  <si>
    <t xml:space="preserve">Status from the courier</t>
  </si>
  <si>
    <t xml:space="preserve">CO-02-015</t>
  </si>
  <si>
    <t xml:space="preserve">Cancel a gift order</t>
  </si>
  <si>
    <t xml:space="preserve">Changed my mind</t>
  </si>
  <si>
    <t xml:space="preserve">Cancel the hamper, I've got something else</t>
  </si>
  <si>
    <t xml:space="preserve">Cancels if not yet sent and shows what comes back</t>
  </si>
  <si>
    <t xml:space="preserve">Refund from supplier terms; sourced items may not be cancellable once bought</t>
  </si>
  <si>
    <t xml:space="preserve">CO-02-016</t>
  </si>
  <si>
    <t xml:space="preserve">Item not found</t>
  </si>
  <si>
    <t xml:space="preserve">Rare item</t>
  </si>
  <si>
    <t xml:space="preserve">Could not source</t>
  </si>
  <si>
    <t xml:space="preserve">Says it could not be found, returns any deposit, and offers close alternatives</t>
  </si>
  <si>
    <t xml:space="preserve">Deposit refund per terms</t>
  </si>
  <si>
    <t xml:space="preserve">CO-02-017</t>
  </si>
  <si>
    <t xml:space="preserve">Gift late</t>
  </si>
  <si>
    <t xml:space="preserve">Birthday today</t>
  </si>
  <si>
    <t xml:space="preserve">It was meant to arrive today and hasn't</t>
  </si>
  <si>
    <t xml:space="preserve">Checks with the courier and offers a same-day replacement or refund</t>
  </si>
  <si>
    <t xml:space="preserve">NEW: DeliveryTracker, StateCard, Handoff</t>
  </si>
  <si>
    <t xml:space="preserve">Refund per supplier terms</t>
  </si>
  <si>
    <t xml:space="preserve">CO-02-018</t>
  </si>
  <si>
    <t xml:space="preserve">Wrong or damaged gift</t>
  </si>
  <si>
    <t xml:space="preserve">The flowers arrived dead</t>
  </si>
  <si>
    <t xml:space="preserve">Asks for a photo, logs it, and arranges a replacement or refund</t>
  </si>
  <si>
    <t xml:space="preserve">Replacement or refund per supplier terms</t>
  </si>
  <si>
    <t xml:space="preserve">CO-02-019</t>
  </si>
  <si>
    <t xml:space="preserve">Item may be fake</t>
  </si>
  <si>
    <t xml:space="preserve">Authenticity doubt</t>
  </si>
  <si>
    <t xml:space="preserve">I don't think this watch is genuine</t>
  </si>
  <si>
    <t xml:space="preserve">Takes it seriously, logs it and hands to a person</t>
  </si>
  <si>
    <t xml:space="preserve">Authenticity disputes decided by the concierge partner; money back via bank if needed</t>
  </si>
  <si>
    <t xml:space="preserve">CO-02-020</t>
  </si>
  <si>
    <t xml:space="preserve">Return a gift</t>
  </si>
  <si>
    <t xml:space="preserve">Recipient wants a change</t>
  </si>
  <si>
    <t xml:space="preserve">My wife wants a different colour</t>
  </si>
  <si>
    <t xml:space="preserve">Shows the return route and deadline</t>
  </si>
  <si>
    <t xml:space="preserve">Return terms from the supplier</t>
  </si>
  <si>
    <t xml:space="preserve">CO-03-001</t>
  </si>
  <si>
    <t xml:space="preserve">Get sold-out event tickets</t>
  </si>
  <si>
    <t xml:space="preserve">Two tickets for the sold-out show on Friday</t>
  </si>
  <si>
    <t xml:space="preserve">Takes the brief and passes it to a lifestyle manager</t>
  </si>
  <si>
    <t xml:space="preserve">Only official or partner allocations; never unofficial touts</t>
  </si>
  <si>
    <t xml:space="preserve">CO-03-002</t>
  </si>
  <si>
    <t xml:space="preserve">Get private access</t>
  </si>
  <si>
    <t xml:space="preserve">A private after-hours visit to the gallery for eight</t>
  </si>
  <si>
    <t xml:space="preserve">Takes the brief and asks for a quote from the concierge team</t>
  </si>
  <si>
    <t xml:space="preserve">CO-03-003</t>
  </si>
  <si>
    <t xml:space="preserve">Get into a premiere or launch</t>
  </si>
  <si>
    <t xml:space="preserve">Invite only</t>
  </si>
  <si>
    <t xml:space="preserve">Can you get me into the film premiere?</t>
  </si>
  <si>
    <t xml:space="preserve">Explains honestly if it is invitation only, and passes the request on if there is a route</t>
  </si>
  <si>
    <t xml:space="preserve">StateCard, NEW: ConciergeBrief</t>
  </si>
  <si>
    <t xml:space="preserve">Never promises access that is not available</t>
  </si>
  <si>
    <t xml:space="preserve">CO-03-004</t>
  </si>
  <si>
    <t xml:space="preserve">Get race paddock access</t>
  </si>
  <si>
    <t xml:space="preserve">Paddock passes for the Grand Prix</t>
  </si>
  <si>
    <t xml:space="preserve">Takes the brief with dates and guests for a quote</t>
  </si>
  <si>
    <t xml:space="preserve">Access and price from official hospitality</t>
  </si>
  <si>
    <t xml:space="preserve">CO-03-005</t>
  </si>
  <si>
    <t xml:space="preserve">Get event tickets</t>
  </si>
  <si>
    <t xml:space="preserve">Can your concierge get me tickets?</t>
  </si>
  <si>
    <t xml:space="preserve">Says concierge is not on this card and offers resale alerts</t>
  </si>
  <si>
    <t xml:space="preserve">CO-03-006</t>
  </si>
  <si>
    <t xml:space="preserve">Tickets found</t>
  </si>
  <si>
    <t xml:space="preserve">Shows the tickets found, source, face value and the full price</t>
  </si>
  <si>
    <t xml:space="preserve">NEW: ClaimTracker, PriceLines, ConfirmSheet</t>
  </si>
  <si>
    <t xml:space="preserve">Shows face value next to the price; nothing bought without a yes</t>
  </si>
  <si>
    <t xml:space="preserve">CO-03-007</t>
  </si>
  <si>
    <t xml:space="preserve">Check dress code and entry</t>
  </si>
  <si>
    <t xml:space="preserve">What's the dress code and what do I need to bring?</t>
  </si>
  <si>
    <t xml:space="preserve">Shows dress code, ID and arrival details</t>
  </si>
  <si>
    <t xml:space="preserve">From the event</t>
  </si>
  <si>
    <t xml:space="preserve">CO-03-008</t>
  </si>
  <si>
    <t xml:space="preserve">Pay for access</t>
  </si>
  <si>
    <t xml:space="preserve">Quote agreed</t>
  </si>
  <si>
    <t xml:space="preserve">(approves the quote)</t>
  </si>
  <si>
    <t xml:space="preserve">Takes payment on the agreed total</t>
  </si>
  <si>
    <t xml:space="preserve">CO-03-009</t>
  </si>
  <si>
    <t xml:space="preserve">Can I use points for this?</t>
  </si>
  <si>
    <t xml:space="preserve">Uses points if the bank allows it for concierge purchases</t>
  </si>
  <si>
    <t xml:space="preserve">Points use for concierge set by the bank</t>
  </si>
  <si>
    <t xml:space="preserve">CO-03-010</t>
  </si>
  <si>
    <t xml:space="preserve">Add guest names</t>
  </si>
  <si>
    <t xml:space="preserve">Guests</t>
  </si>
  <si>
    <t xml:space="preserve">Add my two guests</t>
  </si>
  <si>
    <t xml:space="preserve">Collects the names the event needs</t>
  </si>
  <si>
    <t xml:space="preserve">Travellers, ConfirmSheet</t>
  </si>
  <si>
    <t xml:space="preserve">Names must match ID; shared only with the event</t>
  </si>
  <si>
    <t xml:space="preserve">CO-03-011</t>
  </si>
  <si>
    <t xml:space="preserve">Any luck with Friday?</t>
  </si>
  <si>
    <t xml:space="preserve">Shows request status and next update time</t>
  </si>
  <si>
    <t xml:space="preserve">From the concierge console</t>
  </si>
  <si>
    <t xml:space="preserve">CO-03-012</t>
  </si>
  <si>
    <t xml:space="preserve">Stop looking for the Friday tickets</t>
  </si>
  <si>
    <t xml:space="preserve">Cancels the request and says if anything was already bought</t>
  </si>
  <si>
    <t xml:space="preserve">Fees only if tickets already bought, per terms</t>
  </si>
  <si>
    <t xml:space="preserve">CO-03-013</t>
  </si>
  <si>
    <t xml:space="preserve">Refused at the door</t>
  </si>
  <si>
    <t xml:space="preserve">Entry refused</t>
  </si>
  <si>
    <t xml:space="preserve">They won't let us in</t>
  </si>
  <si>
    <t xml:space="preserve">Calls the concierge team at once and hands to a person</t>
  </si>
  <si>
    <t xml:space="preserve">Concierge team owns the fix; refund per terms</t>
  </si>
  <si>
    <t xml:space="preserve">CO-03-014</t>
  </si>
  <si>
    <t xml:space="preserve">Could not get access</t>
  </si>
  <si>
    <t xml:space="preserve">Says it could not be done and offers other dates or events</t>
  </si>
  <si>
    <t xml:space="preserve">CO-03-015</t>
  </si>
  <si>
    <t xml:space="preserve">Event cancelled</t>
  </si>
  <si>
    <t xml:space="preserve">Tells them the event is off and how the refund works</t>
  </si>
  <si>
    <t xml:space="preserve">CO-03-016</t>
  </si>
  <si>
    <t xml:space="preserve">We paid a fortune and the seats were terrible</t>
  </si>
  <si>
    <t xml:space="preserve">CO-04-001</t>
  </si>
  <si>
    <t xml:space="preserve">Plan ten days in Japan for our anniversary, top end</t>
  </si>
  <si>
    <t xml:space="preserve">Asks a few key questions and passes the brief to a travel specialist</t>
  </si>
  <si>
    <t xml:space="preserve">Planning by the concierge team</t>
  </si>
  <si>
    <t xml:space="preserve">CO-04-002</t>
  </si>
  <si>
    <t xml:space="preserve">Honeymoon</t>
  </si>
  <si>
    <t xml:space="preserve">Our honeymoon, somewhere with islands and privacy, in March</t>
  </si>
  <si>
    <t xml:space="preserve">Captures dates, budget and style, and shares a first set of ideas</t>
  </si>
  <si>
    <t xml:space="preserve">NEW: ConciergeBrief, Rail, Polaroid</t>
  </si>
  <si>
    <t xml:space="preserve">Ideas must be bookable for the dates</t>
  </si>
  <si>
    <t xml:space="preserve">CO-04-003</t>
  </si>
  <si>
    <t xml:space="preserve">Plan a family trip</t>
  </si>
  <si>
    <t xml:space="preserve">Three generations</t>
  </si>
  <si>
    <t xml:space="preserve">A week in Italy for 10 of us, from grandma to a toddler</t>
  </si>
  <si>
    <t xml:space="preserve">Captures ages, mobility and room needs for the specialist</t>
  </si>
  <si>
    <t xml:space="preserve">NEW: ConciergeBrief, Travellers</t>
  </si>
  <si>
    <t xml:space="preserve">Needs passed on only with consent</t>
  </si>
  <si>
    <t xml:space="preserve">CO-04-004</t>
  </si>
  <si>
    <t xml:space="preserve">Plan a group trip</t>
  </si>
  <si>
    <t xml:space="preserve">An offsite in Portugal for 30 people</t>
  </si>
  <si>
    <t xml:space="preserve">Takes the brief and hands to a person for a proposal</t>
  </si>
  <si>
    <t xml:space="preserve">CO-04-005</t>
  </si>
  <si>
    <t xml:space="preserve">Review the proposal</t>
  </si>
  <si>
    <t xml:space="preserve">Proposal ready</t>
  </si>
  <si>
    <t xml:space="preserve">Shows the proposal day by day with stays, flights and total</t>
  </si>
  <si>
    <t xml:space="preserve">Itinerary, TripFolder, PriceLines</t>
  </si>
  <si>
    <t xml:space="preserve">Prices held only as long as suppliers allow; hold time shown</t>
  </si>
  <si>
    <t xml:space="preserve">CO-04-006</t>
  </si>
  <si>
    <t xml:space="preserve">Ask for changes</t>
  </si>
  <si>
    <t xml:space="preserve">Proposal</t>
  </si>
  <si>
    <t xml:space="preserve">Swap Kyoto for more days in the mountains</t>
  </si>
  <si>
    <t xml:space="preserve">Sends the change to the specialist and shows the revised plan</t>
  </si>
  <si>
    <t xml:space="preserve">NEW: ClaimTracker, Itinerary</t>
  </si>
  <si>
    <t xml:space="preserve">Revised prices from suppliers</t>
  </si>
  <si>
    <t xml:space="preserve">CO-04-007</t>
  </si>
  <si>
    <t xml:space="preserve">Understand protection</t>
  </si>
  <si>
    <t xml:space="preserve">Package</t>
  </si>
  <si>
    <t xml:space="preserve">Are we protected if something goes wrong?</t>
  </si>
  <si>
    <t xml:space="preserve">Explains which parts are protected and by whom, in plain words</t>
  </si>
  <si>
    <t xml:space="preserve">Protection facts from the organiser's licences</t>
  </si>
  <si>
    <t xml:space="preserve">UK: ATOL and Package Travel Regulations; EU: Package Travel Directive; who is the organiser to confirm; other markets to confirm</t>
  </si>
  <si>
    <t xml:space="preserve">CO-04-008</t>
  </si>
  <si>
    <t xml:space="preserve">Check travel needs</t>
  </si>
  <si>
    <t xml:space="preserve">Visas and health</t>
  </si>
  <si>
    <t xml:space="preserve">Do we need visas?</t>
  </si>
  <si>
    <t xml:space="preserve">Gives the rule for their passports from an official source</t>
  </si>
  <si>
    <t xml:space="preserve">Visa info from an official source only</t>
  </si>
  <si>
    <t xml:space="preserve">CO-04-009</t>
  </si>
  <si>
    <t xml:space="preserve">Proposal agreed</t>
  </si>
  <si>
    <t xml:space="preserve">Go ahead, book it</t>
  </si>
  <si>
    <t xml:space="preserve">Shows the deposit, balance dates and cancellation terms, and asks for a yes</t>
  </si>
  <si>
    <t xml:space="preserve">PriceLines, Cancellation, ConfirmSheet, Receipt</t>
  </si>
  <si>
    <t xml:space="preserve">Deposit and terms from each supplier; re-price before pay</t>
  </si>
  <si>
    <t xml:space="preserve">CO-04-010</t>
  </si>
  <si>
    <t xml:space="preserve">Pay the balance</t>
  </si>
  <si>
    <t xml:space="preserve">Balance due</t>
  </si>
  <si>
    <t xml:space="preserve">Reminds them the balance is due and lets them pay</t>
  </si>
  <si>
    <t xml:space="preserve">NEW: InstalmentPlan, ConfirmSheet</t>
  </si>
  <si>
    <t xml:space="preserve">Due dates from the supplier terms</t>
  </si>
  <si>
    <t xml:space="preserve">CO-04-011</t>
  </si>
  <si>
    <t xml:space="preserve">Use points across the trip</t>
  </si>
  <si>
    <t xml:space="preserve">Use 200,000 points towards it</t>
  </si>
  <si>
    <t xml:space="preserve">Shows which parts points can pay for and the cash balance</t>
  </si>
  <si>
    <t xml:space="preserve">Point value and eligible parts from the bank</t>
  </si>
  <si>
    <t xml:space="preserve">CO-04-012</t>
  </si>
  <si>
    <t xml:space="preserve">Pay for the trip</t>
  </si>
  <si>
    <t xml:space="preserve">Says nothing was booked, holds prices only as long as suppliers allow, offers another way</t>
  </si>
  <si>
    <t xml:space="preserve">No booking without payment success; card limit decisions by the bank</t>
  </si>
  <si>
    <t xml:space="preserve">CO-04-013</t>
  </si>
  <si>
    <t xml:space="preserve">See the trip plan</t>
  </si>
  <si>
    <t xml:space="preserve">Show me the whole trip</t>
  </si>
  <si>
    <t xml:space="preserve">Shows the trip folder with every booking and document</t>
  </si>
  <si>
    <t xml:space="preserve">TripFolder, Itinerary</t>
  </si>
  <si>
    <t xml:space="preserve">Bookings from suppliers</t>
  </si>
  <si>
    <t xml:space="preserve">CO-04-014</t>
  </si>
  <si>
    <t xml:space="preserve">Change part of the trip</t>
  </si>
  <si>
    <t xml:space="preserve">Add two nights in Osaka at the end</t>
  </si>
  <si>
    <t xml:space="preserve">Sends it to the specialist and shows cost and knock-on changes</t>
  </si>
  <si>
    <t xml:space="preserve">NEW: ClaimTracker, Itinerary, ConfirmSheet</t>
  </si>
  <si>
    <t xml:space="preserve">Change fees from supplier terms</t>
  </si>
  <si>
    <t xml:space="preserve">CO-04-015</t>
  </si>
  <si>
    <t xml:space="preserve">Cancel the trip</t>
  </si>
  <si>
    <t xml:space="preserve">We have to cancel the whole thing</t>
  </si>
  <si>
    <t xml:space="preserve">Shows what comes back from each part and hands to a person to confirm</t>
  </si>
  <si>
    <t xml:space="preserve">Cancellation, PriceLines, Handoff</t>
  </si>
  <si>
    <t xml:space="preserve">Refund amounts from each supplier's terms only</t>
  </si>
  <si>
    <t xml:space="preserve">CO-04-016</t>
  </si>
  <si>
    <t xml:space="preserve">Get help on the trip</t>
  </si>
  <si>
    <t xml:space="preserve">On trip</t>
  </si>
  <si>
    <t xml:space="preserve">Our driver hasn't turned up at the airport</t>
  </si>
  <si>
    <t xml:space="preserve">Contacts the local partner and the specialist, keeping them updated</t>
  </si>
  <si>
    <t xml:space="preserve">Status, Handoff</t>
  </si>
  <si>
    <t xml:space="preserve">Local partner and concierge team own the fix</t>
  </si>
  <si>
    <t xml:space="preserve">CO-04-017</t>
  </si>
  <si>
    <t xml:space="preserve">Get urgent help abroad</t>
  </si>
  <si>
    <t xml:space="preserve">Emergency</t>
  </si>
  <si>
    <t xml:space="preserve">My husband has been taken to hospital</t>
  </si>
  <si>
    <t xml:space="preserve">Gives the local emergency number and hands to a person straight away</t>
  </si>
  <si>
    <t xml:space="preserve">Emergencies always go to a person; bank's travel cover explained by a person</t>
  </si>
  <si>
    <t xml:space="preserve">CO-04-018</t>
  </si>
  <si>
    <t xml:space="preserve">Disruption on the trip</t>
  </si>
  <si>
    <t xml:space="preserve">Tells them about the change and shows the options the specialist has already lined up</t>
  </si>
  <si>
    <t xml:space="preserve">Disruption, Itinerary, Handoff</t>
  </si>
  <si>
    <t xml:space="preserve">Options from supplier rules</t>
  </si>
  <si>
    <t xml:space="preserve">CO-04-019</t>
  </si>
  <si>
    <t xml:space="preserve">Give feedback</t>
  </si>
  <si>
    <t xml:space="preserve">Trip over</t>
  </si>
  <si>
    <t xml:space="preserve">Asks what worked and what did not, for next time</t>
  </si>
  <si>
    <t xml:space="preserve">CO-04-020</t>
  </si>
  <si>
    <t xml:space="preserve">The villa was nothing like the photos</t>
  </si>
  <si>
    <t xml:space="preserve">Logs the complaint with details and hands to a person</t>
  </si>
  <si>
    <t xml:space="preserve">Complaints handled by the bank; refund per supplier terms</t>
  </si>
  <si>
    <t xml:space="preserve">CO-05-001</t>
  </si>
  <si>
    <t xml:space="preserve">See what help is on offer</t>
  </si>
  <si>
    <t xml:space="preserve">What can the concierge do around the house?</t>
  </si>
  <si>
    <t xml:space="preserve">Lists the errands and home services this card includes, and any fees</t>
  </si>
  <si>
    <t xml:space="preserve">Services and fees from the bank</t>
  </si>
  <si>
    <t xml:space="preserve">Availability depends on card, bank and city; to confirm per market</t>
  </si>
  <si>
    <t xml:space="preserve">CO-05-002</t>
  </si>
  <si>
    <t xml:space="preserve">Book a home repair</t>
  </si>
  <si>
    <t xml:space="preserve">Urgent</t>
  </si>
  <si>
    <t xml:space="preserve">My boiler's broken, I need someone today</t>
  </si>
  <si>
    <t xml:space="preserve">Finds a vetted tradesperson with the earliest slot and call-out price</t>
  </si>
  <si>
    <t xml:space="preserve">Rail, TimeSlots, PriceLines</t>
  </si>
  <si>
    <t xml:space="preserve">Vetted partners only; prices from the partner</t>
  </si>
  <si>
    <t xml:space="preserve">CO-05-003</t>
  </si>
  <si>
    <t xml:space="preserve">Book a home service</t>
  </si>
  <si>
    <t xml:space="preserve">A deep clean for the flat next Tuesday</t>
  </si>
  <si>
    <t xml:space="preserve">Shows options and slots for Tuesday</t>
  </si>
  <si>
    <t xml:space="preserve">Partner prices</t>
  </si>
  <si>
    <t xml:space="preserve">CO-05-004</t>
  </si>
  <si>
    <t xml:space="preserve">Arrange an errand</t>
  </si>
  <si>
    <t xml:space="preserve">Pickup and drop</t>
  </si>
  <si>
    <t xml:space="preserve">Can someone collect my dry cleaning?</t>
  </si>
  <si>
    <t xml:space="preserve">Arranges the pickup with time and cost</t>
  </si>
  <si>
    <t xml:space="preserve">CO-05-005</t>
  </si>
  <si>
    <t xml:space="preserve">Arrange car servicing</t>
  </si>
  <si>
    <t xml:space="preserve">Car collected</t>
  </si>
  <si>
    <t xml:space="preserve">Get my car serviced, pick it up from home</t>
  </si>
  <si>
    <t xml:space="preserve">Arranges collection and service with the cost upfront</t>
  </si>
  <si>
    <t xml:space="preserve">TimeSlots, PriceLines, ConfirmSheet</t>
  </si>
  <si>
    <t xml:space="preserve">Quote from the partner</t>
  </si>
  <si>
    <t xml:space="preserve">CO-05-006</t>
  </si>
  <si>
    <t xml:space="preserve">Arrange pet care</t>
  </si>
  <si>
    <t xml:space="preserve">Away</t>
  </si>
  <si>
    <t xml:space="preserve">Someone to walk the dog while I'm away next week</t>
  </si>
  <si>
    <t xml:space="preserve">Shows vetted pet sitters with dates and cost</t>
  </si>
  <si>
    <t xml:space="preserve">Rail, TimeSlots</t>
  </si>
  <si>
    <t xml:space="preserve">Vetted partners only</t>
  </si>
  <si>
    <t xml:space="preserve">CO-05-007</t>
  </si>
  <si>
    <t xml:space="preserve">Set up a regular errand</t>
  </si>
  <si>
    <t xml:space="preserve">Weekly</t>
  </si>
  <si>
    <t xml:space="preserve">Weekly cleaner every Thursday</t>
  </si>
  <si>
    <t xml:space="preserve">Sets up the regular booking and shows the cost per visit</t>
  </si>
  <si>
    <t xml:space="preserve">TimeSlots, Toggle, ConfirmSheet</t>
  </si>
  <si>
    <t xml:space="preserve">Recurring charge needs a yes and can be stopped any time</t>
  </si>
  <si>
    <t xml:space="preserve">CO-05-008</t>
  </si>
  <si>
    <t xml:space="preserve">Help an older parent</t>
  </si>
  <si>
    <t xml:space="preserve">Vulnerable customer</t>
  </si>
  <si>
    <t xml:space="preserve">Can someone check on my dad and do his shopping?</t>
  </si>
  <si>
    <t xml:space="preserve">Explains what is possible and hands to a person to set it up with care</t>
  </si>
  <si>
    <t xml:space="preserve">Care for vulnerable customers set by the bank; consent of the person helped</t>
  </si>
  <si>
    <t xml:space="preserve">CO-05-009</t>
  </si>
  <si>
    <t xml:space="preserve">Give access to my home</t>
  </si>
  <si>
    <t xml:space="preserve">Nobody home</t>
  </si>
  <si>
    <t xml:space="preserve">The cleaner can use the key safe</t>
  </si>
  <si>
    <t xml:space="preserve">Explains who will come, their ID, and asks for a clear yes before sharing access</t>
  </si>
  <si>
    <t xml:space="preserve">Access details shared only with explicit consent, and deleted after</t>
  </si>
  <si>
    <t xml:space="preserve">CO-05-010</t>
  </si>
  <si>
    <t xml:space="preserve">Tradesperson quote</t>
  </si>
  <si>
    <t xml:space="preserve">Shows the quote and asks for a yes before work starts</t>
  </si>
  <si>
    <t xml:space="preserve">No work paid without a yes on the amount</t>
  </si>
  <si>
    <t xml:space="preserve">CO-05-011</t>
  </si>
  <si>
    <t xml:space="preserve">Pay for the service</t>
  </si>
  <si>
    <t xml:space="preserve">Job done</t>
  </si>
  <si>
    <t xml:space="preserve">(job finished)</t>
  </si>
  <si>
    <t xml:space="preserve">Shows the final bill against the quote and takes payment after a yes</t>
  </si>
  <si>
    <t xml:space="preserve">Final bill cannot exceed the quote without a new yes</t>
  </si>
  <si>
    <t xml:space="preserve">CO-05-012</t>
  </si>
  <si>
    <t xml:space="preserve">The plumber wants more than the quote</t>
  </si>
  <si>
    <t xml:space="preserve">Shows both amounts and asks the customer to approve or dispute</t>
  </si>
  <si>
    <t xml:space="preserve">StateCard (price), Handoff</t>
  </si>
  <si>
    <t xml:space="preserve">CO-05-013</t>
  </si>
  <si>
    <t xml:space="preserve">Change or cancel a booking</t>
  </si>
  <si>
    <t xml:space="preserve">Move the cleaner to Friday</t>
  </si>
  <si>
    <t xml:space="preserve">Checks Friday and any fee, asks to confirm</t>
  </si>
  <si>
    <t xml:space="preserve">CO-05-014</t>
  </si>
  <si>
    <t xml:space="preserve">Stop a regular errand</t>
  </si>
  <si>
    <t xml:space="preserve">No longer needed</t>
  </si>
  <si>
    <t xml:space="preserve">Stop the weekly cleaner</t>
  </si>
  <si>
    <t xml:space="preserve">Stops future visits and confirms the last charge</t>
  </si>
  <si>
    <t xml:space="preserve">Customer can stop any time; notice from partner terms</t>
  </si>
  <si>
    <t xml:space="preserve">CO-05-015</t>
  </si>
  <si>
    <t xml:space="preserve">Tradesperson did not arrive</t>
  </si>
  <si>
    <t xml:space="preserve">Nobody came for the repair</t>
  </si>
  <si>
    <t xml:space="preserve">Contacts the partner, rebooks the earliest slot, and logs it</t>
  </si>
  <si>
    <t xml:space="preserve">StateCard (error), TimeSlots, Handoff</t>
  </si>
  <si>
    <t xml:space="preserve">No charge for partner no-show</t>
  </si>
  <si>
    <t xml:space="preserve">CO-05-016</t>
  </si>
  <si>
    <t xml:space="preserve">Damage or poor work</t>
  </si>
  <si>
    <t xml:space="preserve">Damage</t>
  </si>
  <si>
    <t xml:space="preserve">They've damaged the floor</t>
  </si>
  <si>
    <t xml:space="preserve">Takes details and photos, and hands to a person</t>
  </si>
  <si>
    <t xml:space="preserve">Liability decided by the partner and bank; never admitted by Gratifi</t>
  </si>
  <si>
    <t xml:space="preserve">CO-05-017</t>
  </si>
  <si>
    <t xml:space="preserve">Feel unsafe</t>
  </si>
  <si>
    <t xml:space="preserve">Safety concern</t>
  </si>
  <si>
    <t xml:space="preserve">The man who came round made me uncomfortable</t>
  </si>
  <si>
    <t xml:space="preserve">Takes it seriously, gives police numbers if needed, and hands to a person straight away</t>
  </si>
  <si>
    <t xml:space="preserve">CO-05-018</t>
  </si>
  <si>
    <t xml:space="preserve">One-tap rating that affects which partners are used</t>
  </si>
  <si>
    <t xml:space="preserve">BE-01-001</t>
  </si>
  <si>
    <t xml:space="preserve">See everything my card gives me</t>
  </si>
  <si>
    <t xml:space="preserve">What do I get with this card?</t>
  </si>
  <si>
    <t xml:space="preserve">Lists the card's benefits from the bank's catalogue in groups (rewards, offers, protection, travel, credit, security, alerts, help), one line each with what to do</t>
  </si>
  <si>
    <t xml:space="preserve">Answer, BenefitRow, Chips, Suggestions</t>
  </si>
  <si>
    <t xml:space="preserve">Only items in the bank's entitlement catalogue for this exact card; each links to where the bank publishes it</t>
  </si>
  <si>
    <t xml:space="preserve">BE-01-002</t>
  </si>
  <si>
    <t xml:space="preserve">What does our business card include?</t>
  </si>
  <si>
    <t xml:space="preserve">Lists business benefits: travel cover, purchase protection, misuse cover, business savings offers and expense tools</t>
  </si>
  <si>
    <t xml:space="preserve">Answer, BenefitRow, Chips</t>
  </si>
  <si>
    <t xml:space="preserve">Company-level items shown only to administrators; cardholders see their own card</t>
  </si>
  <si>
    <t xml:space="preserve">BE-01-003</t>
  </si>
  <si>
    <t xml:space="preserve">(in Arabic) What are the benefits on my card?</t>
  </si>
  <si>
    <t xml:space="preserve">Shows the same list in Arabic, right to left, with the same terms</t>
  </si>
  <si>
    <t xml:space="preserve">ArabicScreens, BenefitRow</t>
  </si>
  <si>
    <t xml:space="preserve">Arabic terms approved by the bank; figures identical to English</t>
  </si>
  <si>
    <t xml:space="preserve">BE-01-004</t>
  </si>
  <si>
    <t xml:space="preserve">Check if something is included</t>
  </si>
  <si>
    <t xml:space="preserve">Does my card include travel insurance?</t>
  </si>
  <si>
    <t xml:space="preserve">Answers yes or no from the catalogue, with the terms, the conditions and what to do next</t>
  </si>
  <si>
    <t xml:space="preserve">Yes or no from the catalogue, never guessed; source line shown</t>
  </si>
  <si>
    <t xml:space="preserve">BE-01-005</t>
  </si>
  <si>
    <t xml:space="preserve">Not included</t>
  </si>
  <si>
    <t xml:space="preserve">Is my phone covered by my card?</t>
  </si>
  <si>
    <t xml:space="preserve">Says plainly the card does not include it and names the nearest thing it does include, such as money-back rights on purchases</t>
  </si>
  <si>
    <t xml:space="preserve">Answer, BenefitRow, Suggestions</t>
  </si>
  <si>
    <t xml:space="preserve">No implied cover; alternatives only from the catalogue</t>
  </si>
  <si>
    <t xml:space="preserve">UK example: Section 75 on purchases of £100 to £30,000; other markets to confirm</t>
  </si>
  <si>
    <t xml:space="preserve">BE-01-006</t>
  </si>
  <si>
    <t xml:space="preserve">See what is left of a benefit</t>
  </si>
  <si>
    <t xml:space="preserve">Limited allowance</t>
  </si>
  <si>
    <t xml:space="preserve">How many lounge visits have I got left this year?</t>
  </si>
  <si>
    <t xml:space="preserve">Shows used and remaining from the bank, and the date the allowance resets</t>
  </si>
  <si>
    <t xml:space="preserve">BenefitRow, Dial, Meta</t>
  </si>
  <si>
    <t xml:space="preserve">Counts and reset date from the bank's ledger, never estimated</t>
  </si>
  <si>
    <t xml:space="preserve">BE-01-007</t>
  </si>
  <si>
    <t xml:space="preserve">Find out how to use a benefit</t>
  </si>
  <si>
    <t xml:space="preserve">How do I use the free lounge access?</t>
  </si>
  <si>
    <t xml:space="preserve">Explains the steps in plain words and offers to do the first one in chat where it can</t>
  </si>
  <si>
    <t xml:space="preserve">Answer, BenefitRow, Button</t>
  </si>
  <si>
    <t xml:space="preserve">Steps from the catalogue's "what to do" field</t>
  </si>
  <si>
    <t xml:space="preserve">BE-01-008</t>
  </si>
  <si>
    <t xml:space="preserve">See entertainment and extras with my card</t>
  </si>
  <si>
    <t xml:space="preserve">Bank entertainment programme</t>
  </si>
  <si>
    <t xml:space="preserve">Do I get anything for gigs or festivals?</t>
  </si>
  <si>
    <t xml:space="preserve">Shows the bank's entertainment extras for this card, such as early access and discounts, and offers the presale alert switch</t>
  </si>
  <si>
    <t xml:space="preserve">BenefitRow, Toggle, Rail</t>
  </si>
  <si>
    <t xml:space="preserve">Programme and eligibility from the bank; presale dates from the programme feed</t>
  </si>
  <si>
    <t xml:space="preserve">Programme availability differs by bank and market</t>
  </si>
  <si>
    <t xml:space="preserve">BE-01-009</t>
  </si>
  <si>
    <t xml:space="preserve">Use a benefit I am not using</t>
  </si>
  <si>
    <t xml:space="preserve">Unused benefit fits a recent purchase</t>
  </si>
  <si>
    <t xml:space="preserve">Notes that a benefit the customer has not used fits something they just bought, for example extended warranty on a new laptop</t>
  </si>
  <si>
    <t xml:space="preserve">Moment, BenefitRow, TransactionRow</t>
  </si>
  <si>
    <t xml:space="preserve">Only benefits on this card; suggestions switch on; counts against the weekly cap</t>
  </si>
  <si>
    <t xml:space="preserve">Consent rules: UK GDPR and PECR, EU GDPR, India DPDP Act, Singapore PDPA, Malaysia PDPA, UAE PDPL</t>
  </si>
  <si>
    <t xml:space="preserve">BE-01-010</t>
  </si>
  <si>
    <t xml:space="preserve">Tell bank benefits from partner deals</t>
  </si>
  <si>
    <t xml:space="preserve">Is this deal from my bank?</t>
  </si>
  <si>
    <t xml:space="preserve">Shows whether an item is the bank's own benefit or a partner deal added by Gratifi</t>
  </si>
  <si>
    <t xml:space="preserve">OfferCard, BenefitRow, Badge</t>
  </si>
  <si>
    <t xml:space="preserve">Partner content always labelled "Added by Gratifi"</t>
  </si>
  <si>
    <t xml:space="preserve">BE-01-011</t>
  </si>
  <si>
    <t xml:space="preserve">Pick the right card for a purchase</t>
  </si>
  <si>
    <t xml:space="preserve">Two cards, big purchase</t>
  </si>
  <si>
    <t xml:space="preserve">Which card should I use for a £900 sofa?</t>
  </si>
  <si>
    <t xml:space="preserve">Compares the customer's cards on what differs for this purchase: money-back rights, purchase cover, rewards earned, instalment option</t>
  </si>
  <si>
    <t xml:space="preserve">Facts from each card's catalogue and earn rules; says which card earns or protects more, never whether to buy</t>
  </si>
  <si>
    <t xml:space="preserve">UK: only credit cards give Section 75; to confirm elsewhere</t>
  </si>
  <si>
    <t xml:space="preserve">BE-01-012</t>
  </si>
  <si>
    <t xml:space="preserve">Two cards, trip abroad</t>
  </si>
  <si>
    <t xml:space="preserve">Which card should I take to Spain?</t>
  </si>
  <si>
    <t xml:space="preserve">Compares foreign-currency fees, cash fees, travel cover and lounge access for the two cards</t>
  </si>
  <si>
    <t xml:space="preserve">Fees from the bank's tariff; cover from the policy</t>
  </si>
  <si>
    <t xml:space="preserve">BE-01-013</t>
  </si>
  <si>
    <t xml:space="preserve">Two cards, earning towards a goal</t>
  </si>
  <si>
    <t xml:space="preserve">Which card gets me Avios faster?</t>
  </si>
  <si>
    <t xml:space="preserve">Shows the earn rate on each card for this kind of spend and which reaches the goal sooner</t>
  </si>
  <si>
    <t xml:space="preserve">Compare, Dial</t>
  </si>
  <si>
    <t xml:space="preserve">Earn rules from the bank</t>
  </si>
  <si>
    <t xml:space="preserve">BE-01-014</t>
  </si>
  <si>
    <t xml:space="preserve">Buy extra at the card's member price</t>
  </si>
  <si>
    <t xml:space="preserve">Allowance used up</t>
  </si>
  <si>
    <t xml:space="preserve">I've used my free visits, can I buy another?</t>
  </si>
  <si>
    <t xml:space="preserve">Shows the member price, asks to confirm and issues the pass</t>
  </si>
  <si>
    <t xml:space="preserve">BenefitRow, PayWith, ConfirmSheet, LoungePass</t>
  </si>
  <si>
    <t xml:space="preserve">Price from the provider; confirm shows the amount</t>
  </si>
  <si>
    <t xml:space="preserve">BE-01-015</t>
  </si>
  <si>
    <t xml:space="preserve">Know my benefits are changing</t>
  </si>
  <si>
    <t xml:space="preserve">Bank changes the card's benefits</t>
  </si>
  <si>
    <t xml:space="preserve">Explains in plain words what the bank is changing, from when, and what the customer can do</t>
  </si>
  <si>
    <t xml:space="preserve">Moment, BenefitRow, Answer</t>
  </si>
  <si>
    <t xml:space="preserve">Wording and dates from the bank's notice; notice periods set by law</t>
  </si>
  <si>
    <t xml:space="preserve">Notice periods differ per market (to confirm)</t>
  </si>
  <si>
    <t xml:space="preserve">BE-01-016</t>
  </si>
  <si>
    <t xml:space="preserve">See what my card gives me abroad</t>
  </si>
  <si>
    <t xml:space="preserve">What does my card give me on this trip?</t>
  </si>
  <si>
    <t xml:space="preserve">Pulls the travel items for this card: fees abroad, cover, lounges, fast track and emergency help</t>
  </si>
  <si>
    <t xml:space="preserve">TripFolder, BenefitRow</t>
  </si>
  <si>
    <t xml:space="preserve">Travel items from the catalogue; cover conditions shown</t>
  </si>
  <si>
    <t xml:space="preserve">BE-01-017</t>
  </si>
  <si>
    <t xml:space="preserve">Use a benefit I was refused</t>
  </si>
  <si>
    <t xml:space="preserve">At the provider's desk</t>
  </si>
  <si>
    <t xml:space="preserve">Benefit refused at point of use</t>
  </si>
  <si>
    <t xml:space="preserve">The lounge says my card isn't accepted</t>
  </si>
  <si>
    <t xml:space="preserve">Checks the entitlement and visits left, shows the proof on screen, and connects to the bank's team if it still fails</t>
  </si>
  <si>
    <t xml:space="preserve">BenefitRow, StateCard, Handoff</t>
  </si>
  <si>
    <t xml:space="preserve">Entitlement from the bank; Gratifi cannot overrule the provider</t>
  </si>
  <si>
    <t xml:space="preserve">BE-01-018</t>
  </si>
  <si>
    <t xml:space="preserve">Not in the catalogue</t>
  </si>
  <si>
    <t xml:space="preserve">Unknown item</t>
  </si>
  <si>
    <t xml:space="preserve">Do I get free cinema tickets?</t>
  </si>
  <si>
    <t xml:space="preserve">Says it cannot find that on this card's list, does not guess, and offers to ask the bank's team</t>
  </si>
  <si>
    <t xml:space="preserve">Never infer a benefit that is not in the catalogue</t>
  </si>
  <si>
    <t xml:space="preserve">BE-01-019</t>
  </si>
  <si>
    <t xml:space="preserve">See the value I have had from my card</t>
  </si>
  <si>
    <t xml:space="preserve">Card with an annual fee</t>
  </si>
  <si>
    <t xml:space="preserve">Is my card worth the fee?</t>
  </si>
  <si>
    <t xml:space="preserve">Shows benefits used this year, with a value only where the bank publishes one, next to the fee, and does not advise keeping or cancelling</t>
  </si>
  <si>
    <t xml:space="preserve">Answer, PriceLines, BenefitRow</t>
  </si>
  <si>
    <t xml:space="preserve">Values from the bank's catalogue only; no advice; product changes go to the bank</t>
  </si>
  <si>
    <t xml:space="preserve">BE-01-020</t>
  </si>
  <si>
    <t xml:space="preserve">Share my benefits list</t>
  </si>
  <si>
    <t xml:space="preserve">Partner or family</t>
  </si>
  <si>
    <t xml:space="preserve">Send my card benefits to my husband</t>
  </si>
  <si>
    <t xml:space="preserve">Shares a summary of the card's benefits with no balances or personal data</t>
  </si>
  <si>
    <t xml:space="preserve">SendTo, BenefitRow</t>
  </si>
  <si>
    <t xml:space="preserve">Shared text holds no account or personal data; customer's yes needed</t>
  </si>
  <si>
    <t xml:space="preserve">BE-01-021</t>
  </si>
  <si>
    <t xml:space="preserve">Register or turn on a benefit</t>
  </si>
  <si>
    <t xml:space="preserve">Benefit needs enrolment</t>
  </si>
  <si>
    <t xml:space="preserve">Turn on the travel cover on my card</t>
  </si>
  <si>
    <t xml:space="preserve">Explains what enrolment involves and starts it, or opens the bank's page if it cannot be done in chat</t>
  </si>
  <si>
    <t xml:space="preserve">BenefitRow, ConfirmSheet, Toast</t>
  </si>
  <si>
    <t xml:space="preserve">Enrolment done by the bank's system; customer's yes recorded</t>
  </si>
  <si>
    <t xml:space="preserve">BE-01-022</t>
  </si>
  <si>
    <t xml:space="preserve">Change to a card with different benefits</t>
  </si>
  <si>
    <t xml:space="preserve">Wants more travel benefits</t>
  </si>
  <si>
    <t xml:space="preserve">Is there a card with better travel perks?</t>
  </si>
  <si>
    <t xml:space="preserve">Shows the bank's other cards side by side if the bank allows it, and hands the change to the bank</t>
  </si>
  <si>
    <t xml:space="preserve">Compare, Handoff</t>
  </si>
  <si>
    <t xml:space="preserve">Eligibility and credit decisions by the bank only; never suggested to a customer showing signs of money worries</t>
  </si>
  <si>
    <t xml:space="preserve">Rules on promoting credit differ per market (to confirm)</t>
  </si>
  <si>
    <t xml:space="preserve">BE-01-023</t>
  </si>
  <si>
    <t xml:space="preserve">See what changed with my new card</t>
  </si>
  <si>
    <t xml:space="preserve">Card upgraded or switched</t>
  </si>
  <si>
    <t xml:space="preserve">I've moved to the premium card, what's different?</t>
  </si>
  <si>
    <t xml:space="preserve">Shows benefits gained and lost between the old and new card, with start and end dates</t>
  </si>
  <si>
    <t xml:space="preserve">Dates from the bank; cover on trips already booked follows the policy</t>
  </si>
  <si>
    <t xml:space="preserve">BE-01-024</t>
  </si>
  <si>
    <t xml:space="preserve">See what benefits apply to me</t>
  </si>
  <si>
    <t xml:space="preserve">Additional cardholder</t>
  </si>
  <si>
    <t xml:space="preserve">What do I get as a second cardholder?</t>
  </si>
  <si>
    <t xml:space="preserve">Shows only the benefits the bank extends to additional cardholders</t>
  </si>
  <si>
    <t xml:space="preserve">Additional cardholders see their own entitlements, never the main cardholder's balance unless the bank allows it</t>
  </si>
  <si>
    <t xml:space="preserve">BE-01-025</t>
  </si>
  <si>
    <t xml:space="preserve">Use my benefits before closing the card</t>
  </si>
  <si>
    <t xml:space="preserve">Closing the card</t>
  </si>
  <si>
    <t xml:space="preserve">I want to close my card</t>
  </si>
  <si>
    <t xml:space="preserve">Shows rewards and allowances still unused and what is lost on closing, then hands to the team</t>
  </si>
  <si>
    <t xml:space="preserve">BenefitRow, PriceLines, Handoff</t>
  </si>
  <si>
    <t xml:space="preserve">No retention offers unless the bank has approved them for this case</t>
  </si>
  <si>
    <t xml:space="preserve">BE-02-001</t>
  </si>
  <si>
    <t xml:space="preserve">Check if a purchase is protected</t>
  </si>
  <si>
    <t xml:space="preserve">Is my new TV covered if it breaks?</t>
  </si>
  <si>
    <t xml:space="preserve">Finds the payment, checks the card's purchase cover and warranty terms, and says what is covered and until when</t>
  </si>
  <si>
    <t xml:space="preserve">TransactionRow, BenefitRow, Answer</t>
  </si>
  <si>
    <t xml:space="preserve">Cover and dates from the bank's terms, never guessed</t>
  </si>
  <si>
    <t xml:space="preserve">BE-02-002</t>
  </si>
  <si>
    <t xml:space="preserve">Card has no purchase cover</t>
  </si>
  <si>
    <t xml:space="preserve">Not covered</t>
  </si>
  <si>
    <t xml:space="preserve">Is my blender covered?</t>
  </si>
  <si>
    <t xml:space="preserve">Says the card has no purchase cover and explains the money-back rights that still apply</t>
  </si>
  <si>
    <t xml:space="preserve">Only from the catalogue</t>
  </si>
  <si>
    <t xml:space="preserve">UK: Section 75 (credit cards, items £100 to £30,000) and chargeback; EU, IN, AE, SG, MY: chargeback and local consumer law (to confirm)</t>
  </si>
  <si>
    <t xml:space="preserve">BE-02-003</t>
  </si>
  <si>
    <t xml:space="preserve">Know how long my warranty is extended</t>
  </si>
  <si>
    <t xml:space="preserve">Extended warranty benefit</t>
  </si>
  <si>
    <t xml:space="preserve">Does my card add to the warranty on my laptop?</t>
  </si>
  <si>
    <t xml:space="preserve">Shows the extra period the card adds on top of the maker's warranty and the conditions</t>
  </si>
  <si>
    <t xml:space="preserve">BenefitRow, Meta</t>
  </si>
  <si>
    <t xml:space="preserve">Extension length and conditions from the bank's terms</t>
  </si>
  <si>
    <t xml:space="preserve">Depends on card and market (to confirm)</t>
  </si>
  <si>
    <t xml:space="preserve">BE-02-004</t>
  </si>
  <si>
    <t xml:space="preserve">Know a big purchase is protected</t>
  </si>
  <si>
    <t xml:space="preserve">Large purchase</t>
  </si>
  <si>
    <t xml:space="preserve">After a large purchase, a short note says how long it is protected and offers to save the receipt</t>
  </si>
  <si>
    <t xml:space="preserve">Moment, TransactionRow, NEW: Upload</t>
  </si>
  <si>
    <t xml:space="preserve">Only if the card has the cover; suggestions switch on; weekly cap</t>
  </si>
  <si>
    <t xml:space="preserve">BE-02-005</t>
  </si>
  <si>
    <t xml:space="preserve">Get the difference if the price drops</t>
  </si>
  <si>
    <t xml:space="preserve">Price protection on the card</t>
  </si>
  <si>
    <t xml:space="preserve">The TV I bought is now £100 cheaper elsewhere</t>
  </si>
  <si>
    <t xml:space="preserve">Checks whether the card has price protection; if yes it starts a claim, if not it says so</t>
  </si>
  <si>
    <t xml:space="preserve">BenefitRow, NEW: ClaimTracker</t>
  </si>
  <si>
    <t xml:space="preserve">Only if the benefit is in the catalogue</t>
  </si>
  <si>
    <t xml:space="preserve">Rare benefit; depends on card (to confirm)</t>
  </si>
  <si>
    <t xml:space="preserve">BE-02-006</t>
  </si>
  <si>
    <t xml:space="preserve">Check business purchase cover</t>
  </si>
  <si>
    <t xml:space="preserve">What purchase protection do we get on the business card?</t>
  </si>
  <si>
    <t xml:space="preserve">Shows limits per item, per claim and per year, and misuse cover per cardholder</t>
  </si>
  <si>
    <t xml:space="preserve">Limits from the terms; company-level cover shown to administrators</t>
  </si>
  <si>
    <t xml:space="preserve">BE-02-007</t>
  </si>
  <si>
    <t xml:space="preserve">Get paid for a cover claim</t>
  </si>
  <si>
    <t xml:space="preserve">Claim approved</t>
  </si>
  <si>
    <t xml:space="preserve">When will I get the money for my claim?</t>
  </si>
  <si>
    <t xml:space="preserve">Shows the approved amount and where and when it will be paid</t>
  </si>
  <si>
    <t xml:space="preserve">Receipt, PriceLines</t>
  </si>
  <si>
    <t xml:space="preserve">Amount from the provider; paid to the card or a bank account as the terms say</t>
  </si>
  <si>
    <t xml:space="preserve">BE-02-008</t>
  </si>
  <si>
    <t xml:space="preserve">Know my cover is about to end</t>
  </si>
  <si>
    <t xml:space="preserve">Registered item</t>
  </si>
  <si>
    <t xml:space="preserve">Reminds the customer before the card's extended warranty ends on an item they registered</t>
  </si>
  <si>
    <t xml:space="preserve">Dates from registration; reminder consent</t>
  </si>
  <si>
    <t xml:space="preserve">BE-02-009</t>
  </si>
  <si>
    <t xml:space="preserve">Work out the best route for a broken item</t>
  </si>
  <si>
    <t xml:space="preserve">Several routes possible</t>
  </si>
  <si>
    <t xml:space="preserve">My headphones stopped working after 8 months</t>
  </si>
  <si>
    <t xml:space="preserve">Lays out the routes in order: shop or maker first, then the card's cover, then money-back rights, with what each needs</t>
  </si>
  <si>
    <t xml:space="preserve">Answer, Steps, BenefitRow</t>
  </si>
  <si>
    <t xml:space="preserve">Routes and conditions from the bank's terms and local law</t>
  </si>
  <si>
    <t xml:space="preserve">UK: Section 75 (credit cards, items £100 to £30,000) and chargeback; EU, IN, AE, SG, MY: chargeback and local consumer law (to confirm); UK: Consumer Rights Act claims against the shop also apply</t>
  </si>
  <si>
    <t xml:space="preserve">BE-02-010</t>
  </si>
  <si>
    <t xml:space="preserve">Claim for a damaged item</t>
  </si>
  <si>
    <t xml:space="preserve">Within the cover period</t>
  </si>
  <si>
    <t xml:space="preserve">I dropped my new phone and cracked the screen</t>
  </si>
  <si>
    <t xml:space="preserve">Checks the cover, lists what is needed (receipt, photos) and starts a prefilled claim</t>
  </si>
  <si>
    <t xml:space="preserve">TransactionRow, NEW: Upload, NEW: ClaimTracker</t>
  </si>
  <si>
    <t xml:space="preserve">Eligibility and excess from the terms; the provider decides</t>
  </si>
  <si>
    <t xml:space="preserve">BE-02-011</t>
  </si>
  <si>
    <t xml:space="preserve">Claim for a stolen item</t>
  </si>
  <si>
    <t xml:space="preserve">Theft within the cover period</t>
  </si>
  <si>
    <t xml:space="preserve">My new bike was stolen last week</t>
  </si>
  <si>
    <t xml:space="preserve">Explains the cover and the proof needed, which may include a crime reference, and starts the claim</t>
  </si>
  <si>
    <t xml:space="preserve">BenefitRow, NEW: Upload, NEW: ClaimTracker</t>
  </si>
  <si>
    <t xml:space="preserve">Proof and time limits from the terms</t>
  </si>
  <si>
    <t xml:space="preserve">BE-02-012</t>
  </si>
  <si>
    <t xml:space="preserve">Claim for a faulty item</t>
  </si>
  <si>
    <t xml:space="preserve">In the extended warranty period</t>
  </si>
  <si>
    <t xml:space="preserve">My washing machine broke after the maker's guarantee ended</t>
  </si>
  <si>
    <t xml:space="preserve">Checks whether the card's extension covers it and starts a repair or replacement claim</t>
  </si>
  <si>
    <t xml:space="preserve">TransactionRow, BenefitRow, NEW: ClaimTracker</t>
  </si>
  <si>
    <t xml:space="preserve">Provider decides repair, replacement or payment</t>
  </si>
  <si>
    <t xml:space="preserve">UK: Consumer Rights Act rights against the shop may also apply</t>
  </si>
  <si>
    <t xml:space="preserve">BE-02-013</t>
  </si>
  <si>
    <t xml:space="preserve">Gift for someone else</t>
  </si>
  <si>
    <t xml:space="preserve">I bought a watch for my son and it broke</t>
  </si>
  <si>
    <t xml:space="preserve">Checks what the terms say about gifts and who can claim</t>
  </si>
  <si>
    <t xml:space="preserve">Terms decide who can claim</t>
  </si>
  <si>
    <t xml:space="preserve">BE-02-014</t>
  </si>
  <si>
    <t xml:space="preserve">Item excluded</t>
  </si>
  <si>
    <t xml:space="preserve">Excluded item</t>
  </si>
  <si>
    <t xml:space="preserve">My new glasses broke, can I claim?</t>
  </si>
  <si>
    <t xml:space="preserve">Says the terms exclude this type of item, quotes the line, and points to other routes</t>
  </si>
  <si>
    <t xml:space="preserve">Exclusions quoted from the terms</t>
  </si>
  <si>
    <t xml:space="preserve">BE-02-015</t>
  </si>
  <si>
    <t xml:space="preserve">Claim above the per-item or yearly limit</t>
  </si>
  <si>
    <t xml:space="preserve">My £3,000 laptop was stolen</t>
  </si>
  <si>
    <t xml:space="preserve">Shows the limit per item and per year and what could be paid up to it</t>
  </si>
  <si>
    <t xml:space="preserve">Limits from the terms; the provider sets the amount</t>
  </si>
  <si>
    <t xml:space="preserve">BE-02-016</t>
  </si>
  <si>
    <t xml:space="preserve">Part paid on the card</t>
  </si>
  <si>
    <t xml:space="preserve">Not fully paid on card</t>
  </si>
  <si>
    <t xml:space="preserve">I paid half by card and half in cash</t>
  </si>
  <si>
    <t xml:space="preserve">Explains what the terms say about part payment and hands to the provider to decide</t>
  </si>
  <si>
    <t xml:space="preserve">Provider decides; no promise made</t>
  </si>
  <si>
    <t xml:space="preserve">BE-02-017</t>
  </si>
  <si>
    <t xml:space="preserve">Bought with points</t>
  </si>
  <si>
    <t xml:space="preserve">Paid with points</t>
  </si>
  <si>
    <t xml:space="preserve">I got it from the points catalogue, is it covered?</t>
  </si>
  <si>
    <t xml:space="preserve">Checks whether the terms count points purchases and, if not, explains the catalogue's own returns and warranty</t>
  </si>
  <si>
    <t xml:space="preserve">Terms from the bank and the catalogue</t>
  </si>
  <si>
    <t xml:space="preserve">BE-02-018</t>
  </si>
  <si>
    <t xml:space="preserve">Add proof to my cover claim</t>
  </si>
  <si>
    <t xml:space="preserve">Documents missing</t>
  </si>
  <si>
    <t xml:space="preserve">Provider needs more proof</t>
  </si>
  <si>
    <t xml:space="preserve">Tells the customer exactly what the provider still needs and by when, and lets them add it in chat</t>
  </si>
  <si>
    <t xml:space="preserve">Moment, NEW: Upload</t>
  </si>
  <si>
    <t xml:space="preserve">Deadline from the provider; files stored by the bank</t>
  </si>
  <si>
    <t xml:space="preserve">BE-02-019</t>
  </si>
  <si>
    <t xml:space="preserve">Challenge a declined cover claim</t>
  </si>
  <si>
    <t xml:space="preserve">Claim declined</t>
  </si>
  <si>
    <t xml:space="preserve">They've rejected my claim and it's not fair</t>
  </si>
  <si>
    <t xml:space="preserve">Shows the reason given, explains how to appeal or complain, and connects to a person</t>
  </si>
  <si>
    <t xml:space="preserve">Gratifi never argues the decision; complaints recorded and routed</t>
  </si>
  <si>
    <t xml:space="preserve">Escalation: UK Financial Ombudsman Service after 8 weeks; EU national ombudsman or ADR body; IN RBI Ombudsman; AE Central Bank consumer protection; SG FIDReC; MY Ombudsman for Financial Services (all timelines to confirm)</t>
  </si>
  <si>
    <t xml:space="preserve">BE-02-020</t>
  </si>
  <si>
    <t xml:space="preserve">Claim for employee misuse</t>
  </si>
  <si>
    <t xml:space="preserve">Card misused by an employee</t>
  </si>
  <si>
    <t xml:space="preserve">An employee used their card for personal things and left</t>
  </si>
  <si>
    <t xml:space="preserve">Explains misuse cover and the evidence needed, and hands to the business team</t>
  </si>
  <si>
    <t xml:space="preserve">Provider decides; administrator only</t>
  </si>
  <si>
    <t xml:space="preserve">BE-02-021</t>
  </si>
  <si>
    <t xml:space="preserve">Track my cover claim</t>
  </si>
  <si>
    <t xml:space="preserve">What's happening with my phone claim?</t>
  </si>
  <si>
    <t xml:space="preserve">Shows the claim reference, stage, next step and expected date</t>
  </si>
  <si>
    <t xml:space="preserve">Status from the provider's system</t>
  </si>
  <si>
    <t xml:space="preserve">BE-02-022</t>
  </si>
  <si>
    <t xml:space="preserve">Register a purchase for warranty</t>
  </si>
  <si>
    <t xml:space="preserve">Registration needed</t>
  </si>
  <si>
    <t xml:space="preserve">Register my camera for the extended warranty</t>
  </si>
  <si>
    <t xml:space="preserve">Captures the item, date and receipt, and sends them to the cover provider</t>
  </si>
  <si>
    <t xml:space="preserve">TransactionRow, NEW: Upload, Toast</t>
  </si>
  <si>
    <t xml:space="preserve">Registration handled by the provider; receipt stored by the bank</t>
  </si>
  <si>
    <t xml:space="preserve">BE-02-023</t>
  </si>
  <si>
    <t xml:space="preserve">Withdraw a cover claim</t>
  </si>
  <si>
    <t xml:space="preserve">Item repaired or found</t>
  </si>
  <si>
    <t xml:space="preserve">The shop fixed it after all, cancel my claim</t>
  </si>
  <si>
    <t xml:space="preserve">Withdraws the claim with the provider and confirms the reference is closed</t>
  </si>
  <si>
    <t xml:space="preserve">NEW: ClaimTracker, ConfirmSheet, Toast</t>
  </si>
  <si>
    <t xml:space="preserve">Withdrawal confirmed by the provider</t>
  </si>
  <si>
    <t xml:space="preserve">BE-03-001</t>
  </si>
  <si>
    <t xml:space="preserve">Spot a double charge</t>
  </si>
  <si>
    <t xml:space="preserve">Two identical payments close together</t>
  </si>
  <si>
    <t xml:space="preserve">Flags the two payments and asks if both were right, with "report one" a tap away</t>
  </si>
  <si>
    <t xml:space="preserve">Moment, TransactionRow, Button</t>
  </si>
  <si>
    <t xml:space="preserve">Detection by the bank's rules; the customer confirms before any claim</t>
  </si>
  <si>
    <t xml:space="preserve">BE-03-002</t>
  </si>
  <si>
    <t xml:space="preserve">Get a temporary credit while the bank looks into it</t>
  </si>
  <si>
    <t xml:space="preserve">Claim opened</t>
  </si>
  <si>
    <t xml:space="preserve">Will I get the money back while you check?</t>
  </si>
  <si>
    <t xml:space="preserve">Explains whether the bank gives a temporary credit and shows it once applied</t>
  </si>
  <si>
    <t xml:space="preserve">PriceLines, NEW: ClaimTracker</t>
  </si>
  <si>
    <t xml:space="preserve">Temporary credit and interest treatment decided by the bank</t>
  </si>
  <si>
    <t xml:space="preserve">BE-03-003</t>
  </si>
  <si>
    <t xml:space="preserve">Receive the money back</t>
  </si>
  <si>
    <t xml:space="preserve">Claim upheld</t>
  </si>
  <si>
    <t xml:space="preserve">Tells the customer the claim succeeded and shows the amount credited and the final reference</t>
  </si>
  <si>
    <t xml:space="preserve">Moment, Receipt, CheckPop</t>
  </si>
  <si>
    <t xml:space="preserve">Amount from the bank's decision</t>
  </si>
  <si>
    <t xml:space="preserve">BE-03-004</t>
  </si>
  <si>
    <t xml:space="preserve">Get money back for something that never arrived</t>
  </si>
  <si>
    <t xml:space="preserve">Bought directly, £100 or more</t>
  </si>
  <si>
    <t xml:space="preserve">My sofa never arrived and the shop won't answer</t>
  </si>
  <si>
    <t xml:space="preserve">Finds the payment, works out the route (Section 75 or chargeback), says what proof is needed and starts a prefilled claim</t>
  </si>
  <si>
    <t xml:space="preserve">TransactionRow, NEW: MoneyBackRoute, NEW: ClaimTracker, Button</t>
  </si>
  <si>
    <t xml:space="preserve">Route set by the bank's rules from amount, date and card type; the bank decides the claim</t>
  </si>
  <si>
    <t xml:space="preserve">BE-03-005</t>
  </si>
  <si>
    <t xml:space="preserve">Under £100</t>
  </si>
  <si>
    <t xml:space="preserve">A £40 order never came</t>
  </si>
  <si>
    <t xml:space="preserve">Explains chargeback applies rather than Section 75 and starts the claim</t>
  </si>
  <si>
    <t xml:space="preserve">TransactionRow, NEW: MoneyBackRoute, NEW: ClaimTracker</t>
  </si>
  <si>
    <t xml:space="preserve">Route set by the bank's rules</t>
  </si>
  <si>
    <t xml:space="preserve">UK: Section 75 starts at £100; chargeback has no minimum. Other markets: chargeback (to confirm)</t>
  </si>
  <si>
    <t xml:space="preserve">BE-03-006</t>
  </si>
  <si>
    <t xml:space="preserve">Get money back for a faulty item</t>
  </si>
  <si>
    <t xml:space="preserve">The kettle I bought is broken and the shop won't refund me</t>
  </si>
  <si>
    <t xml:space="preserve">Explains the route, what to send (receipt, photos, messages with the shop) and starts the claim</t>
  </si>
  <si>
    <t xml:space="preserve">TransactionRow, NEW: MoneyBackRoute, NEW: Upload</t>
  </si>
  <si>
    <t xml:space="preserve">The bank decides; proof list from the bank</t>
  </si>
  <si>
    <t xml:space="preserve">BE-03-007</t>
  </si>
  <si>
    <t xml:space="preserve">Get money back for something not as described</t>
  </si>
  <si>
    <t xml:space="preserve">The jacket is nothing like the photos</t>
  </si>
  <si>
    <t xml:space="preserve">Explains the route and the proof that helps, and starts the claim once the shop has been asked first</t>
  </si>
  <si>
    <t xml:space="preserve">The bank decides; merchant contact step set by the bank</t>
  </si>
  <si>
    <t xml:space="preserve">BE-03-008</t>
  </si>
  <si>
    <t xml:space="preserve">Get money back for a service not provided</t>
  </si>
  <si>
    <t xml:space="preserve">Event or service cancelled</t>
  </si>
  <si>
    <t xml:space="preserve">The concert was cancelled and they won't refund</t>
  </si>
  <si>
    <t xml:space="preserve">Finds the payment, explains the route and starts the claim</t>
  </si>
  <si>
    <t xml:space="preserve">The bank decides</t>
  </si>
  <si>
    <t xml:space="preserve">BE-03-009</t>
  </si>
  <si>
    <t xml:space="preserve">Get money back when the shop goes bust</t>
  </si>
  <si>
    <t xml:space="preserve">Company closed</t>
  </si>
  <si>
    <t xml:space="preserve">The shop went bust before sending my order</t>
  </si>
  <si>
    <t xml:space="preserve">Explains that the bank can still claim even though the shop has gone, and starts the claim</t>
  </si>
  <si>
    <t xml:space="preserve">BE-03-010</t>
  </si>
  <si>
    <t xml:space="preserve">Get money back when a travel firm fails</t>
  </si>
  <si>
    <t xml:space="preserve">Airline or holiday firm failed</t>
  </si>
  <si>
    <t xml:space="preserve">The airline has gone bust and my flights are cancelled</t>
  </si>
  <si>
    <t xml:space="preserve">Checks the payment, explains the card route and any other protection such as a package holiday scheme, and starts the claim</t>
  </si>
  <si>
    <t xml:space="preserve">TransactionRow, NEW: MoneyBackRoute, Handoff</t>
  </si>
  <si>
    <t xml:space="preserve">The bank decides; other schemes named only from approved guides</t>
  </si>
  <si>
    <t xml:space="preserve">UK: ATOL may apply first for package holidays (to confirm); other markets to confirm</t>
  </si>
  <si>
    <t xml:space="preserve">BE-03-011</t>
  </si>
  <si>
    <t xml:space="preserve">Get money back</t>
  </si>
  <si>
    <t xml:space="preserve">Deposit paid on the card</t>
  </si>
  <si>
    <t xml:space="preserve">I put a £200 deposit on my card for a £2,000 kitchen and the firm's gone</t>
  </si>
  <si>
    <t xml:space="preserve">Explains that in the UK Section 75 can cover the full price even if only part was paid on the card, and starts the claim</t>
  </si>
  <si>
    <t xml:space="preserve">NEW: MoneyBackRoute, NEW: ClaimTracker, Handoff</t>
  </si>
  <si>
    <t xml:space="preserve">The bank decides the amount</t>
  </si>
  <si>
    <t xml:space="preserve">UK: Section 75 covers the full cash price when any part was paid on a credit card (item £100 to £30,000); other markets to confirm</t>
  </si>
  <si>
    <t xml:space="preserve">BE-03-012</t>
  </si>
  <si>
    <t xml:space="preserve">Paid through a middle firm</t>
  </si>
  <si>
    <t xml:space="preserve">Section 75 may not apply</t>
  </si>
  <si>
    <t xml:space="preserve">I paid through an online payment service, not the shop</t>
  </si>
  <si>
    <t xml:space="preserve">Explains Section 75 usually needs a direct payment to the seller but chargeback may still work, and starts the right claim</t>
  </si>
  <si>
    <t xml:space="preserve">NEW: MoneyBackRoute, NEW: ClaimTracker</t>
  </si>
  <si>
    <t xml:space="preserve">UK: Section 75 usually needs a direct link to the seller (to confirm per case)</t>
  </si>
  <si>
    <t xml:space="preserve">BE-03-013</t>
  </si>
  <si>
    <t xml:space="preserve">Happened months ago</t>
  </si>
  <si>
    <t xml:space="preserve">Chargeback window passed</t>
  </si>
  <si>
    <t xml:space="preserve">This happened five months ago</t>
  </si>
  <si>
    <t xml:space="preserve">Says the usual chargeback window may have passed and checks whether another route still applies, with a person to confirm</t>
  </si>
  <si>
    <t xml:space="preserve">NEW: MoneyBackRoute, Handoff</t>
  </si>
  <si>
    <t xml:space="preserve">Time limits from card scheme rules and law; the bank decides</t>
  </si>
  <si>
    <t xml:space="preserve">Chargeback usually within 120 days (to confirm per scheme); UK: Section 75 time limit is longer (to confirm)</t>
  </si>
  <si>
    <t xml:space="preserve">BE-03-014</t>
  </si>
  <si>
    <t xml:space="preserve">Bought by an additional cardholder</t>
  </si>
  <si>
    <t xml:space="preserve">My partner bought it on her card on my account</t>
  </si>
  <si>
    <t xml:space="preserve">Explains which route applies to purchases by additional cardholders and hands over if it is unclear</t>
  </si>
  <si>
    <t xml:space="preserve">UK: Section 75 on additional cardholder purchases is limited (to confirm)</t>
  </si>
  <si>
    <t xml:space="preserve">BE-03-015</t>
  </si>
  <si>
    <t xml:space="preserve">Refund in another currency</t>
  </si>
  <si>
    <t xml:space="preserve">Refund less than paid</t>
  </si>
  <si>
    <t xml:space="preserve">The refund is £12 less than I paid</t>
  </si>
  <si>
    <t xml:space="preserve">Explains the exchange rate on the refund date and whether the foreign fee was returned</t>
  </si>
  <si>
    <t xml:space="preserve">PriceLines, TransactionRow</t>
  </si>
  <si>
    <t xml:space="preserve">Rates and fee refunds from the bank's rules</t>
  </si>
  <si>
    <t xml:space="preserve">BE-03-016</t>
  </si>
  <si>
    <t xml:space="preserve">Card replaced or closed</t>
  </si>
  <si>
    <t xml:space="preserve">Refund sent to the old card</t>
  </si>
  <si>
    <t xml:space="preserve">The shop refunded my old card</t>
  </si>
  <si>
    <t xml:space="preserve">Explains refunds follow the account, not the card, and shows where the money landed</t>
  </si>
  <si>
    <t xml:space="preserve">Account-level refund handling from the bank</t>
  </si>
  <si>
    <t xml:space="preserve">BE-03-017</t>
  </si>
  <si>
    <t xml:space="preserve">Customer showing signs of money worries</t>
  </si>
  <si>
    <t xml:space="preserve">I really need this money back, I can't pay my bills</t>
  </si>
  <si>
    <t xml:space="preserve">Handles the claim calmly, offers the bank's support team and free advice, and shows no offers</t>
  </si>
  <si>
    <t xml:space="preserve">Signs of money worries switch off all promotions and spend nudges until the bank's team says otherwise; a person offered</t>
  </si>
  <si>
    <t xml:space="preserve">Free advice services listed per market by the bank</t>
  </si>
  <si>
    <t xml:space="preserve">BE-03-018</t>
  </si>
  <si>
    <t xml:space="preserve">Fix a double charge</t>
  </si>
  <si>
    <t xml:space="preserve">I've been charged twice for the same meal</t>
  </si>
  <si>
    <t xml:space="preserve">Finds both payments, shows them side by side and reports the duplicate with a reference</t>
  </si>
  <si>
    <t xml:space="preserve">TransactionRow, Compare, NEW: ClaimTracker</t>
  </si>
  <si>
    <t xml:space="preserve">Pending duplicates often drop off; the bank decides</t>
  </si>
  <si>
    <t xml:space="preserve">BE-03-019</t>
  </si>
  <si>
    <t xml:space="preserve">Fix a wrong amount</t>
  </si>
  <si>
    <t xml:space="preserve">The hotel charged me £80 more than we agreed</t>
  </si>
  <si>
    <t xml:space="preserve">Reports the difference against the agreed price and gives a reference</t>
  </si>
  <si>
    <t xml:space="preserve">TransactionRow, PriceLines, NEW: ClaimTracker</t>
  </si>
  <si>
    <t xml:space="preserve">The bank decides; proof of the agreed price needed</t>
  </si>
  <si>
    <t xml:space="preserve">BE-03-020</t>
  </si>
  <si>
    <t xml:space="preserve">Chase a refund the shop promised</t>
  </si>
  <si>
    <t xml:space="preserve">Refund promised</t>
  </si>
  <si>
    <t xml:space="preserve">Refund not received</t>
  </si>
  <si>
    <t xml:space="preserve">They said they'd refund me two weeks ago</t>
  </si>
  <si>
    <t xml:space="preserve">Checks for the refund, explains normal timings, and offers to raise a claim if it has not arrived</t>
  </si>
  <si>
    <t xml:space="preserve">TransactionRow, StateCard, NEW: ClaimTracker</t>
  </si>
  <si>
    <t xml:space="preserve">Refund timings from the bank; claim only after the merchant's window</t>
  </si>
  <si>
    <t xml:space="preserve">BE-03-021</t>
  </si>
  <si>
    <t xml:space="preserve">Stop paying for something I cancelled</t>
  </si>
  <si>
    <t xml:space="preserve">Subscription already cancelled</t>
  </si>
  <si>
    <t xml:space="preserve">Still charged</t>
  </si>
  <si>
    <t xml:space="preserve">I cancelled my gym and they've charged me again</t>
  </si>
  <si>
    <t xml:space="preserve">Shows the repeat payments, explains how to dispute charges after cancelling, and offers to stop future ones where the bank can</t>
  </si>
  <si>
    <t xml:space="preserve">TransactionRow, NEW: ClaimTracker, Toggle</t>
  </si>
  <si>
    <t xml:space="preserve">Blocking repeat payments is a bank control; proof of cancellation needed</t>
  </si>
  <si>
    <t xml:space="preserve">BE-03-022</t>
  </si>
  <si>
    <t xml:space="preserve">Get money back from a failed payment</t>
  </si>
  <si>
    <t xml:space="preserve">Money taken, nothing received</t>
  </si>
  <si>
    <t xml:space="preserve">Payment failed but charged</t>
  </si>
  <si>
    <t xml:space="preserve">The cash machine took the money but gave me nothing</t>
  </si>
  <si>
    <t xml:space="preserve">Checks the payment status and explains the bank's automatic reversal time, then raises it if the time has passed</t>
  </si>
  <si>
    <t xml:space="preserve">Reversal times from the bank</t>
  </si>
  <si>
    <t xml:space="preserve">IN: RBI sets timelines and compensation for failed transactions (to confirm)</t>
  </si>
  <si>
    <t xml:space="preserve">BE-03-023</t>
  </si>
  <si>
    <t xml:space="preserve">Tell the shop first</t>
  </si>
  <si>
    <t xml:space="preserve">Before a claim</t>
  </si>
  <si>
    <t xml:space="preserve">What do I say to the shop?</t>
  </si>
  <si>
    <t xml:space="preserve">Drafts a short message to the shop with the order, date, problem and what the customer wants</t>
  </si>
  <si>
    <t xml:space="preserve">NEW: MessageDraft, SendTo</t>
  </si>
  <si>
    <t xml:space="preserve">The customer sends it; Gratifi never contacts a non-partner shop</t>
  </si>
  <si>
    <t xml:space="preserve">BE-03-024</t>
  </si>
  <si>
    <t xml:space="preserve">Fix a problem with a Gratifi booking</t>
  </si>
  <si>
    <t xml:space="preserve">Booked through Gratifi</t>
  </si>
  <si>
    <t xml:space="preserve">The hotel I booked through you has no record of me</t>
  </si>
  <si>
    <t xml:space="preserve">Contacts the partner first and, if it is not sorted in the set time, opens a dispute with the bank</t>
  </si>
  <si>
    <t xml:space="preserve">HotelCard, StateCard, NEW: ClaimTracker, Handoff</t>
  </si>
  <si>
    <t xml:space="preserve">Partner resolution window set by R360; dispute through the bank</t>
  </si>
  <si>
    <t xml:space="preserve">BE-03-025</t>
  </si>
  <si>
    <t xml:space="preserve">Report a payment I don't recognise</t>
  </si>
  <si>
    <t xml:space="preserve">Could be fraud</t>
  </si>
  <si>
    <t xml:space="preserve">Unrecognised payment</t>
  </si>
  <si>
    <t xml:space="preserve">I don't know what this £60 charge is</t>
  </si>
  <si>
    <t xml:space="preserve">Shows the cleaned merchant name first; if still unknown, offers to freeze the card and passes it to the fraud team, not the disputes route</t>
  </si>
  <si>
    <t xml:space="preserve">Fraud goes to the bank's fraud process, never handled only in chat</t>
  </si>
  <si>
    <t xml:space="preserve">UK: fraud refunded with interest; EU: PSD2 refund rules (to confirm); IN: RBI limits liability if reported quickly (to confirm); SG: MAS e-payments user protection guidelines (to confirm); AE, MY to confirm</t>
  </si>
  <si>
    <t xml:space="preserve">BE-03-026</t>
  </si>
  <si>
    <t xml:space="preserve">Get money back after a scam</t>
  </si>
  <si>
    <t xml:space="preserve">Paid a scammer</t>
  </si>
  <si>
    <t xml:space="preserve">I paid for concert tickets on social media and they never came</t>
  </si>
  <si>
    <t xml:space="preserve">Freezes the card if details were shared, explains what can be done and connects to the fraud team straight away</t>
  </si>
  <si>
    <t xml:space="preserve">Scams always go to a person; no refund promised</t>
  </si>
  <si>
    <t xml:space="preserve">BE-03-027</t>
  </si>
  <si>
    <t xml:space="preserve">Add proof to my claim</t>
  </si>
  <si>
    <t xml:space="preserve">Bank asks for evidence</t>
  </si>
  <si>
    <t xml:space="preserve">Evidence missing</t>
  </si>
  <si>
    <t xml:space="preserve">Tells the customer exactly what the bank still needs and by when, and lets them upload it in chat</t>
  </si>
  <si>
    <t xml:space="preserve">Deadline from the bank; files stored by the bank</t>
  </si>
  <si>
    <t xml:space="preserve">BE-03-028</t>
  </si>
  <si>
    <t xml:space="preserve">Understand why my refund was taken back</t>
  </si>
  <si>
    <t xml:space="preserve">Merchant challenged the claim</t>
  </si>
  <si>
    <t xml:space="preserve">Temporary credit reversed</t>
  </si>
  <si>
    <t xml:space="preserve">The refund has disappeared from my account</t>
  </si>
  <si>
    <t xml:space="preserve">Explains the shop challenged the claim, shows the reason and next steps, and offers a person</t>
  </si>
  <si>
    <t xml:space="preserve">NEW: ClaimTracker, StateCard, Handoff</t>
  </si>
  <si>
    <t xml:space="preserve">The bank's disputes process decides</t>
  </si>
  <si>
    <t xml:space="preserve">BE-03-029</t>
  </si>
  <si>
    <t xml:space="preserve">Challenge a declined claim</t>
  </si>
  <si>
    <t xml:space="preserve">The bank said no to my claim</t>
  </si>
  <si>
    <t xml:space="preserve">Shows the reason, explains how to complain, and hands to a person with the details</t>
  </si>
  <si>
    <t xml:space="preserve">Gratifi records and routes; it never argues</t>
  </si>
  <si>
    <t xml:space="preserve">BE-03-030</t>
  </si>
  <si>
    <t xml:space="preserve">Where's my claim up to?</t>
  </si>
  <si>
    <t xml:space="preserve">Shows each open claim with reference, stage, next step and expected date</t>
  </si>
  <si>
    <t xml:space="preserve">Status from the bank's disputes system</t>
  </si>
  <si>
    <t xml:space="preserve">BE-03-031</t>
  </si>
  <si>
    <t xml:space="preserve">Cancel a claim</t>
  </si>
  <si>
    <t xml:space="preserve">Shop refunded after all</t>
  </si>
  <si>
    <t xml:space="preserve">They've refunded me, cancel the claim</t>
  </si>
  <si>
    <t xml:space="preserve">Checks the refund has landed, then withdraws the claim</t>
  </si>
  <si>
    <t xml:space="preserve">TransactionRow, ConfirmSheet, Toast</t>
  </si>
  <si>
    <t xml:space="preserve">Withdrawal only after the refund is seen; the bank confirms</t>
  </si>
  <si>
    <t xml:space="preserve">BE-04-001</t>
  </si>
  <si>
    <t xml:space="preserve">Check if my trip is covered</t>
  </si>
  <si>
    <t xml:space="preserve">Card has no travel cover</t>
  </si>
  <si>
    <t xml:space="preserve">Do I have travel insurance?</t>
  </si>
  <si>
    <t xml:space="preserve">Says plainly the card does not include it and shows where to buy cover if the bank offers it</t>
  </si>
  <si>
    <t xml:space="preserve">No implied cover; selling only through a licensed partner</t>
  </si>
  <si>
    <t xml:space="preserve">Insurance selling and advice need a licence per market (to confirm); Gratifi explains the card's cover only</t>
  </si>
  <si>
    <t xml:space="preserve">BE-04-002</t>
  </si>
  <si>
    <t xml:space="preserve">Get paid for an insurance claim</t>
  </si>
  <si>
    <t xml:space="preserve">Has my claim been paid?</t>
  </si>
  <si>
    <t xml:space="preserve">Shows the amount the insurer approved and where it is being paid</t>
  </si>
  <si>
    <t xml:space="preserve">Amount set by the insurer</t>
  </si>
  <si>
    <t xml:space="preserve">BE-04-003</t>
  </si>
  <si>
    <t xml:space="preserve">Card with travel cover</t>
  </si>
  <si>
    <t xml:space="preserve">Am I covered for my trip to Portugal?</t>
  </si>
  <si>
    <t xml:space="preserve">Checks the trip against the cover's conditions (for example, paid on the card) and lists what is covered and what is missing</t>
  </si>
  <si>
    <t xml:space="preserve">TripFolder, BenefitRow, Answer</t>
  </si>
  <si>
    <t xml:space="preserve">Conditions from the policy; Gratifi explains, never advises</t>
  </si>
  <si>
    <t xml:space="preserve">BE-04-004</t>
  </si>
  <si>
    <t xml:space="preserve">Keep my trip covered</t>
  </si>
  <si>
    <t xml:space="preserve">Part of the trip not on the card</t>
  </si>
  <si>
    <t xml:space="preserve">Notes the flight is on the card but the hotel is not yet, and that the cover needs the trip paid on the card</t>
  </si>
  <si>
    <t xml:space="preserve">Moment, TripFolder, BenefitRow</t>
  </si>
  <si>
    <t xml:space="preserve">Only when the policy has that condition; One note at a time; ranked by money at stake and deadline; facts re-checked before showing; suggestions switch on; weekly cap and quiet hours apply</t>
  </si>
  <si>
    <t xml:space="preserve">BE-04-005</t>
  </si>
  <si>
    <t xml:space="preserve">Know who is covered</t>
  </si>
  <si>
    <t xml:space="preserve">Family trip</t>
  </si>
  <si>
    <t xml:space="preserve">Are my kids covered too?</t>
  </si>
  <si>
    <t xml:space="preserve">Says who counts under the policy (partner, children, age limits) from the terms</t>
  </si>
  <si>
    <t xml:space="preserve">BenefitRow, Travellers</t>
  </si>
  <si>
    <t xml:space="preserve">Definitions from the policy</t>
  </si>
  <si>
    <t xml:space="preserve">BE-04-006</t>
  </si>
  <si>
    <t xml:space="preserve">Know the cover limits</t>
  </si>
  <si>
    <t xml:space="preserve">How much would it pay if my bag is lost?</t>
  </si>
  <si>
    <t xml:space="preserve">Shows limits and excess for each section in plain words</t>
  </si>
  <si>
    <t xml:space="preserve">Figures from the policy</t>
  </si>
  <si>
    <t xml:space="preserve">BE-04-007</t>
  </si>
  <si>
    <t xml:space="preserve">Check cover for an activity</t>
  </si>
  <si>
    <t xml:space="preserve">Winter sports or adventure</t>
  </si>
  <si>
    <t xml:space="preserve">Am I covered for skiing?</t>
  </si>
  <si>
    <t xml:space="preserve">Checks the policy for that activity and says yes, no, or needs an add-on from the insurer</t>
  </si>
  <si>
    <t xml:space="preserve">Word for word from the policy; no guessing</t>
  </si>
  <si>
    <t xml:space="preserve">BE-04-008</t>
  </si>
  <si>
    <t xml:space="preserve">Check cover with a medical condition</t>
  </si>
  <si>
    <t xml:space="preserve">Health question</t>
  </si>
  <si>
    <t xml:space="preserve">I have a heart condition, am I covered?</t>
  </si>
  <si>
    <t xml:space="preserve">Explains that medical questions go to the insurer, gives the number, and does not record the condition</t>
  </si>
  <si>
    <t xml:space="preserve">No health details stored or judged; the insurer decides</t>
  </si>
  <si>
    <t xml:space="preserve">BE-04-009</t>
  </si>
  <si>
    <t xml:space="preserve">Check age limits on cover</t>
  </si>
  <si>
    <t xml:space="preserve">Is there an age limit on the travel cover?</t>
  </si>
  <si>
    <t xml:space="preserve">Shows any age limit from the policy and who to ask about extending cover</t>
  </si>
  <si>
    <t xml:space="preserve">From the policy only</t>
  </si>
  <si>
    <t xml:space="preserve">BE-04-010</t>
  </si>
  <si>
    <t xml:space="preserve">Check cover for a business trip</t>
  </si>
  <si>
    <t xml:space="preserve">Is my team covered on a work trip?</t>
  </si>
  <si>
    <t xml:space="preserve">Shows who the business card's travel cover protects and the limits</t>
  </si>
  <si>
    <t xml:space="preserve">BenefitRow, AvatarStack</t>
  </si>
  <si>
    <t xml:space="preserve">From the policy; administrators see company-level cover</t>
  </si>
  <si>
    <t xml:space="preserve">BE-04-011</t>
  </si>
  <si>
    <t xml:space="preserve">Check cover when hiring a car</t>
  </si>
  <si>
    <t xml:space="preserve">Do I need the rental company's insurance?</t>
  </si>
  <si>
    <t xml:space="preserve">Says what the card covers for car hire, if anything, and what it does not, without advising whether to buy</t>
  </si>
  <si>
    <t xml:space="preserve">Facts from the policy only; no advice</t>
  </si>
  <si>
    <t xml:space="preserve">BE-04-012</t>
  </si>
  <si>
    <t xml:space="preserve">Get proof of cover for a visa</t>
  </si>
  <si>
    <t xml:space="preserve">Visa needs an insurance certificate</t>
  </si>
  <si>
    <t xml:space="preserve">I need an insurance letter for my Schengen visa</t>
  </si>
  <si>
    <t xml:space="preserve">Requests the cover certificate from the insurer and sends it, or explains if the card's cover does not meet the visa rules</t>
  </si>
  <si>
    <t xml:space="preserve">BenefitRow, NEW: PolicyDoc, SendTo</t>
  </si>
  <si>
    <t xml:space="preserve">Certificate issued by the insurer; visa rules from official sources</t>
  </si>
  <si>
    <t xml:space="preserve">IN, AE, SG, MY residents often need this for Schengen visas; minimum cover set by the visa rules (to confirm)</t>
  </si>
  <si>
    <t xml:space="preserve">BE-04-013</t>
  </si>
  <si>
    <t xml:space="preserve">Get help in a medical emergency abroad</t>
  </si>
  <si>
    <t xml:space="preserve">My husband's been taken to hospital in Spain</t>
  </si>
  <si>
    <t xml:space="preserve">Puts the insurer's 24-hour emergency number first, then offers to connect to a person</t>
  </si>
  <si>
    <t xml:space="preserve">StateCard, Handoff, Button</t>
  </si>
  <si>
    <t xml:space="preserve">Safety first: emergency line at the top; nothing else asked</t>
  </si>
  <si>
    <t xml:space="preserve">Emergency numbers per insurer; local emergency number shown (112 in the EU)</t>
  </si>
  <si>
    <t xml:space="preserve">BE-04-014</t>
  </si>
  <si>
    <t xml:space="preserve">Trip paid partly with points</t>
  </si>
  <si>
    <t xml:space="preserve">Condition unclear</t>
  </si>
  <si>
    <t xml:space="preserve">I paid the flight with points, am I still covered?</t>
  </si>
  <si>
    <t xml:space="preserve">Quotes what the policy says about points bookings, and hands to the insurer if it says nothing</t>
  </si>
  <si>
    <t xml:space="preserve">Insurer decides</t>
  </si>
  <si>
    <t xml:space="preserve">BE-04-015</t>
  </si>
  <si>
    <t xml:space="preserve">Claim for a travel delay</t>
  </si>
  <si>
    <t xml:space="preserve">Delay over the policy threshold</t>
  </si>
  <si>
    <t xml:space="preserve">My flight was 6 hours late, can I claim?</t>
  </si>
  <si>
    <t xml:space="preserve">Checks the policy's delay section, explains what it pays and the claim deadline, and starts the claim</t>
  </si>
  <si>
    <t xml:space="preserve">BenefitRow, NEW: ClaimTracker, NEW: Upload</t>
  </si>
  <si>
    <t xml:space="preserve">Threshold, amount and deadline from the policy</t>
  </si>
  <si>
    <t xml:space="preserve">BE-04-016</t>
  </si>
  <si>
    <t xml:space="preserve">Cancelled for a covered reason</t>
  </si>
  <si>
    <t xml:space="preserve">I have to cancel my holiday, can I claim?</t>
  </si>
  <si>
    <t xml:space="preserve">Explains which reasons the policy covers and connects to the insurer for anything involving health</t>
  </si>
  <si>
    <t xml:space="preserve">The insurer decides; no health details recorded</t>
  </si>
  <si>
    <t xml:space="preserve">BE-04-017</t>
  </si>
  <si>
    <t xml:space="preserve">Claim for lost or stolen belongings abroad</t>
  </si>
  <si>
    <t xml:space="preserve">My bag was stolen in Rome</t>
  </si>
  <si>
    <t xml:space="preserve">Explains the cover and the proof needed, which may include a local police report, and starts the claim</t>
  </si>
  <si>
    <t xml:space="preserve">Proof list and deadline from the policy</t>
  </si>
  <si>
    <t xml:space="preserve">BE-04-018</t>
  </si>
  <si>
    <t xml:space="preserve">Claim for a damaged phone</t>
  </si>
  <si>
    <t xml:space="preserve">Device cover on the card</t>
  </si>
  <si>
    <t xml:space="preserve">I cracked my phone, does my card cover it?</t>
  </si>
  <si>
    <t xml:space="preserve">Checks device cover, excess and past claims, and starts the claim with the insurer</t>
  </si>
  <si>
    <t xml:space="preserve">Excess and limits from the policy</t>
  </si>
  <si>
    <t xml:space="preserve">BE-04-019</t>
  </si>
  <si>
    <t xml:space="preserve">Challenge a declined insurance claim</t>
  </si>
  <si>
    <t xml:space="preserve">They've refused my travel claim</t>
  </si>
  <si>
    <t xml:space="preserve">Shows the reason, explains the insurer's complaints route and the free ombudsman, and connects to a person</t>
  </si>
  <si>
    <t xml:space="preserve">Gratifi never argues; records and routes</t>
  </si>
  <si>
    <t xml:space="preserve">UK: Financial Ombudsman Service; IN: Insurance Ombudsman; others to confirm</t>
  </si>
  <si>
    <t xml:space="preserve">BE-04-020</t>
  </si>
  <si>
    <t xml:space="preserve">Track my insurance claim</t>
  </si>
  <si>
    <t xml:space="preserve">Any news on my travel claim?</t>
  </si>
  <si>
    <t xml:space="preserve">Shows the claim reference, stage and next step from the insurer</t>
  </si>
  <si>
    <t xml:space="preserve">BE-04-021</t>
  </si>
  <si>
    <t xml:space="preserve">Get my policy document</t>
  </si>
  <si>
    <t xml:space="preserve">Send me my travel insurance policy</t>
  </si>
  <si>
    <t xml:space="preserve">Shows and downloads the policy wording and summary</t>
  </si>
  <si>
    <t xml:space="preserve">NEW: PolicyDoc</t>
  </si>
  <si>
    <t xml:space="preserve">Latest version from the insurer</t>
  </si>
  <si>
    <t xml:space="preserve">BE-04-022</t>
  </si>
  <si>
    <t xml:space="preserve">Turn on or register the cover</t>
  </si>
  <si>
    <t xml:space="preserve">Cover needs opting in</t>
  </si>
  <si>
    <t xml:space="preserve">Do I need to activate my travel insurance?</t>
  </si>
  <si>
    <t xml:space="preserve">Explains whether the cover needs registering and starts it with the insurer</t>
  </si>
  <si>
    <t xml:space="preserve">Registration by the insurer; customer's yes recorded</t>
  </si>
  <si>
    <t xml:space="preserve">BE-04-023</t>
  </si>
  <si>
    <t xml:space="preserve">Know my cover changes with my card</t>
  </si>
  <si>
    <t xml:space="preserve">Card downgraded or closed</t>
  </si>
  <si>
    <t xml:space="preserve">Warns that trips already booked may lose cover when the card changes, with the dates</t>
  </si>
  <si>
    <t xml:space="preserve">Dates from the policy and the bank</t>
  </si>
  <si>
    <t xml:space="preserve">BE-04-024</t>
  </si>
  <si>
    <t xml:space="preserve">Change or withdraw an insurance claim</t>
  </si>
  <si>
    <t xml:space="preserve">Details changed</t>
  </si>
  <si>
    <t xml:space="preserve">I found my bag, I need to update the claim</t>
  </si>
  <si>
    <t xml:space="preserve">Passes the update to the insurer, or withdraws the claim on confirm</t>
  </si>
  <si>
    <t xml:space="preserve">NEW: ClaimTracker, ConfirmSheet, Handoff</t>
  </si>
  <si>
    <t xml:space="preserve">The insurer records changes; honest updates protect the customer</t>
  </si>
  <si>
    <t xml:space="preserve">BE-05-001</t>
  </si>
  <si>
    <t xml:space="preserve">See how much I have earned</t>
  </si>
  <si>
    <t xml:space="preserve">Avios card</t>
  </si>
  <si>
    <t xml:space="preserve">How many Avios have I got?</t>
  </si>
  <si>
    <t xml:space="preserve">Shows the balance in the linked Avios account, what was collected this month and when it moves across</t>
  </si>
  <si>
    <t xml:space="preserve">Dial, PriceLines, Meta</t>
  </si>
  <si>
    <t xml:space="preserve">Balances from the bank and the programme; transfer dates from the bank</t>
  </si>
  <si>
    <t xml:space="preserve">BE-05-002</t>
  </si>
  <si>
    <t xml:space="preserve">Cashback card</t>
  </si>
  <si>
    <t xml:space="preserve">How much cashback have I built up?</t>
  </si>
  <si>
    <t xml:space="preserve">Shows cashback earned this year, the rate, and when it is paid</t>
  </si>
  <si>
    <t xml:space="preserve">Dial, PriceLines</t>
  </si>
  <si>
    <t xml:space="preserve">Rate and totals from the bank</t>
  </si>
  <si>
    <t xml:space="preserve">BE-05-003</t>
  </si>
  <si>
    <t xml:space="preserve">Points card</t>
  </si>
  <si>
    <t xml:space="preserve">How many reward points do I have and what are they worth?</t>
  </si>
  <si>
    <t xml:space="preserve">Shows the balance, the value per point set by the bank, and the ways to use them</t>
  </si>
  <si>
    <t xml:space="preserve">Dial, PriceLines, Suggestions</t>
  </si>
  <si>
    <t xml:space="preserve">Points programmes common in IN, AE, SG, MY; values set per bank</t>
  </si>
  <si>
    <t xml:space="preserve">BE-05-004</t>
  </si>
  <si>
    <t xml:space="preserve">How much cashback do I have?</t>
  </si>
  <si>
    <t xml:space="preserve">Answers the balance and offers to put it against the bill, with no offers or spend targets</t>
  </si>
  <si>
    <t xml:space="preserve">PriceLines, Handoff</t>
  </si>
  <si>
    <t xml:space="preserve">Signs of money worries switch off all promotions and spend nudges until the bank's team says otherwise</t>
  </si>
  <si>
    <t xml:space="preserve">BE-05-005</t>
  </si>
  <si>
    <t xml:space="preserve">Know my earn rates</t>
  </si>
  <si>
    <t xml:space="preserve">Different rates by shop</t>
  </si>
  <si>
    <t xml:space="preserve">How much do I earn on this card?</t>
  </si>
  <si>
    <t xml:space="preserve">Explains the rates that apply: the partner rate, the rate elsewhere, and any change after the first year</t>
  </si>
  <si>
    <t xml:space="preserve">Rates from the bank's terms</t>
  </si>
  <si>
    <t xml:space="preserve">BE-05-006</t>
  </si>
  <si>
    <t xml:space="preserve">Member status or sale event</t>
  </si>
  <si>
    <t xml:space="preserve">Do I get more back during the sale?</t>
  </si>
  <si>
    <t xml:space="preserve">Explains any higher rate the bank sets for members or events, and the dates</t>
  </si>
  <si>
    <t xml:space="preserve">Rates and dates from the bank</t>
  </si>
  <si>
    <t xml:space="preserve">BE-05-007</t>
  </si>
  <si>
    <t xml:space="preserve">Know what earns and what does not</t>
  </si>
  <si>
    <t xml:space="preserve">Do I get points on cash withdrawals?</t>
  </si>
  <si>
    <t xml:space="preserve">Explains what earns and what does not, such as cash and gambling, and any cap per statement</t>
  </si>
  <si>
    <t xml:space="preserve">Earn rules from the bank's terms</t>
  </si>
  <si>
    <t xml:space="preserve">BE-05-008</t>
  </si>
  <si>
    <t xml:space="preserve">Plan what to do with my Avios</t>
  </si>
  <si>
    <t xml:space="preserve">Trip in mind</t>
  </si>
  <si>
    <t xml:space="preserve">Have I got enough Avios for Lisbon?</t>
  </si>
  <si>
    <t xml:space="preserve">Shows example flights against the balance, "you have enough" or how many to go, and hands to the airline to book</t>
  </si>
  <si>
    <t xml:space="preserve">Dial, FlightCard, Handoff</t>
  </si>
  <si>
    <t xml:space="preserve">Example prices from the programme; booking happens with the airline</t>
  </si>
  <si>
    <t xml:space="preserve">BE-05-009</t>
  </si>
  <si>
    <t xml:space="preserve">Not a full flight</t>
  </si>
  <si>
    <t xml:space="preserve">Can I use my Avios for hotels or part of a flight?</t>
  </si>
  <si>
    <t xml:space="preserve">Shows the other uses the programme allows: part-paying a flight, hotels, car hire and partner programmes</t>
  </si>
  <si>
    <t xml:space="preserve">Options and minimums from the programme</t>
  </si>
  <si>
    <t xml:space="preserve">BE-05-010</t>
  </si>
  <si>
    <t xml:space="preserve">Track my upgrade voucher</t>
  </si>
  <si>
    <t xml:space="preserve">Spend target in the card year</t>
  </si>
  <si>
    <t xml:space="preserve">How close am I to the upgrade voucher?</t>
  </si>
  <si>
    <t xml:space="preserve">Shows card-year spend, the target, the year-end date, and when they would get there at their usual pace</t>
  </si>
  <si>
    <t xml:space="preserve">Dial, Meta, Answer</t>
  </si>
  <si>
    <t xml:space="preserve">Target and year end from the bank; pace is an estimate and labelled as one</t>
  </si>
  <si>
    <t xml:space="preserve">BE-05-011</t>
  </si>
  <si>
    <t xml:space="preserve">Understand the voucher rules</t>
  </si>
  <si>
    <t xml:space="preserve">What can I use the voucher for?</t>
  </si>
  <si>
    <t xml:space="preserve">Explains the rules in plain words: cabins, who can travel, where from, and how long it lasts</t>
  </si>
  <si>
    <t xml:space="preserve">Rules word for word from the bank's terms</t>
  </si>
  <si>
    <t xml:space="preserve">BE-05-012</t>
  </si>
  <si>
    <t xml:space="preserve">How much more do I need to spend for the welcome bonus?</t>
  </si>
  <si>
    <t xml:space="preserve">Shows spend to go, the deadline and which payments count</t>
  </si>
  <si>
    <t xml:space="preserve">Dial, Meta</t>
  </si>
  <si>
    <t xml:space="preserve">Only real purchases count; never "spend to earn" wording</t>
  </si>
  <si>
    <t xml:space="preserve">BE-05-013</t>
  </si>
  <si>
    <t xml:space="preserve">See my welcome gift</t>
  </si>
  <si>
    <t xml:space="preserve">Welcome gift on the card</t>
  </si>
  <si>
    <t xml:space="preserve">Where's my welcome gift card?</t>
  </si>
  <si>
    <t xml:space="preserve">Shows the gift's status and when it is due</t>
  </si>
  <si>
    <t xml:space="preserve">GiftCardTile, Status</t>
  </si>
  <si>
    <t xml:space="preserve">Status from the bank</t>
  </si>
  <si>
    <t xml:space="preserve">BE-05-014</t>
  </si>
  <si>
    <t xml:space="preserve">See business cashback progress</t>
  </si>
  <si>
    <t xml:space="preserve">Business card with a monthly threshold</t>
  </si>
  <si>
    <t xml:space="preserve">How far are we from the cashback threshold this month?</t>
  </si>
  <si>
    <t xml:space="preserve">Shows this month's spend against the threshold, what is earned so far and when it is paid</t>
  </si>
  <si>
    <t xml:space="preserve">Threshold, cap and payment timing from the bank; no push to spend</t>
  </si>
  <si>
    <t xml:space="preserve">BE-05-015</t>
  </si>
  <si>
    <t xml:space="preserve">Know my voucher deadline is near</t>
  </si>
  <si>
    <t xml:space="preserve">Card year ending</t>
  </si>
  <si>
    <t xml:space="preserve">Shows spend to go for the voucher, the year-end date and whether their usual pace gets there, with no push to spend more</t>
  </si>
  <si>
    <t xml:space="preserve">One note at a time; ranked by money at stake and deadline; facts re-checked before showing; suggestions switch on; weekly cap and quiet hours apply; never "spend to earn"; Signs of money worries switch off all promotions and spend nudges until the bank's team says otherwise</t>
  </si>
  <si>
    <t xml:space="preserve">BE-05-016</t>
  </si>
  <si>
    <t xml:space="preserve">Choose voucher or points</t>
  </si>
  <si>
    <t xml:space="preserve">Card year ended</t>
  </si>
  <si>
    <t xml:space="preserve">Should I take the voucher or the Avios?</t>
  </si>
  <si>
    <t xml:space="preserve">Shows both side by side with what each is worth for trips the customer might take, and leaves the choice to them</t>
  </si>
  <si>
    <t xml:space="preserve">Values from the programme; the choice is the customer's</t>
  </si>
  <si>
    <t xml:space="preserve">BE-05-017</t>
  </si>
  <si>
    <t xml:space="preserve">Take my cashback now</t>
  </si>
  <si>
    <t xml:space="preserve">Paid on request</t>
  </si>
  <si>
    <t xml:space="preserve">Can I have my cashback now?</t>
  </si>
  <si>
    <t xml:space="preserve">Shows the amount, confirms, and gives the date it comes off the balance</t>
  </si>
  <si>
    <t xml:space="preserve">Minimum and timing from the bank</t>
  </si>
  <si>
    <t xml:space="preserve">BE-05-018</t>
  </si>
  <si>
    <t xml:space="preserve">Use my cashback</t>
  </si>
  <si>
    <t xml:space="preserve">Choose where it goes</t>
  </si>
  <si>
    <t xml:space="preserve">Use my £30 cashback</t>
  </si>
  <si>
    <t xml:space="preserve">Offers the options the bank allows: credit to the card, an e-gift card, or a charity</t>
  </si>
  <si>
    <t xml:space="preserve">Segmented, GiftCardTile, ConfirmSheet, Receipt</t>
  </si>
  <si>
    <t xml:space="preserve">Minimum and options from the bank</t>
  </si>
  <si>
    <t xml:space="preserve">BE-05-019</t>
  </si>
  <si>
    <t xml:space="preserve">Move rewards to a partner programme</t>
  </si>
  <si>
    <t xml:space="preserve">Partner account linked</t>
  </si>
  <si>
    <t xml:space="preserve">Move my rewards to my shopping account</t>
  </si>
  <si>
    <t xml:space="preserve">Shows the amount in the programme's steps, confirms, warns it cannot be undone, and says when it arrives</t>
  </si>
  <si>
    <t xml:space="preserve">PointsSlider, ConfirmSheet, Receipt</t>
  </si>
  <si>
    <t xml:space="preserve">Step size and timing from the bank; transfers are final</t>
  </si>
  <si>
    <t xml:space="preserve">BE-05-020</t>
  </si>
  <si>
    <t xml:space="preserve">Buy lounge passes that come with my rewards card</t>
  </si>
  <si>
    <t xml:space="preserve">Member-price passes</t>
  </si>
  <si>
    <t xml:space="preserve">Buy two lounge passes</t>
  </si>
  <si>
    <t xml:space="preserve">Shows the member price, books the passes, and explains registering with the lounge programme and the cancellation deadline</t>
  </si>
  <si>
    <t xml:space="preserve">LoungePass, PayWith, ConfirmSheet</t>
  </si>
  <si>
    <t xml:space="preserve">Price and cancellation terms from the provider</t>
  </si>
  <si>
    <t xml:space="preserve">BE-05-021</t>
  </si>
  <si>
    <t xml:space="preserve">Know my earn rate is changing</t>
  </si>
  <si>
    <t xml:space="preserve">Introductory rate ending</t>
  </si>
  <si>
    <t xml:space="preserve">Tells the customer their introductory earn rate ends next month and what it drops to</t>
  </si>
  <si>
    <t xml:space="preserve">Moment, Meta</t>
  </si>
  <si>
    <t xml:space="preserve">Dates and rates from the bank</t>
  </si>
  <si>
    <t xml:space="preserve">BE-05-022</t>
  </si>
  <si>
    <t xml:space="preserve">Link my loyalty membership</t>
  </si>
  <si>
    <t xml:space="preserve">Rewards not posting</t>
  </si>
  <si>
    <t xml:space="preserve">My Avios aren't showing in my account</t>
  </si>
  <si>
    <t xml:space="preserve">Checks the linked number and name, and asks the bank to fix the link</t>
  </si>
  <si>
    <t xml:space="preserve">Fixes made by the bank and the programme</t>
  </si>
  <si>
    <t xml:space="preserve">BE-05-023</t>
  </si>
  <si>
    <t xml:space="preserve">Find missing rewards</t>
  </si>
  <si>
    <t xml:space="preserve">Purchase should have earned</t>
  </si>
  <si>
    <t xml:space="preserve">Rewards missing</t>
  </si>
  <si>
    <t xml:space="preserve">I didn't get cashback on my shopping</t>
  </si>
  <si>
    <t xml:space="preserve">Checks the payment against the earn rules and explains why, or raises a claim within the time limit</t>
  </si>
  <si>
    <t xml:space="preserve">Claim window from the bank</t>
  </si>
  <si>
    <t xml:space="preserve">BE-05-024</t>
  </si>
  <si>
    <t xml:space="preserve">Retailer cashback offer</t>
  </si>
  <si>
    <t xml:space="preserve">Still pending</t>
  </si>
  <si>
    <t xml:space="preserve">My retailer cashback is still pending</t>
  </si>
  <si>
    <t xml:space="preserve">Shows the pending and ready dates from the bank's usual timings, and when to claim if it does not arrive</t>
  </si>
  <si>
    <t xml:space="preserve">OfferCard, Status</t>
  </si>
  <si>
    <t xml:space="preserve">Timings and claim window from the bank</t>
  </si>
  <si>
    <t xml:space="preserve">BE-05-025</t>
  </si>
  <si>
    <t xml:space="preserve">Understand why rewards were taken off</t>
  </si>
  <si>
    <t xml:space="preserve">Refund made</t>
  </si>
  <si>
    <t xml:space="preserve">Rewards reversed</t>
  </si>
  <si>
    <t xml:space="preserve">Why have my Avios gone down?</t>
  </si>
  <si>
    <t xml:space="preserve">Shows the refund that reversed the rewards, line by line</t>
  </si>
  <si>
    <t xml:space="preserve">TransactionRow, PriceLines</t>
  </si>
  <si>
    <t xml:space="preserve">BE-05-026</t>
  </si>
  <si>
    <t xml:space="preserve">Know why I have stopped earning</t>
  </si>
  <si>
    <t xml:space="preserve">Cap reached</t>
  </si>
  <si>
    <t xml:space="preserve">Earn cap hit</t>
  </si>
  <si>
    <t xml:space="preserve">Why didn't I earn on this payment?</t>
  </si>
  <si>
    <t xml:space="preserve">Explains the earn cap for this statement and when it resets</t>
  </si>
  <si>
    <t xml:space="preserve">Cap from the bank's terms</t>
  </si>
  <si>
    <t xml:space="preserve">BE-05-027</t>
  </si>
  <si>
    <t xml:space="preserve">See everything earned in one place</t>
  </si>
  <si>
    <t xml:space="preserve">What have I earned this year?</t>
  </si>
  <si>
    <t xml:space="preserve">Adds card rewards and Gratifi partner money back into one total, each line with its source</t>
  </si>
  <si>
    <t xml:space="preserve">NEW: RewardsLedger, PriceLines</t>
  </si>
  <si>
    <t xml:space="preserve">Each line tagged by source; partner money back labelled "Added by Gratifi"</t>
  </si>
  <si>
    <t xml:space="preserve">BE-05-028</t>
  </si>
  <si>
    <t xml:space="preserve">Programme number</t>
  </si>
  <si>
    <t xml:space="preserve">Add my Avios number</t>
  </si>
  <si>
    <t xml:space="preserve">Saves the membership number and checks the name matches</t>
  </si>
  <si>
    <t xml:space="preserve">NEW: MembershipCard, Toast</t>
  </si>
  <si>
    <t xml:space="preserve">Name match checked by the programme</t>
  </si>
  <si>
    <t xml:space="preserve">BE-05-029</t>
  </si>
  <si>
    <t xml:space="preserve">Use my rewards before closing</t>
  </si>
  <si>
    <t xml:space="preserve">Rewards would be lost</t>
  </si>
  <si>
    <t xml:space="preserve">If I close my card, what happens to my cashback?</t>
  </si>
  <si>
    <t xml:space="preserve">Shows rewards that would be lost and how to take them first, then hands to the team</t>
  </si>
  <si>
    <t xml:space="preserve">Forfeit rules from the bank; no retention offers unless approved</t>
  </si>
  <si>
    <t xml:space="preserve">BE-05-030</t>
  </si>
  <si>
    <t xml:space="preserve">Change how my rewards are paid</t>
  </si>
  <si>
    <t xml:space="preserve">Yearly or on request</t>
  </si>
  <si>
    <t xml:space="preserve">Pay my cashback to the card automatically each year</t>
  </si>
  <si>
    <t xml:space="preserve">Shows the payout options the bank allows and changes the setting</t>
  </si>
  <si>
    <t xml:space="preserve">Segmented, ConfirmSheet, Toast</t>
  </si>
  <si>
    <t xml:space="preserve">Payout options and timing from the bank</t>
  </si>
  <si>
    <t xml:space="preserve">BE-06-001</t>
  </si>
  <si>
    <t xml:space="preserve">See offers for me</t>
  </si>
  <si>
    <t xml:space="preserve">Any offers for me?</t>
  </si>
  <si>
    <t xml:space="preserve">Shows up to three offers matched to the customer's own spending, each with the reason ("You bought coffee here 4 times this month")</t>
  </si>
  <si>
    <t xml:space="preserve">Rail, OfferCard, Suggestions</t>
  </si>
  <si>
    <t xml:space="preserve">No reason, no personal claim; general offers say "Open to every cardholder"; suggestions switch on</t>
  </si>
  <si>
    <t xml:space="preserve">BE-06-002</t>
  </si>
  <si>
    <t xml:space="preserve">Festival season</t>
  </si>
  <si>
    <t xml:space="preserve">Any offers for Diwali?</t>
  </si>
  <si>
    <t xml:space="preserve">Shows live offers tagged for the season in the customer's market</t>
  </si>
  <si>
    <t xml:space="preserve">Only live offers from the feed</t>
  </si>
  <si>
    <t xml:space="preserve">Seasons differ: Christmas (UK, EU), Diwali (IN), Ramadan and Eid (AE, MY), Chinese New Year (SG, MY)</t>
  </si>
  <si>
    <t xml:space="preserve">BE-06-003</t>
  </si>
  <si>
    <t xml:space="preserve">Shows offers only because they asked, with no urgency or spend targets and no follow-up notes, and mentions help is there if wanted</t>
  </si>
  <si>
    <t xml:space="preserve">Rail, OfferCard, Handoff</t>
  </si>
  <si>
    <t xml:space="preserve">Signs of money worries switch off all promotions and spend nudges until the bank's team says otherwise; offers only on direct request</t>
  </si>
  <si>
    <t xml:space="preserve">BE-06-004</t>
  </si>
  <si>
    <t xml:space="preserve">Tell bank offers from partner deals</t>
  </si>
  <si>
    <t xml:space="preserve">Is this deal from my bank or someone else?</t>
  </si>
  <si>
    <t xml:space="preserve">Labels each offer as the bank's own or "Added by Gratifi"</t>
  </si>
  <si>
    <t xml:space="preserve">OfferCard, Badge</t>
  </si>
  <si>
    <t xml:space="preserve">Partner content always labelled</t>
  </si>
  <si>
    <t xml:space="preserve">BE-06-005</t>
  </si>
  <si>
    <t xml:space="preserve">Hear about an offer nearby</t>
  </si>
  <si>
    <t xml:space="preserve">Location on</t>
  </si>
  <si>
    <t xml:space="preserve">Shows one relevant offer when the customer is near a place they would use</t>
  </si>
  <si>
    <t xml:space="preserve">Location consent; One note at a time; ranked by money at stake and deadline; facts re-checked before showing; suggestions switch on; weekly cap and quiet hours apply; Signs of money worries switch off all promotions and spend nudges until the bank's team says otherwise</t>
  </si>
  <si>
    <t xml:space="preserve">BE-06-006</t>
  </si>
  <si>
    <t xml:space="preserve">Know an offer I added is ending</t>
  </si>
  <si>
    <t xml:space="preserve">Reminds the customer an added offer ends soon</t>
  </si>
  <si>
    <t xml:space="preserve">Counts against the weekly cap; Signs of money worries switch off all promotions and spend nudges until the bank's team says otherwise</t>
  </si>
  <si>
    <t xml:space="preserve">BE-06-007</t>
  </si>
  <si>
    <t xml:space="preserve">See business offers</t>
  </si>
  <si>
    <t xml:space="preserve">What savings do we get on the business card?</t>
  </si>
  <si>
    <t xml:space="preserve">Shows the business savings offers and how each one pays back</t>
  </si>
  <si>
    <t xml:space="preserve">Offers from the bank and card network</t>
  </si>
  <si>
    <t xml:space="preserve">BE-06-008</t>
  </si>
  <si>
    <t xml:space="preserve">Find offers in a category</t>
  </si>
  <si>
    <t xml:space="preserve">Category and place</t>
  </si>
  <si>
    <t xml:space="preserve">Any deals on restaurants near me?</t>
  </si>
  <si>
    <t xml:space="preserve">Filters offers by category and location</t>
  </si>
  <si>
    <t xml:space="preserve">FilterBar, Chips, Rail, OfferCard</t>
  </si>
  <si>
    <t xml:space="preserve">BE-06-009</t>
  </si>
  <si>
    <t xml:space="preserve">Compare two offers</t>
  </si>
  <si>
    <t xml:space="preserve">Which is better, the spa deal or the dinner one?</t>
  </si>
  <si>
    <t xml:space="preserve">Compares money back, minimum spend, where it works and expiry side by side</t>
  </si>
  <si>
    <t xml:space="preserve">Terms from the offer feed</t>
  </si>
  <si>
    <t xml:space="preserve">BE-06-010</t>
  </si>
  <si>
    <t xml:space="preserve">See money back before I book</t>
  </si>
  <si>
    <t xml:space="preserve">Gratifi partner booking</t>
  </si>
  <si>
    <t xml:space="preserve">How much back do I get on this hotel?</t>
  </si>
  <si>
    <t xml:space="preserve">Shows money back in money or Avios for each option next to the price</t>
  </si>
  <si>
    <t xml:space="preserve">HotelCard, PriceLines, Badge</t>
  </si>
  <si>
    <t xml:space="preserve">Money back from the partner feed, never the model</t>
  </si>
  <si>
    <t xml:space="preserve">BE-06-011</t>
  </si>
  <si>
    <t xml:space="preserve">Earn money back when I pay</t>
  </si>
  <si>
    <t xml:space="preserve">Offer added</t>
  </si>
  <si>
    <t xml:space="preserve">(pays at the shop with the card)</t>
  </si>
  <si>
    <t xml:space="preserve">Matches the payment to the offer and confirms the money back that is due and when</t>
  </si>
  <si>
    <t xml:space="preserve">Toast, OfferCard, TransactionRow</t>
  </si>
  <si>
    <t xml:space="preserve">Money back from the offer terms and the payment data</t>
  </si>
  <si>
    <t xml:space="preserve">BE-06-012</t>
  </si>
  <si>
    <t xml:space="preserve">Get an instant discount at checkout</t>
  </si>
  <si>
    <t xml:space="preserve">Card offer applies to this purchase</t>
  </si>
  <si>
    <t xml:space="preserve">Does my card get a discount on this booking?</t>
  </si>
  <si>
    <t xml:space="preserve">Checks the bank's live offers for this purchase and shows the discount in the price lines before paying</t>
  </si>
  <si>
    <t xml:space="preserve">PriceLines, OfferCard, ConfirmSheet</t>
  </si>
  <si>
    <t xml:space="preserve">Discount from the offer feed; re-checked before payment</t>
  </si>
  <si>
    <t xml:space="preserve">IN: instant card discounts and no-cost EMI offers are common (to confirm per bank)</t>
  </si>
  <si>
    <t xml:space="preserve">BE-06-013</t>
  </si>
  <si>
    <t xml:space="preserve">Book with money back on top</t>
  </si>
  <si>
    <t xml:space="preserve">Book the hotel and get the money back</t>
  </si>
  <si>
    <t xml:space="preserve">Pays on the card after confirm and shows the money back that will follow and when</t>
  </si>
  <si>
    <t xml:space="preserve">HotelCard, PriceLines, ConfirmSheet, Receipt</t>
  </si>
  <si>
    <t xml:space="preserve">Price re-checked before payment; money back from the partner feed; labelled "Added by Gratifi"</t>
  </si>
  <si>
    <t xml:space="preserve">BE-06-014</t>
  </si>
  <si>
    <t xml:space="preserve">Spread the cost of a booking</t>
  </si>
  <si>
    <t xml:space="preserve">Booking over the bank's minimum</t>
  </si>
  <si>
    <t xml:space="preserve">Can I spread the cost of this hotel?</t>
  </si>
  <si>
    <t xml:space="preserve">Shows the bank's instalment plan at checkout with the fee, monthly amount and total, next to the money back</t>
  </si>
  <si>
    <t xml:space="preserve">PriceLines, NEW: InstalmentPlan, ConfirmSheet</t>
  </si>
  <si>
    <t xml:space="preserve">Plan terms and eligibility from the bank; not offered to customers showing signs of money worries</t>
  </si>
  <si>
    <t xml:space="preserve">EMI common in IN and MY; credit rules differ per market (to confirm)</t>
  </si>
  <si>
    <t xml:space="preserve">BE-06-015</t>
  </si>
  <si>
    <t xml:space="preserve">Earn money back on tables, experiences and gift cards</t>
  </si>
  <si>
    <t xml:space="preserve">Partner category</t>
  </si>
  <si>
    <t xml:space="preserve">Book a table for Friday and get money back</t>
  </si>
  <si>
    <t xml:space="preserve">Books through the partner, free to book, and tracks the money back when the bill is paid with the card</t>
  </si>
  <si>
    <t xml:space="preserve">OfferCard, TimeSlots, Toast</t>
  </si>
  <si>
    <t xml:space="preserve">Money back only when paid with the card; terms from the partner</t>
  </si>
  <si>
    <t xml:space="preserve">BE-06-016</t>
  </si>
  <si>
    <t xml:space="preserve">E-gift card</t>
  </si>
  <si>
    <t xml:space="preserve">Get me a £50 gift card with money back</t>
  </si>
  <si>
    <t xml:space="preserve">Issues the e-gift card by email in minutes after confirm and shows the money back</t>
  </si>
  <si>
    <t xml:space="preserve">GiftCardTile, ConfirmSheet, Receipt</t>
  </si>
  <si>
    <t xml:space="preserve">Price and money back from the partner feed</t>
  </si>
  <si>
    <t xml:space="preserve">BE-06-017</t>
  </si>
  <si>
    <t xml:space="preserve">Chase money back that has not come</t>
  </si>
  <si>
    <t xml:space="preserve">Past the stated days</t>
  </si>
  <si>
    <t xml:space="preserve">Money back missing</t>
  </si>
  <si>
    <t xml:space="preserve">I used the offer but never got the money back</t>
  </si>
  <si>
    <t xml:space="preserve">Checks the payment against the terms and raises a claim if it qualified</t>
  </si>
  <si>
    <t xml:space="preserve">Eligibility from the offer terms and payment data</t>
  </si>
  <si>
    <t xml:space="preserve">BE-06-018</t>
  </si>
  <si>
    <t xml:space="preserve">Understand why an offer did not apply</t>
  </si>
  <si>
    <t xml:space="preserve">Paid another way</t>
  </si>
  <si>
    <t xml:space="preserve">Offer not triggered</t>
  </si>
  <si>
    <t xml:space="preserve">Why didn't my offer work?</t>
  </si>
  <si>
    <t xml:space="preserve">Explains the likely reason from the payment data (another card, paid through a middle firm, under the minimum spend) and what to do next time</t>
  </si>
  <si>
    <t xml:space="preserve">Reasons from payment data and terms only</t>
  </si>
  <si>
    <t xml:space="preserve">BE-06-019</t>
  </si>
  <si>
    <t xml:space="preserve">Added after paying</t>
  </si>
  <si>
    <t xml:space="preserve">Added too late</t>
  </si>
  <si>
    <t xml:space="preserve">I added the offer after I paid</t>
  </si>
  <si>
    <t xml:space="preserve">Explains offers only count for payments after they are added, and shows the offer is ready for next time</t>
  </si>
  <si>
    <t xml:space="preserve">OfferCard, StateCard</t>
  </si>
  <si>
    <t xml:space="preserve">Offer terms decide</t>
  </si>
  <si>
    <t xml:space="preserve">BE-06-020</t>
  </si>
  <si>
    <t xml:space="preserve">Offer expired</t>
  </si>
  <si>
    <t xml:space="preserve">Can I still use the spa offer?</t>
  </si>
  <si>
    <t xml:space="preserve">Says it has ended and shows any similar live offers</t>
  </si>
  <si>
    <t xml:space="preserve">StateCard, Rail, OfferCard</t>
  </si>
  <si>
    <t xml:space="preserve">Only live offers shown</t>
  </si>
  <si>
    <t xml:space="preserve">BE-06-021</t>
  </si>
  <si>
    <t xml:space="preserve">Why am I not getting money back on coffee any more?</t>
  </si>
  <si>
    <t xml:space="preserve">Says the offer's limit has been reached and how much was earned</t>
  </si>
  <si>
    <t xml:space="preserve">OfferCard, Dial</t>
  </si>
  <si>
    <t xml:space="preserve">Cap from the offer terms</t>
  </si>
  <si>
    <t xml:space="preserve">BE-06-022</t>
  </si>
  <si>
    <t xml:space="preserve">Understand why money back was taken off</t>
  </si>
  <si>
    <t xml:space="preserve">Purchase refunded</t>
  </si>
  <si>
    <t xml:space="preserve">Money back reversed</t>
  </si>
  <si>
    <t xml:space="preserve">Why did my money back disappear?</t>
  </si>
  <si>
    <t xml:space="preserve">Shows the refund that reversed it</t>
  </si>
  <si>
    <t xml:space="preserve">Reversal rules from the offer terms</t>
  </si>
  <si>
    <t xml:space="preserve">BE-06-023</t>
  </si>
  <si>
    <t xml:space="preserve">Dispute an offer's terms</t>
  </si>
  <si>
    <t xml:space="preserve">Customer disagrees with the amount</t>
  </si>
  <si>
    <t xml:space="preserve">Terms disputed</t>
  </si>
  <si>
    <t xml:space="preserve">The offer said 20% but I only got 10%</t>
  </si>
  <si>
    <t xml:space="preserve">Shows the terms and the working, and hands to the team if it still looks wrong</t>
  </si>
  <si>
    <t xml:space="preserve">The bank or partner decides; Gratifi never argues</t>
  </si>
  <si>
    <t xml:space="preserve">BE-06-024</t>
  </si>
  <si>
    <t xml:space="preserve">Check an offer I have added</t>
  </si>
  <si>
    <t xml:space="preserve">How's my hotel offer going?</t>
  </si>
  <si>
    <t xml:space="preserve">Shows progress, expiry and money back so far</t>
  </si>
  <si>
    <t xml:space="preserve">OfferCard, Dial, Status</t>
  </si>
  <si>
    <t xml:space="preserve">Progress from the offer platform</t>
  </si>
  <si>
    <t xml:space="preserve">BE-06-025</t>
  </si>
  <si>
    <t xml:space="preserve">See money back on my bookings</t>
  </si>
  <si>
    <t xml:space="preserve">Have I got the money back on my hotel yet?</t>
  </si>
  <si>
    <t xml:space="preserve">Lists bookings with reference, dates, amount and money back status</t>
  </si>
  <si>
    <t xml:space="preserve">NEW: RewardsLedger, Status</t>
  </si>
  <si>
    <t xml:space="preserve">Status from the partner and offer platform</t>
  </si>
  <si>
    <t xml:space="preserve">BE-06-026</t>
  </si>
  <si>
    <t xml:space="preserve">Add an offer</t>
  </si>
  <si>
    <t xml:space="preserve">Add the coffee offer</t>
  </si>
  <si>
    <t xml:space="preserve">Adds the offer to the card and says how it works: pay with this card, money back within the stated days</t>
  </si>
  <si>
    <t xml:space="preserve">OfferCard, Toast</t>
  </si>
  <si>
    <t xml:space="preserve">BE-06-027</t>
  </si>
  <si>
    <t xml:space="preserve">Remove the takeaway offer</t>
  </si>
  <si>
    <t xml:space="preserve">Removes it and asks if they want fewer offers like it</t>
  </si>
  <si>
    <t xml:space="preserve">OfferCard, Toast, Chips</t>
  </si>
  <si>
    <t xml:space="preserve">Removal is immediate</t>
  </si>
  <si>
    <t xml:space="preserve">BE-06-028</t>
  </si>
  <si>
    <t xml:space="preserve">Cancel a booking that has money back</t>
  </si>
  <si>
    <t xml:space="preserve">Within free cancellation</t>
  </si>
  <si>
    <t xml:space="preserve">Cancel my Lisbon hotel</t>
  </si>
  <si>
    <t xml:space="preserve">Shows the cancellation terms first, then what is refunded to the card and that the money back is removed</t>
  </si>
  <si>
    <t xml:space="preserve">Refund from partner terms; money back reversed as the offer terms say</t>
  </si>
  <si>
    <t xml:space="preserve">BE-06-029</t>
  </si>
  <si>
    <t xml:space="preserve">Undo a booking I just made</t>
  </si>
  <si>
    <t xml:space="preserve">Within the undo window</t>
  </si>
  <si>
    <t xml:space="preserve">Undo that, I picked the wrong dates</t>
  </si>
  <si>
    <t xml:space="preserve">Undoes the booking within the short window the partner allows, with nothing charged</t>
  </si>
  <si>
    <t xml:space="preserve">Toast, ConfirmSheet</t>
  </si>
  <si>
    <t xml:space="preserve">Undo window set by the partner</t>
  </si>
  <si>
    <t xml:space="preserve">BE-07-001</t>
  </si>
  <si>
    <t xml:space="preserve">Understand my money-back rights</t>
  </si>
  <si>
    <t xml:space="preserve">UK credit card</t>
  </si>
  <si>
    <t xml:space="preserve">What's Section 75?</t>
  </si>
  <si>
    <t xml:space="preserve">Explains in plain words when it applies, the limits, and how to use it</t>
  </si>
  <si>
    <t xml:space="preserve">NEW: RightsGuide, Answer</t>
  </si>
  <si>
    <t xml:space="preserve">Guides approved by the bank's legal team, dated, with source</t>
  </si>
  <si>
    <t xml:space="preserve">UK only; other markets get chargeback and local consumer law (to confirm)</t>
  </si>
  <si>
    <t xml:space="preserve">BE-07-002</t>
  </si>
  <si>
    <t xml:space="preserve">Any card</t>
  </si>
  <si>
    <t xml:space="preserve">What's a chargeback?</t>
  </si>
  <si>
    <t xml:space="preserve">Explains what chargeback is, the usual time limit and what the customer needs</t>
  </si>
  <si>
    <t xml:space="preserve">Approved, dated guide</t>
  </si>
  <si>
    <t xml:space="preserve">Card scheme rule in every market; time limits usually 120 days (to confirm per scheme)</t>
  </si>
  <si>
    <t xml:space="preserve">BE-07-003</t>
  </si>
  <si>
    <t xml:space="preserve">Know my rights on something bought abroad</t>
  </si>
  <si>
    <t xml:space="preserve">Overseas purchase</t>
  </si>
  <si>
    <t xml:space="preserve">Does Section 75 work on things I bought on holiday?</t>
  </si>
  <si>
    <t xml:space="preserve">Explains the routes for purchases made abroad</t>
  </si>
  <si>
    <t xml:space="preserve">NEW: RightsGuide</t>
  </si>
  <si>
    <t xml:space="preserve">Approved guide; the bank decides each case</t>
  </si>
  <si>
    <t xml:space="preserve">UK: Section 75 also applies to purchases abroad (to confirm per case); chargeback works worldwide</t>
  </si>
  <si>
    <t xml:space="preserve">BE-07-004</t>
  </si>
  <si>
    <t xml:space="preserve">Know my rights if I am defrauded</t>
  </si>
  <si>
    <t xml:space="preserve">Do I get my money back if someone uses my card?</t>
  </si>
  <si>
    <t xml:space="preserve">Explains the bank's duty to refund unauthorised payments and what the customer should do (report quickly, keep details safe)</t>
  </si>
  <si>
    <t xml:space="preserve">NEW: RightsGuide, Button</t>
  </si>
  <si>
    <t xml:space="preserve">Approved guide; fraud cases go to the fraud team</t>
  </si>
  <si>
    <t xml:space="preserve">BE-07-005</t>
  </si>
  <si>
    <t xml:space="preserve">Know how to complain</t>
  </si>
  <si>
    <t xml:space="preserve">How do I complain?</t>
  </si>
  <si>
    <t xml:space="preserve">Explains the steps and timeline and offers to take the complaint now</t>
  </si>
  <si>
    <t xml:space="preserve">NEW: RightsGuide, NEW: ClaimTracker, Handoff</t>
  </si>
  <si>
    <t xml:space="preserve">Complaints recorded and routed, never argued</t>
  </si>
  <si>
    <t xml:space="preserve">BE-07-006</t>
  </si>
  <si>
    <t xml:space="preserve">Know what the bank must tell me</t>
  </si>
  <si>
    <t xml:space="preserve">Do they have to warn me before changing my rate?</t>
  </si>
  <si>
    <t xml:space="preserve">Explains the notice the bank must give for changes and what the customer can do</t>
  </si>
  <si>
    <t xml:space="preserve">Notice rules from local law; bank-approved wording</t>
  </si>
  <si>
    <t xml:space="preserve">BE-07-007</t>
  </si>
  <si>
    <t xml:space="preserve">Know my options when terms change</t>
  </si>
  <si>
    <t xml:space="preserve">Rate or fee change notice</t>
  </si>
  <si>
    <t xml:space="preserve">When the bank changes terms, explains the change and the customer's options, including rejecting it where the law allows</t>
  </si>
  <si>
    <t xml:space="preserve">Moment, NEW: RightsGuide</t>
  </si>
  <si>
    <t xml:space="preserve">Wording from the bank's notice; service note, not marketing</t>
  </si>
  <si>
    <t xml:space="preserve">UK: right to reject some changes and repay on old terms (to confirm); other markets to confirm</t>
  </si>
  <si>
    <t xml:space="preserve">BE-07-008</t>
  </si>
  <si>
    <t xml:space="preserve">Know my rights on interest and fees</t>
  </si>
  <si>
    <t xml:space="preserve">Charged a fee</t>
  </si>
  <si>
    <t xml:space="preserve">Can they charge me a late fee?</t>
  </si>
  <si>
    <t xml:space="preserve">Explains the fee rule and the customer's right to ask for a review, and passes the request to the team</t>
  </si>
  <si>
    <t xml:space="preserve">NEW: RightsGuide, Handoff</t>
  </si>
  <si>
    <t xml:space="preserve">Fees never waived by Gratifi</t>
  </si>
  <si>
    <t xml:space="preserve">BE-07-009</t>
  </si>
  <si>
    <t xml:space="preserve">Change my mind about a new card</t>
  </si>
  <si>
    <t xml:space="preserve">Recently opened</t>
  </si>
  <si>
    <t xml:space="preserve">Can I change my mind about the new card?</t>
  </si>
  <si>
    <t xml:space="preserve">Explains the cooling-off period, how to cancel, and what must be repaid</t>
  </si>
  <si>
    <t xml:space="preserve">Dates from the agreement</t>
  </si>
  <si>
    <t xml:space="preserve">UK and EU: 14-day withdrawal from credit agreements (to confirm); other markets to confirm</t>
  </si>
  <si>
    <t xml:space="preserve">BE-07-010</t>
  </si>
  <si>
    <t xml:space="preserve">Know my data rights</t>
  </si>
  <si>
    <t xml:space="preserve">What data do you hold on me and can I delete it?</t>
  </si>
  <si>
    <t xml:space="preserve">Explains what Gratifi uses and how to download or delete it</t>
  </si>
  <si>
    <t xml:space="preserve">Requests go through the bank's data process</t>
  </si>
  <si>
    <t xml:space="preserve">BE-07-011</t>
  </si>
  <si>
    <t xml:space="preserve">Know my rights on a delayed flight</t>
  </si>
  <si>
    <t xml:space="preserve">Flight disrupted</t>
  </si>
  <si>
    <t xml:space="preserve">What am I owed for my delayed flight?</t>
  </si>
  <si>
    <t xml:space="preserve">Gives a short summary and hands to the flight help, which works out the actual claim</t>
  </si>
  <si>
    <t xml:space="preserve">NEW: RightsGuide, Disruption</t>
  </si>
  <si>
    <t xml:space="preserve">Compensation worked out in the flight flow from local rules</t>
  </si>
  <si>
    <t xml:space="preserve">UK and EU: UK261 and EU261; IN: DGCA rules; others to confirm</t>
  </si>
  <si>
    <t xml:space="preserve">BE-07-012</t>
  </si>
  <si>
    <t xml:space="preserve">Know my rights on a Gratifi booking</t>
  </si>
  <si>
    <t xml:space="preserve">Booked with a partner</t>
  </si>
  <si>
    <t xml:space="preserve">Who's responsible if something goes wrong with a booking I made here?</t>
  </si>
  <si>
    <t xml:space="preserve">Explains who the seller is, the partner's terms, and the bank's money-back routes</t>
  </si>
  <si>
    <t xml:space="preserve">NEW: RightsGuide, Cancellation</t>
  </si>
  <si>
    <t xml:space="preserve">Seller of record shown on every booking</t>
  </si>
  <si>
    <t xml:space="preserve">BE-07-013</t>
  </si>
  <si>
    <t xml:space="preserve">Know my rights when I am struggling</t>
  </si>
  <si>
    <t xml:space="preserve">Can they charge me more if I miss payments?</t>
  </si>
  <si>
    <t xml:space="preserve">Explains calmly the bank's duty to help people in difficulty, with free advice services and a person to talk to</t>
  </si>
  <si>
    <t xml:space="preserve">UK: free debt advice services listed by the bank; other markets to confirm</t>
  </si>
  <si>
    <t xml:space="preserve">BE-07-014</t>
  </si>
  <si>
    <t xml:space="preserve">Get help understanding my rights</t>
  </si>
  <si>
    <t xml:space="preserve">Needs more care</t>
  </si>
  <si>
    <t xml:space="preserve">I find all this confusing, can someone help?</t>
  </si>
  <si>
    <t xml:space="preserve">Slows down, uses shorter sentences, and offers a person and support options</t>
  </si>
  <si>
    <t xml:space="preserve">Flag to the bank's vulnerable-customer process only with consent</t>
  </si>
  <si>
    <t xml:space="preserve">BE-07-015</t>
  </si>
  <si>
    <t xml:space="preserve">Read my rights in my language</t>
  </si>
  <si>
    <t xml:space="preserve">(in Arabic) What are my rights if a shop won't refund me?</t>
  </si>
  <si>
    <t xml:space="preserve">Shows the approved Arabic guide, right to left</t>
  </si>
  <si>
    <t xml:space="preserve">ArabicScreens, NEW: RightsGuide</t>
  </si>
  <si>
    <t xml:space="preserve">Arabic reviewed by native legal reviewers</t>
  </si>
  <si>
    <t xml:space="preserve">BE-07-016</t>
  </si>
  <si>
    <t xml:space="preserve">Know my rights when a claim starts</t>
  </si>
  <si>
    <t xml:space="preserve">When a claim opens, explains the customer's rights and the timeline in two lines</t>
  </si>
  <si>
    <t xml:space="preserve">Service note; approved wording</t>
  </si>
  <si>
    <t xml:space="preserve">BE-07-017</t>
  </si>
  <si>
    <t xml:space="preserve">Make a complaint</t>
  </si>
  <si>
    <t xml:space="preserve">Unhappy with the bank</t>
  </si>
  <si>
    <t xml:space="preserve">I want to complain about how my claim was handled</t>
  </si>
  <si>
    <t xml:space="preserve">Records what happened in the customer's words, sends it to the team, and gives a reference and timeline</t>
  </si>
  <si>
    <t xml:space="preserve">Handoff, NEW: ClaimTracker, Receipt</t>
  </si>
  <si>
    <t xml:space="preserve">Gratifi never defends the bank; reference from the complaints system</t>
  </si>
  <si>
    <t xml:space="preserve">BE-07-018</t>
  </si>
  <si>
    <t xml:space="preserve">Escalate to the ombudsman</t>
  </si>
  <si>
    <t xml:space="preserve">Final response given or deadline passed</t>
  </si>
  <si>
    <t xml:space="preserve">Complaint not resolved</t>
  </si>
  <si>
    <t xml:space="preserve">The bank hasn't sorted it, what now?</t>
  </si>
  <si>
    <t xml:space="preserve">Explains the free ombudsman route for their market and how to apply</t>
  </si>
  <si>
    <t xml:space="preserve">Timelines from local rules</t>
  </si>
  <si>
    <t xml:space="preserve">BE-07-019</t>
  </si>
  <si>
    <t xml:space="preserve">Get legal advice</t>
  </si>
  <si>
    <t xml:space="preserve">Wants a view on a legal case</t>
  </si>
  <si>
    <t xml:space="preserve">Outside Gratifi's scope</t>
  </si>
  <si>
    <t xml:space="preserve">Should I take the shop to court?</t>
  </si>
  <si>
    <t xml:space="preserve">Says it cannot give legal advice, explains the free routes and small claims in plain words, and offers a person</t>
  </si>
  <si>
    <t xml:space="preserve">No legal advice; general guides only</t>
  </si>
  <si>
    <t xml:space="preserve">Small claims routes differ per market (to confirm)</t>
  </si>
  <si>
    <t xml:space="preserve">BE-07-020</t>
  </si>
  <si>
    <t xml:space="preserve">Report a guide that is wrong</t>
  </si>
  <si>
    <t xml:space="preserve">Rule changed</t>
  </si>
  <si>
    <t xml:space="preserve">Guide out of date</t>
  </si>
  <si>
    <t xml:space="preserve">That's not what the bank's website says</t>
  </si>
  <si>
    <t xml:space="preserve">Thanks the customer, shows the guide's date, points to the bank's published page and passes it to the bank to check</t>
  </si>
  <si>
    <t xml:space="preserve">Guides versioned and dated; legal owns updates</t>
  </si>
  <si>
    <t xml:space="preserve">BS-01-001</t>
  </si>
  <si>
    <t xml:space="preserve">Act on the note on Home</t>
  </si>
  <si>
    <t xml:space="preserve">One note at a time</t>
  </si>
  <si>
    <t xml:space="preserve">(taps the main button on the note "Payment due Mon 12 Oct")</t>
  </si>
  <si>
    <t xml:space="preserve">Goes straight to the action, here the payment screen with the amount filled</t>
  </si>
  <si>
    <t xml:space="preserve">StickyNote, PaymentDue, Button</t>
  </si>
  <si>
    <t xml:space="preserve">Note chosen by the rules engine; amounts from the bank</t>
  </si>
  <si>
    <t xml:space="preserve">BS-01-002</t>
  </si>
  <si>
    <t xml:space="preserve">Ask about the note on Home</t>
  </si>
  <si>
    <t xml:space="preserve">Wants to know more</t>
  </si>
  <si>
    <t xml:space="preserve">(taps the note text, not the button)</t>
  </si>
  <si>
    <t xml:space="preserve">Opens a conversation about the note with the detail behind it</t>
  </si>
  <si>
    <t xml:space="preserve">StickyNote, Answer, Suggestions</t>
  </si>
  <si>
    <t xml:space="preserve">Same data as the note; no new claims</t>
  </si>
  <si>
    <t xml:space="preserve">BS-01-003</t>
  </si>
  <si>
    <t xml:space="preserve">Hide a note</t>
  </si>
  <si>
    <t xml:space="preserve">Not relevant now</t>
  </si>
  <si>
    <t xml:space="preserve">(taps "Not now")</t>
  </si>
  <si>
    <t xml:space="preserve">Hides the note until something changes and remembers the choice</t>
  </si>
  <si>
    <t xml:space="preserve">Dismissal stored; note returns only if the facts change</t>
  </si>
  <si>
    <t xml:space="preserve">BS-01-004</t>
  </si>
  <si>
    <t xml:space="preserve">Search the app</t>
  </si>
  <si>
    <t xml:space="preserve">Typing in search</t>
  </si>
  <si>
    <t xml:space="preserve">change address</t>
  </si>
  <si>
    <t xml:space="preserve">Answers at the top and lists the matching screens underneath</t>
  </si>
  <si>
    <t xml:space="preserve">AskBar, Answer, Suggestions</t>
  </si>
  <si>
    <t xml:space="preserve">Answers only from the bank's content and the account</t>
  </si>
  <si>
    <t xml:space="preserve">BS-01-005</t>
  </si>
  <si>
    <t xml:space="preserve">Check a link I was sent</t>
  </si>
  <si>
    <t xml:space="preserve">Message claims to be from the bank</t>
  </si>
  <si>
    <t xml:space="preserve">Looks like phishing</t>
  </si>
  <si>
    <t xml:space="preserve">I got a text with a link to log in to Gratifi, is it real?</t>
  </si>
  <si>
    <t xml:space="preserve">Says the bank never sends login links, tells them not to tap it and offers to freeze the card if they did</t>
  </si>
  <si>
    <t xml:space="preserve">Answer, StateCard, Button, Handoff</t>
  </si>
  <si>
    <t xml:space="preserve">Bank's scam rules; if details were shared, freeze first then fraud team</t>
  </si>
  <si>
    <t xml:space="preserve">Scam reporting routes differ: 7726 for texts (UK); national cyber crime line 1930 (IN, to confirm); ScamShield (SG); NSRC 997 (MY, to confirm); EU and AE to confirm</t>
  </si>
  <si>
    <t xml:space="preserve">BS-01-006</t>
  </si>
  <si>
    <t xml:space="preserve">Open a link from the bank</t>
  </si>
  <si>
    <t xml:space="preserve">Old email</t>
  </si>
  <si>
    <t xml:space="preserve">Link expired</t>
  </si>
  <si>
    <t xml:space="preserve">(taps a link from a month-old email)</t>
  </si>
  <si>
    <t xml:space="preserve">Says that topic has moved on and shows the current answer instead</t>
  </si>
  <si>
    <t xml:space="preserve">Links expire after the bank's set period</t>
  </si>
  <si>
    <t xml:space="preserve">BS-01-007</t>
  </si>
  <si>
    <t xml:space="preserve">Get an answer when systems are slow</t>
  </si>
  <si>
    <t xml:space="preserve">Bank system down</t>
  </si>
  <si>
    <t xml:space="preserve">Service unavailable</t>
  </si>
  <si>
    <t xml:space="preserve">What's my balance?</t>
  </si>
  <si>
    <t xml:space="preserve">Says the balance cannot be read right now, nothing has changed, and offers to try again or show the last known figure with its time</t>
  </si>
  <si>
    <t xml:space="preserve">StateCard, Skeleton, Button</t>
  </si>
  <si>
    <t xml:space="preserve">Never shows a figure without its time; no actions while systems are down</t>
  </si>
  <si>
    <t xml:space="preserve">BS-01-008</t>
  </si>
  <si>
    <t xml:space="preserve">Carry on after being logged out</t>
  </si>
  <si>
    <t xml:space="preserve">Session timed out</t>
  </si>
  <si>
    <t xml:space="preserve">Logged out</t>
  </si>
  <si>
    <t xml:space="preserve">(returns after 20 minutes)</t>
  </si>
  <si>
    <t xml:space="preserve">Asks them to log back in and carries on the same conversation</t>
  </si>
  <si>
    <t xml:space="preserve">Session length and re-login set by the bank</t>
  </si>
  <si>
    <t xml:space="preserve">BS-01-009</t>
  </si>
  <si>
    <t xml:space="preserve">Ask about the screen I am on</t>
  </si>
  <si>
    <t xml:space="preserve">From a payment screen</t>
  </si>
  <si>
    <t xml:space="preserve">Can I split this?</t>
  </si>
  <si>
    <t xml:space="preserve">Opens the conversation with that payment already attached and answers about it</t>
  </si>
  <si>
    <t xml:space="preserve">AskBar, YouSaid, Answer, TransactionRow</t>
  </si>
  <si>
    <t xml:space="preserve">Screen context passed by the app, never guessed</t>
  </si>
  <si>
    <t xml:space="preserve">BS-01-010</t>
  </si>
  <si>
    <t xml:space="preserve">From a statement screen</t>
  </si>
  <si>
    <t xml:space="preserve">Why is this higher than last month?</t>
  </si>
  <si>
    <t xml:space="preserve">Answers about that statement, with the lines that changed</t>
  </si>
  <si>
    <t xml:space="preserve">AskBar, Steps, Answer, NEW: StatementCard</t>
  </si>
  <si>
    <t xml:space="preserve">Statement data from the bank</t>
  </si>
  <si>
    <t xml:space="preserve">BS-01-011</t>
  </si>
  <si>
    <t xml:space="preserve">"Ask about this" button</t>
  </si>
  <si>
    <t xml:space="preserve">(taps "Ask about this" on the Volt Electricals payment)</t>
  </si>
  <si>
    <t xml:space="preserve">Opens with a suggested question about that item ready to send</t>
  </si>
  <si>
    <t xml:space="preserve">Suggestions, TransactionRow, AskBar</t>
  </si>
  <si>
    <t xml:space="preserve">Suggested question built from the item, not free text</t>
  </si>
  <si>
    <t xml:space="preserve">BS-01-012</t>
  </si>
  <si>
    <t xml:space="preserve">Ask by voice</t>
  </si>
  <si>
    <t xml:space="preserve">(holds the microphone) When is my payment due?</t>
  </si>
  <si>
    <t xml:space="preserve">Shows the words live while they speak, sends on release and answers</t>
  </si>
  <si>
    <t xml:space="preserve">AskBar, YouSaid, PaymentDue</t>
  </si>
  <si>
    <t xml:space="preserve">Shows what it heard before any action; no action from voice alone without a button</t>
  </si>
  <si>
    <t xml:space="preserve">Voice in English first; Arabic, Hindi and Malay later (to confirm)</t>
  </si>
  <si>
    <t xml:space="preserve">BS-01-013</t>
  </si>
  <si>
    <t xml:space="preserve">No microphone permission</t>
  </si>
  <si>
    <t xml:space="preserve">Speech not available</t>
  </si>
  <si>
    <t xml:space="preserve">(presses the microphone)</t>
  </si>
  <si>
    <t xml:space="preserve">Says voice is not available right now and opens the keyboard with a short note</t>
  </si>
  <si>
    <t xml:space="preserve">AskBar, Toast</t>
  </si>
  <si>
    <t xml:space="preserve">Falls back to typing; never records without phone permission</t>
  </si>
  <si>
    <t xml:space="preserve">BS-01-014</t>
  </si>
  <si>
    <t xml:space="preserve">Noisy place</t>
  </si>
  <si>
    <t xml:space="preserve">Misheard</t>
  </si>
  <si>
    <t xml:space="preserve">(spoken) Freeze my card (heard as "free my card")</t>
  </si>
  <si>
    <t xml:space="preserve">Shows what it heard and asks to confirm before doing anything</t>
  </si>
  <si>
    <t xml:space="preserve">YouSaid, Suggestions, Button</t>
  </si>
  <si>
    <t xml:space="preserve">Any card or money action needs a button, never voice alone</t>
  </si>
  <si>
    <t xml:space="preserve">BS-01-015</t>
  </si>
  <si>
    <t xml:space="preserve">Open a notification</t>
  </si>
  <si>
    <t xml:space="preserve">Push note</t>
  </si>
  <si>
    <t xml:space="preserve">(taps "Your statement is ready")</t>
  </si>
  <si>
    <t xml:space="preserve">Opens straight into a conversation with the answer already there</t>
  </si>
  <si>
    <t xml:space="preserve">Moment, Answer, NEW: StatementCard</t>
  </si>
  <si>
    <t xml:space="preserve">Push only for moments the customer allowed</t>
  </si>
  <si>
    <t xml:space="preserve">Data laws: UK GDPR, EU GDPR, India DPDP Act, UAE PDPL, Singapore PDPA, Malaysia PDPA</t>
  </si>
  <si>
    <t xml:space="preserve">BS-01-016</t>
  </si>
  <si>
    <t xml:space="preserve">Email or text from the bank</t>
  </si>
  <si>
    <t xml:space="preserve">(taps "Ask Gratifi about your new rate" in a bank email)</t>
  </si>
  <si>
    <t xml:space="preserve">Opens the app login first, then a conversation on that topic</t>
  </si>
  <si>
    <t xml:space="preserve">Deep links carry a topic only, never a login link or personal data</t>
  </si>
  <si>
    <t xml:space="preserve">BS-01-017</t>
  </si>
  <si>
    <t xml:space="preserve">Start using Gratifi</t>
  </si>
  <si>
    <t xml:space="preserve">First open</t>
  </si>
  <si>
    <t xml:space="preserve">(opens Gratifi for the first time)</t>
  </si>
  <si>
    <t xml:space="preserve">Greets by first name with today's date, says in one line what it can do and that it spends nothing without asking</t>
  </si>
  <si>
    <t xml:space="preserve">Answer, Suggestions, Badge</t>
  </si>
  <si>
    <t xml:space="preserve">Label "Gratifi, an AI assistant" always shown with a link to how it works</t>
  </si>
  <si>
    <t xml:space="preserve">AI disclosure rules differ (EU AI Act transparency; others to confirm). Arabic replies need native review and right-to-left layout (AE)</t>
  </si>
  <si>
    <t xml:space="preserve">BS-01-018</t>
  </si>
  <si>
    <t xml:space="preserve">(looks at the suggestions)</t>
  </si>
  <si>
    <t xml:space="preserve">Shows three questions picked for this card plus "When's my payment due?" and "Freeze my card"</t>
  </si>
  <si>
    <t xml:space="preserve">Suggestions</t>
  </si>
  <si>
    <t xml:space="preserve">Suggestions from the card's own benefits and state</t>
  </si>
  <si>
    <t xml:space="preserve">BS-01-019</t>
  </si>
  <si>
    <t xml:space="preserve">Understand a reply</t>
  </si>
  <si>
    <t xml:space="preserve">Wants to know where a number came from</t>
  </si>
  <si>
    <t xml:space="preserve">Where did you get that?</t>
  </si>
  <si>
    <t xml:space="preserve">Points to the source line, for example "From your September statement"</t>
  </si>
  <si>
    <t xml:space="preserve">Steps, Answer, Meta</t>
  </si>
  <si>
    <t xml:space="preserve">Every number comes from a bank system; the model only chooses the words</t>
  </si>
  <si>
    <t xml:space="preserve">BS-01-020</t>
  </si>
  <si>
    <t xml:space="preserve">Fix a misunderstanding</t>
  </si>
  <si>
    <t xml:space="preserve">Wrong answer</t>
  </si>
  <si>
    <t xml:space="preserve">Misunderstood</t>
  </si>
  <si>
    <t xml:space="preserve">(taps "That's not what I meant")</t>
  </si>
  <si>
    <t xml:space="preserve">Offers the three likeliest things they meant as buttons</t>
  </si>
  <si>
    <t xml:space="preserve">Chips, Suggestions</t>
  </si>
  <si>
    <t xml:space="preserve">No action taken on a guess</t>
  </si>
  <si>
    <t xml:space="preserve">BS-01-021</t>
  </si>
  <si>
    <t xml:space="preserve">Ask a follow-up</t>
  </si>
  <si>
    <t xml:space="preserve">After an answer</t>
  </si>
  <si>
    <t xml:space="preserve">(taps "And last month?")</t>
  </si>
  <si>
    <t xml:space="preserve">Answers the follow-up using the same context</t>
  </si>
  <si>
    <t xml:space="preserve">Suggestions, Answer</t>
  </si>
  <si>
    <t xml:space="preserve">BS-01-022</t>
  </si>
  <si>
    <t xml:space="preserve">Manage the conversation</t>
  </si>
  <si>
    <t xml:space="preserve">Clear it</t>
  </si>
  <si>
    <t xml:space="preserve">Clear this chat</t>
  </si>
  <si>
    <t xml:space="preserve">Clears the conversation from the screen after one tap to confirm</t>
  </si>
  <si>
    <t xml:space="preserve">Deletion follows the bank's retention rules</t>
  </si>
  <si>
    <t xml:space="preserve">BS-01-023</t>
  </si>
  <si>
    <t xml:space="preserve">Share an answer</t>
  </si>
  <si>
    <t xml:space="preserve">Copy or share</t>
  </si>
  <si>
    <t xml:space="preserve">Send this to my partner</t>
  </si>
  <si>
    <t xml:space="preserve">Shares the answer text with numbers only and no personal details</t>
  </si>
  <si>
    <t xml:space="preserve">SendTo, Toast</t>
  </si>
  <si>
    <t xml:space="preserve">Shared text strips card number, name and address</t>
  </si>
  <si>
    <t xml:space="preserve">BS-01-024</t>
  </si>
  <si>
    <t xml:space="preserve">Have an answer read aloud</t>
  </si>
  <si>
    <t xml:space="preserve">(taps "Read aloud")</t>
  </si>
  <si>
    <t xml:space="preserve">Reads the answer and the card out loud</t>
  </si>
  <si>
    <t xml:space="preserve">IconButton, Answer</t>
  </si>
  <si>
    <t xml:space="preserve">Screen reader labels on every card</t>
  </si>
  <si>
    <t xml:space="preserve">Accessibility duties: Equality Act (UK), European Accessibility Act (EU), others to confirm</t>
  </si>
  <si>
    <t xml:space="preserve">BS-01-025</t>
  </si>
  <si>
    <t xml:space="preserve">Rate an answer</t>
  </si>
  <si>
    <t xml:space="preserve">(thumbs down) It gave me the wrong date</t>
  </si>
  <si>
    <t xml:space="preserve">Records the rating and optional reason and offers a person</t>
  </si>
  <si>
    <t xml:space="preserve">NEW: RateAnswer, Handoff</t>
  </si>
  <si>
    <t xml:space="preserve">Ratings go to the bank's quality review; a complaint word routes to complaints</t>
  </si>
  <si>
    <t xml:space="preserve">BS-01-026</t>
  </si>
  <si>
    <t xml:space="preserve">Find a past conversation</t>
  </si>
  <si>
    <t xml:space="preserve">Searching history</t>
  </si>
  <si>
    <t xml:space="preserve">What did you tell me about my 0% last week?</t>
  </si>
  <si>
    <t xml:space="preserve">Shows past conversations by date, searchable, and opens the right one</t>
  </si>
  <si>
    <t xml:space="preserve">NEW: ConversationHistory, AskBar</t>
  </si>
  <si>
    <t xml:space="preserve">Kept only for the period the bank sets</t>
  </si>
  <si>
    <t xml:space="preserve">BS-01-027</t>
  </si>
  <si>
    <t xml:space="preserve">Delete a past conversation</t>
  </si>
  <si>
    <t xml:space="preserve">Delete my chat from Tuesday</t>
  </si>
  <si>
    <t xml:space="preserve">Deletes that conversation after one tap to confirm</t>
  </si>
  <si>
    <t xml:space="preserve">NEW: ConversationHistory, ConfirmSheet, Toast</t>
  </si>
  <si>
    <t xml:space="preserve">Deletion within the bank's set time; audit record kept only where law requires</t>
  </si>
  <si>
    <t xml:space="preserve">BS-01-028</t>
  </si>
  <si>
    <t xml:space="preserve">See what Gratifi remembers</t>
  </si>
  <si>
    <t xml:space="preserve">Memory list</t>
  </si>
  <si>
    <t xml:space="preserve">What do you know about me?</t>
  </si>
  <si>
    <t xml:space="preserve">Shows the memory list grouped by Travel, Food and drink, Plans, Shopping, Money habits, each with where it came from</t>
  </si>
  <si>
    <t xml:space="preserve">NEW: MemoryList</t>
  </si>
  <si>
    <t xml:space="preserve">Each item tagged "You told Gratifi" or "From your card"</t>
  </si>
  <si>
    <t xml:space="preserve">BS-01-029</t>
  </si>
  <si>
    <t xml:space="preserve">Tell Gratifi a lasting preference</t>
  </si>
  <si>
    <t xml:space="preserve">Saying something lasting</t>
  </si>
  <si>
    <t xml:space="preserve">I always sit by the window</t>
  </si>
  <si>
    <t xml:space="preserve">Saves it and shows a small note that it will remember</t>
  </si>
  <si>
    <t xml:space="preserve">Toast, NEW: MemoryList</t>
  </si>
  <si>
    <t xml:space="preserve">Saved only when the customer says something lasting or agrees</t>
  </si>
  <si>
    <t xml:space="preserve">BS-01-030</t>
  </si>
  <si>
    <t xml:space="preserve">Agree to a suggested memory</t>
  </si>
  <si>
    <t xml:space="preserve">Gratifi suggests it</t>
  </si>
  <si>
    <t xml:space="preserve">(Gratifi starts it) Shall I remember you prefer small hotels?</t>
  </si>
  <si>
    <t xml:space="preserve">Asks once; saves only on yes</t>
  </si>
  <si>
    <t xml:space="preserve">Moment, Button, Toast</t>
  </si>
  <si>
    <t xml:space="preserve">Saved only after an explicit yes</t>
  </si>
  <si>
    <t xml:space="preserve">BS-01-031</t>
  </si>
  <si>
    <t xml:space="preserve">Forget one thing</t>
  </si>
  <si>
    <t xml:space="preserve">Wrong or old memory</t>
  </si>
  <si>
    <t xml:space="preserve">Forget that I like spicy food</t>
  </si>
  <si>
    <t xml:space="preserve">Removes it with undo for a short time</t>
  </si>
  <si>
    <t xml:space="preserve">NEW: MemoryList, Toast</t>
  </si>
  <si>
    <t xml:space="preserve">Removal is immediate; undo window set by the bank</t>
  </si>
  <si>
    <t xml:space="preserve">BS-01-032</t>
  </si>
  <si>
    <t xml:space="preserve">Forget everything</t>
  </si>
  <si>
    <t xml:space="preserve">Fresh start</t>
  </si>
  <si>
    <t xml:space="preserve">Forget everything you know about me</t>
  </si>
  <si>
    <t xml:space="preserve">Confirms what will go, then clears all memory</t>
  </si>
  <si>
    <t xml:space="preserve">Clears Gratifi memory only; bank records are unchanged</t>
  </si>
  <si>
    <t xml:space="preserve">BS-01-033</t>
  </si>
  <si>
    <t xml:space="preserve">Keep sensitive things out of memory</t>
  </si>
  <si>
    <t xml:space="preserve">Customer mentions health or money worries</t>
  </si>
  <si>
    <t xml:space="preserve">Sensitive detail said</t>
  </si>
  <si>
    <t xml:space="preserve">Remember I have diabetes so no sweet offers</t>
  </si>
  <si>
    <t xml:space="preserve">Does not save the health detail and says so kindly; offers to hide sweet offers instead</t>
  </si>
  <si>
    <t xml:space="preserve">Answer, Toggle</t>
  </si>
  <si>
    <t xml:space="preserve">Never stores health, money worries or other sensitive details, even if asked</t>
  </si>
  <si>
    <t xml:space="preserve">BS-01-034</t>
  </si>
  <si>
    <t xml:space="preserve">Turn spending-based suggestions off</t>
  </si>
  <si>
    <t xml:space="preserve">Stop suggesting things from my spending</t>
  </si>
  <si>
    <t xml:space="preserve">Switches suggestions off so Gratifi answers questions only</t>
  </si>
  <si>
    <t xml:space="preserve">Off means no notes or offers from spending data</t>
  </si>
  <si>
    <t xml:space="preserve">Data laws: UK GDPR, EU GDPR, India DPDP Act, UAE PDPL, Singapore PDPA, Malaysia PDPA. Marketing consent rules differ; PECR also applies (UK)</t>
  </si>
  <si>
    <t xml:space="preserve">BS-01-035</t>
  </si>
  <si>
    <t xml:space="preserve">Turn Gratifi off</t>
  </si>
  <si>
    <t xml:space="preserve">Does not want it</t>
  </si>
  <si>
    <t xml:space="preserve">Turn this assistant off</t>
  </si>
  <si>
    <t xml:space="preserve">Explains the app works exactly as before, then hides the ask bar and notes</t>
  </si>
  <si>
    <t xml:space="preserve">Off must leave every normal app function working</t>
  </si>
  <si>
    <t xml:space="preserve">BS-01-036</t>
  </si>
  <si>
    <t xml:space="preserve">Change voice settings</t>
  </si>
  <si>
    <t xml:space="preserve">Voice replies</t>
  </si>
  <si>
    <t xml:space="preserve">Speak your answers a bit slower</t>
  </si>
  <si>
    <t xml:space="preserve">Turns voice replies on and lowers the speaking speed</t>
  </si>
  <si>
    <t xml:space="preserve">Toggle, Stepper</t>
  </si>
  <si>
    <t xml:space="preserve">BS-01-037</t>
  </si>
  <si>
    <t xml:space="preserve">Change language or reading level</t>
  </si>
  <si>
    <t xml:space="preserve">Plain words</t>
  </si>
  <si>
    <t xml:space="preserve">Can you use simpler words?</t>
  </si>
  <si>
    <t xml:space="preserve">Switches to the plainest reading level and larger text follows the phone</t>
  </si>
  <si>
    <t xml:space="preserve">Segmented, Toast</t>
  </si>
  <si>
    <t xml:space="preserve">Legal wording stays exact; only the explanation is simplified</t>
  </si>
  <si>
    <t xml:space="preserve">Arabic (AE); Hindi and Malay later (to confirm). Arabic replies need native review and right-to-left layout (AE)</t>
  </si>
  <si>
    <t xml:space="preserve">BS-01-038</t>
  </si>
  <si>
    <t xml:space="preserve">Understand what data is used</t>
  </si>
  <si>
    <t xml:space="preserve">Privacy question</t>
  </si>
  <si>
    <t xml:space="preserve">What data do you use?</t>
  </si>
  <si>
    <t xml:space="preserve">Explains in plain words which account data Gratifi reads and what it never uses</t>
  </si>
  <si>
    <t xml:space="preserve">Answer, NEW: SettingsList</t>
  </si>
  <si>
    <t xml:space="preserve">Wording approved by the bank's privacy team</t>
  </si>
  <si>
    <t xml:space="preserve">BS-01-039</t>
  </si>
  <si>
    <t xml:space="preserve">Download my Gratifi data</t>
  </si>
  <si>
    <t xml:space="preserve">Data request</t>
  </si>
  <si>
    <t xml:space="preserve">Send me everything you have on me</t>
  </si>
  <si>
    <t xml:space="preserve">Starts the download request and says when the file will be ready</t>
  </si>
  <si>
    <t xml:space="preserve">ConfirmSheet, Toast, Status</t>
  </si>
  <si>
    <t xml:space="preserve">Access request handled by the bank's process within the legal time</t>
  </si>
  <si>
    <t xml:space="preserve">BS-01-040</t>
  </si>
  <si>
    <t xml:space="preserve">Delete my Gratifi data</t>
  </si>
  <si>
    <t xml:space="preserve">Delete all my Gratifi data</t>
  </si>
  <si>
    <t xml:space="preserve">Explains what will and will not be deleted, then sends the request after confirmation</t>
  </si>
  <si>
    <t xml:space="preserve">ConfirmSheet, Handoff</t>
  </si>
  <si>
    <t xml:space="preserve">Bank records kept where law requires; Gratifi data removed</t>
  </si>
  <si>
    <t xml:space="preserve">BS-01-041</t>
  </si>
  <si>
    <t xml:space="preserve">Set up alerts</t>
  </si>
  <si>
    <t xml:space="preserve">From settings</t>
  </si>
  <si>
    <t xml:space="preserve">Where are my alerts?</t>
  </si>
  <si>
    <t xml:space="preserve">Opens the alert settings and offers to set one by talking</t>
  </si>
  <si>
    <t xml:space="preserve">NEW: SettingsList, Toggle</t>
  </si>
  <si>
    <t xml:space="preserve">Alerts managed by the bank's alert service</t>
  </si>
  <si>
    <t xml:space="preserve">BS-01-042</t>
  </si>
  <si>
    <t xml:space="preserve">Understand how answers are made</t>
  </si>
  <si>
    <t xml:space="preserve">Trust question</t>
  </si>
  <si>
    <t xml:space="preserve">Are you making these numbers up?</t>
  </si>
  <si>
    <t xml:space="preserve">Says numbers come from the account and the assistant only chooses the words</t>
  </si>
  <si>
    <t xml:space="preserve">Every figure is from a bank system; the model tier used is not shown</t>
  </si>
  <si>
    <t xml:space="preserve">BS-01-043</t>
  </si>
  <si>
    <t xml:space="preserve">Ask which AI it is</t>
  </si>
  <si>
    <t xml:space="preserve">Curious</t>
  </si>
  <si>
    <t xml:space="preserve">Which AI model are you?</t>
  </si>
  <si>
    <t xml:space="preserve">Says it is the bank's assistant built by its partner and explains how answers are checked, without naming a model tier</t>
  </si>
  <si>
    <t xml:space="preserve">Model tier not shown to customers</t>
  </si>
  <si>
    <t xml:space="preserve">BS-01-044</t>
  </si>
  <si>
    <t xml:space="preserve">Switch between my cards</t>
  </si>
  <si>
    <t xml:space="preserve">More than one card</t>
  </si>
  <si>
    <t xml:space="preserve">Show my other card</t>
  </si>
  <si>
    <t xml:space="preserve">Switches the card chip at the top and answers for that card</t>
  </si>
  <si>
    <t xml:space="preserve">Chips, Badge</t>
  </si>
  <si>
    <t xml:space="preserve">Only cards the customer holds</t>
  </si>
  <si>
    <t xml:space="preserve">BS-01-045</t>
  </si>
  <si>
    <t xml:space="preserve">Question could mean either</t>
  </si>
  <si>
    <t xml:space="preserve">What do I owe?</t>
  </si>
  <si>
    <t xml:space="preserve">Asks "Which card?" only because both cards have a balance, with a total option</t>
  </si>
  <si>
    <t xml:space="preserve">Chips, Answer</t>
  </si>
  <si>
    <t xml:space="preserve">"Which card?" asked only when the question is genuinely unclear</t>
  </si>
  <si>
    <t xml:space="preserve">BS-01-046</t>
  </si>
  <si>
    <t xml:space="preserve">Use Gratifi as an extra cardholder</t>
  </si>
  <si>
    <t xml:space="preserve">Asks for main balance</t>
  </si>
  <si>
    <t xml:space="preserve">How much is on the whole account?</t>
  </si>
  <si>
    <t xml:space="preserve">Shows their own spending and controls and says the account balance is for the main cardholder</t>
  </si>
  <si>
    <t xml:space="preserve">Additional cardholders see only their own card unless the bank allows more</t>
  </si>
  <si>
    <t xml:space="preserve">BS-01-047</t>
  </si>
  <si>
    <t xml:space="preserve">Ask something Gratifi cannot do</t>
  </si>
  <si>
    <t xml:space="preserve">Out of scope</t>
  </si>
  <si>
    <t xml:space="preserve">Cannot help</t>
  </si>
  <si>
    <t xml:space="preserve">Can you open me a savings account?</t>
  </si>
  <si>
    <t xml:space="preserve">Says it cannot do that and offers the right place in the app or a person</t>
  </si>
  <si>
    <t xml:space="preserve">Only services the bank has switched on</t>
  </si>
  <si>
    <t xml:space="preserve">BS-02-001</t>
  </si>
  <si>
    <t xml:space="preserve">Get told a promotion is ending</t>
  </si>
  <si>
    <t xml:space="preserve">Promo ending</t>
  </si>
  <si>
    <t xml:space="preserve">Note: the 0% balance ends on a date, what is left, and the monthly amount to clear it in time</t>
  </si>
  <si>
    <t xml:space="preserve">StickyNote, PriceLines, Button</t>
  </si>
  <si>
    <t xml:space="preserve">Dates and amounts from the bank; care flag suppresses sales wording</t>
  </si>
  <si>
    <t xml:space="preserve">BS-02-002</t>
  </si>
  <si>
    <t xml:space="preserve">Get reminded a payment is due</t>
  </si>
  <si>
    <t xml:space="preserve">Due soon, not paid</t>
  </si>
  <si>
    <t xml:space="preserve">Note a few days before the due date with the minimum and a Pay button</t>
  </si>
  <si>
    <t xml:space="preserve">Only if no automatic payment covers it; reminder timing set by the bank</t>
  </si>
  <si>
    <t xml:space="preserve">Automatic payment name: Direct Debit (UK), direct debit (EU, AE), auto-debit (IN, MY), GIRO (SG)</t>
  </si>
  <si>
    <t xml:space="preserve">BS-02-003</t>
  </si>
  <si>
    <t xml:space="preserve">Get told my automatic payment falls short</t>
  </si>
  <si>
    <t xml:space="preserve">Promo would be missed</t>
  </si>
  <si>
    <t xml:space="preserve">Note: the automatic payment will not clear the 0% balance before it ends, and the amount needed each month</t>
  </si>
  <si>
    <t xml:space="preserve">Worked out by the rules engine; no sales if care flag set</t>
  </si>
  <si>
    <t xml:space="preserve">BS-02-004</t>
  </si>
  <si>
    <t xml:space="preserve">Get told a payment arrived</t>
  </si>
  <si>
    <t xml:space="preserve">Payment received</t>
  </si>
  <si>
    <t xml:space="preserve">Short note that the payment arrived and the new balance</t>
  </si>
  <si>
    <t xml:space="preserve">Toast, NEW: BalanceCard</t>
  </si>
  <si>
    <t xml:space="preserve">Only if the customer allowed this alert</t>
  </si>
  <si>
    <t xml:space="preserve">BS-02-005</t>
  </si>
  <si>
    <t xml:space="preserve">Pay my bill</t>
  </si>
  <si>
    <t xml:space="preserve">Pay in full</t>
  </si>
  <si>
    <t xml:space="preserve">Clear the lot</t>
  </si>
  <si>
    <t xml:space="preserve">Fills the payment screen with the full balance and the saved bank account, then asks to confirm</t>
  </si>
  <si>
    <t xml:space="preserve">PaymentDue, ConfirmSheet, Receipt</t>
  </si>
  <si>
    <t xml:space="preserve">Cannot pay more than the balance; confirmation needs a button with the amount</t>
  </si>
  <si>
    <t xml:space="preserve">Confirm: Face ID (UK, EU, AE, SG), one-time code (IN), bank app approval (MY). Ways to pay the bill differ: Faster Payments (UK), SEPA transfer (EU), UPI, NEFT, IMPS or BBPS (IN), UAEFTS or instant transfer (AE, to confirm), PayNow or FAST (SG), DuitNow, FPX or JomPAY (MY)</t>
  </si>
  <si>
    <t xml:space="preserve">BS-02-006</t>
  </si>
  <si>
    <t xml:space="preserve">Pay the minimum</t>
  </si>
  <si>
    <t xml:space="preserve">Just pay the minimum</t>
  </si>
  <si>
    <t xml:space="preserve">Fills the minimum, shows the interest that will follow, and asks to confirm</t>
  </si>
  <si>
    <t xml:space="preserve">PaymentDue, PriceLines, ConfirmSheet, Receipt</t>
  </si>
  <si>
    <t xml:space="preserve">Interest figure from the rules engine</t>
  </si>
  <si>
    <t xml:space="preserve">BS-02-007</t>
  </si>
  <si>
    <t xml:space="preserve">Set amount</t>
  </si>
  <si>
    <t xml:space="preserve">Pay £200</t>
  </si>
  <si>
    <t xml:space="preserve">Fills £200 from the saved account, shows what stays owing, and asks to confirm</t>
  </si>
  <si>
    <t xml:space="preserve">Amount must be between the bank's minimum payment amount and the balance</t>
  </si>
  <si>
    <t xml:space="preserve">BS-02-008</t>
  </si>
  <si>
    <t xml:space="preserve">Statement balance</t>
  </si>
  <si>
    <t xml:space="preserve">Pay off the statement</t>
  </si>
  <si>
    <t xml:space="preserve">Fills the statement balance and says no interest on purchases if paid by the due date</t>
  </si>
  <si>
    <t xml:space="preserve">Interest rule from the rules engine</t>
  </si>
  <si>
    <t xml:space="preserve">BS-02-009</t>
  </si>
  <si>
    <t xml:space="preserve">Enough to cover a 0% plan</t>
  </si>
  <si>
    <t xml:space="preserve">Pay what I need for the 0% plan</t>
  </si>
  <si>
    <t xml:space="preserve">Offers the amount that keeps the 0% plan on track, alongside the other options</t>
  </si>
  <si>
    <t xml:space="preserve">PaymentDue, Segmented, ConfirmSheet</t>
  </si>
  <si>
    <t xml:space="preserve">Plan amount from the bank</t>
  </si>
  <si>
    <t xml:space="preserve">BS-02-010</t>
  </si>
  <si>
    <t xml:space="preserve">Charge card</t>
  </si>
  <si>
    <t xml:space="preserve">Pay my card</t>
  </si>
  <si>
    <t xml:space="preserve">Offers only the statement balance or the full balance</t>
  </si>
  <si>
    <t xml:space="preserve">PaymentDue, Segmented, ConfirmSheet, Receipt</t>
  </si>
  <si>
    <t xml:space="preserve">Charge cards cannot pay a minimum</t>
  </si>
  <si>
    <t xml:space="preserve">BS-02-011</t>
  </si>
  <si>
    <t xml:space="preserve">From a different bank account</t>
  </si>
  <si>
    <t xml:space="preserve">Pay from my other account this time</t>
  </si>
  <si>
    <t xml:space="preserve">Lets them pick another saved account or add one through the bank's secure screen</t>
  </si>
  <si>
    <t xml:space="preserve">PaymentDue, Chips, ConfirmSheet</t>
  </si>
  <si>
    <t xml:space="preserve">New payee accounts added only through the bank's secure flow</t>
  </si>
  <si>
    <t xml:space="preserve">BS-02-012</t>
  </si>
  <si>
    <t xml:space="preserve">Get a payment receipt</t>
  </si>
  <si>
    <t xml:space="preserve">(after confirming a payment)</t>
  </si>
  <si>
    <t xml:space="preserve">Shows a receipt with reference and says the balance shows it as pending until it lands</t>
  </si>
  <si>
    <t xml:space="preserve">Receipt, CheckPop, Status</t>
  </si>
  <si>
    <t xml:space="preserve">Reference from the bank's payment system</t>
  </si>
  <si>
    <t xml:space="preserve">BS-02-013</t>
  </si>
  <si>
    <t xml:space="preserve">Pay from abroad or by transfer</t>
  </si>
  <si>
    <t xml:space="preserve">Not using the app to pay</t>
  </si>
  <si>
    <t xml:space="preserve">How do I pay by bank transfer?</t>
  </si>
  <si>
    <t xml:space="preserve">Shows the bank's account details and the reference to use</t>
  </si>
  <si>
    <t xml:space="preserve">Answer, NEW: BankTransferDetails, IconButton</t>
  </si>
  <si>
    <t xml:space="preserve">Details from the bank's own record only, never typed by the model</t>
  </si>
  <si>
    <t xml:space="preserve">Ways to pay the bill differ: Faster Payments (UK), SEPA transfer (EU), UPI, NEFT, IMPS or BBPS (IN), UAEFTS or instant transfer (AE, to confirm), PayNow or FAST (SG), DuitNow, FPX or JomPAY (MY). International transfer fees set by the sending bank</t>
  </si>
  <si>
    <t xml:space="preserve">BS-02-014</t>
  </si>
  <si>
    <t xml:space="preserve">Understand a pending payment</t>
  </si>
  <si>
    <t xml:space="preserve">Hold not released</t>
  </si>
  <si>
    <t xml:space="preserve">The petrol station took £99 and it's still there</t>
  </si>
  <si>
    <t xml:space="preserve">Explains it is a temporary hold, when it usually drops off, and offers to raise it if it stays past that time</t>
  </si>
  <si>
    <t xml:space="preserve">Hold release times from the bank; disputes go to the bank's process</t>
  </si>
  <si>
    <t xml:space="preserve">BS-02-015</t>
  </si>
  <si>
    <t xml:space="preserve">Fix a payment that failed</t>
  </si>
  <si>
    <t xml:space="preserve">Payment rejected</t>
  </si>
  <si>
    <t xml:space="preserve">Payment failed</t>
  </si>
  <si>
    <t xml:space="preserve">My payment didn't go through</t>
  </si>
  <si>
    <t xml:space="preserve">Reads the payment status, explains why in plain words, and offers to try again or use another account</t>
  </si>
  <si>
    <t xml:space="preserve">StateCard, Status, Button</t>
  </si>
  <si>
    <t xml:space="preserve">Status from the bank's payment system; no retry without a new confirmation</t>
  </si>
  <si>
    <t xml:space="preserve">BS-02-016</t>
  </si>
  <si>
    <t xml:space="preserve">Check a payment I made</t>
  </si>
  <si>
    <t xml:space="preserve">Paid from another bank</t>
  </si>
  <si>
    <t xml:space="preserve">Payment not showing</t>
  </si>
  <si>
    <t xml:space="preserve">I paid yesterday from my other bank and it's not there</t>
  </si>
  <si>
    <t xml:space="preserve">Explains how long transfers usually take to arrive and offers to check again later or trace it with the team</t>
  </si>
  <si>
    <t xml:space="preserve">Answer, Status, Handoff</t>
  </si>
  <si>
    <t xml:space="preserve">Arrival times from the bank; tracing is a bank process</t>
  </si>
  <si>
    <t xml:space="preserve">Ways to pay the bill differ: Faster Payments (UK), SEPA transfer (EU), UPI, NEFT, IMPS or BBPS (IN), UAEFTS or instant transfer (AE, to confirm), PayNow or FAST (SG), DuitNow, FPX or JomPAY (MY)</t>
  </si>
  <si>
    <t xml:space="preserve">BS-02-017</t>
  </si>
  <si>
    <t xml:space="preserve">Wrong reference</t>
  </si>
  <si>
    <t xml:space="preserve">Payment misrouted</t>
  </si>
  <si>
    <t xml:space="preserve">I think I used the wrong reference</t>
  </si>
  <si>
    <t xml:space="preserve">Takes the payment details and hands to the team to find and apply it</t>
  </si>
  <si>
    <t xml:space="preserve">Only the bank can move a misapplied payment</t>
  </si>
  <si>
    <t xml:space="preserve">BS-02-018</t>
  </si>
  <si>
    <t xml:space="preserve">Pay after the due date</t>
  </si>
  <si>
    <t xml:space="preserve">Missed the date</t>
  </si>
  <si>
    <t xml:space="preserve">Payment missed</t>
  </si>
  <si>
    <t xml:space="preserve">I forgot to pay, what happens now?</t>
  </si>
  <si>
    <t xml:space="preserve">Says what the bank's rules mean now, offers to pay straight away, and offers help if paying is hard</t>
  </si>
  <si>
    <t xml:space="preserve">Answer, PaymentDue, Button, Handoff</t>
  </si>
  <si>
    <t xml:space="preserve">Late fee and reporting rules from the bank; fees never waived by Gratifi</t>
  </si>
  <si>
    <t xml:space="preserve">Late payment reporting to credit agencies differs by market; IN treats a payment as past due only after 3 days (to confirm)</t>
  </si>
  <si>
    <t xml:space="preserve">BS-02-019</t>
  </si>
  <si>
    <t xml:space="preserve">Try to pay more than I owe</t>
  </si>
  <si>
    <t xml:space="preserve">Overpaying</t>
  </si>
  <si>
    <t xml:space="preserve">Amount over balance</t>
  </si>
  <si>
    <t xml:space="preserve">Pay £1,000</t>
  </si>
  <si>
    <t xml:space="preserve">Says the balance is lower and offers to pay the full balance instead</t>
  </si>
  <si>
    <t xml:space="preserve">StateCard, PaymentDue</t>
  </si>
  <si>
    <t xml:space="preserve">Cannot pay more than the balance</t>
  </si>
  <si>
    <t xml:space="preserve">BS-02-020</t>
  </si>
  <si>
    <t xml:space="preserve">Understand a failed automatic payment</t>
  </si>
  <si>
    <t xml:space="preserve">Bank account short</t>
  </si>
  <si>
    <t xml:space="preserve">Automatic payment returned</t>
  </si>
  <si>
    <t xml:space="preserve">Why did my direct debit bounce?</t>
  </si>
  <si>
    <t xml:space="preserve">Says the payment was returned, what that means for fees, and offers to pay now</t>
  </si>
  <si>
    <t xml:space="preserve">StateCard, PaymentDue, Button</t>
  </si>
  <si>
    <t xml:space="preserve">Return reason and fees from the bank</t>
  </si>
  <si>
    <t xml:space="preserve">BS-02-021</t>
  </si>
  <si>
    <t xml:space="preserve">Check my balance</t>
  </si>
  <si>
    <t xml:space="preserve">What I owe</t>
  </si>
  <si>
    <t xml:space="preserve">Reads the live balance, pending payments and limit and shows a balance card</t>
  </si>
  <si>
    <t xml:space="preserve">Answer, NEW: BalanceCard, Suggestions</t>
  </si>
  <si>
    <t xml:space="preserve">Live balance and limit from the bank</t>
  </si>
  <si>
    <t xml:space="preserve">BS-02-022</t>
  </si>
  <si>
    <t xml:space="preserve">Check what I can spend</t>
  </si>
  <si>
    <t xml:space="preserve">Available credit</t>
  </si>
  <si>
    <t xml:space="preserve">How much can I spend?</t>
  </si>
  <si>
    <t xml:space="preserve">Shows available credit with a used-limit bar and the pending total</t>
  </si>
  <si>
    <t xml:space="preserve">Answer, NEW: BalanceCard</t>
  </si>
  <si>
    <t xml:space="preserve">Available credit from the bank; pending included</t>
  </si>
  <si>
    <t xml:space="preserve">BS-02-023</t>
  </si>
  <si>
    <t xml:space="preserve">Check if I can afford something</t>
  </si>
  <si>
    <t xml:space="preserve">A purchase in mind</t>
  </si>
  <si>
    <t xml:space="preserve">Can I afford a £400 flight?</t>
  </si>
  <si>
    <t xml:space="preserve">Answers with available credit only and says plainly if it would take them over 90% of the limit, without advice on whether to buy</t>
  </si>
  <si>
    <t xml:space="preserve">Available credit only; the 90% line set by the bank; never advice to buy</t>
  </si>
  <si>
    <t xml:space="preserve">Affordability and responsible lending wording differs (FCA Consumer Duty UK; others to confirm)</t>
  </si>
  <si>
    <t xml:space="preserve">BS-02-024</t>
  </si>
  <si>
    <t xml:space="preserve">Near the limit</t>
  </si>
  <si>
    <t xml:space="preserve">Would go over limit</t>
  </si>
  <si>
    <t xml:space="preserve">Can I put a £900 sofa on it?</t>
  </si>
  <si>
    <t xml:space="preserve">Says it would go over the available credit and what is left, with no suggestion to raise the limit if there are signs of difficulty</t>
  </si>
  <si>
    <t xml:space="preserve">Answer, NEW: BalanceCard, StateCard</t>
  </si>
  <si>
    <t xml:space="preserve">Limit and difficulty flags from the bank; limit offers suppressed if flagged</t>
  </si>
  <si>
    <t xml:space="preserve">BS-02-025</t>
  </si>
  <si>
    <t xml:space="preserve">Not settled yet</t>
  </si>
  <si>
    <t xml:space="preserve">Why is the hotel still pending?</t>
  </si>
  <si>
    <t xml:space="preserve">Explains what pending means for this payment and when it usually settles</t>
  </si>
  <si>
    <t xml:space="preserve">Answer, TransactionRow, Status</t>
  </si>
  <si>
    <t xml:space="preserve">Settlement times from the bank's rules</t>
  </si>
  <si>
    <t xml:space="preserve">BS-02-026</t>
  </si>
  <si>
    <t xml:space="preserve">See an extra cardholder's spending</t>
  </si>
  <si>
    <t xml:space="preserve">Main cardholder</t>
  </si>
  <si>
    <t xml:space="preserve">How much has Alex spent?</t>
  </si>
  <si>
    <t xml:space="preserve">Totals the additional card's spending this period with the payments behind it</t>
  </si>
  <si>
    <t xml:space="preserve">Answer, TransactionRow, NEW: SpendBreakdown</t>
  </si>
  <si>
    <t xml:space="preserve">Only the main cardholder can see other cards on the account</t>
  </si>
  <si>
    <t xml:space="preserve">BS-02-027</t>
  </si>
  <si>
    <t xml:space="preserve">Check when my payment is due</t>
  </si>
  <si>
    <t xml:space="preserve">Credit card</t>
  </si>
  <si>
    <t xml:space="preserve">When's my payment due?</t>
  </si>
  <si>
    <t xml:space="preserve">Shows the minimum, statement balance, due date and automatic payment status</t>
  </si>
  <si>
    <t xml:space="preserve">PaymentDue, Answer, Button</t>
  </si>
  <si>
    <t xml:space="preserve">Minimum follows the bank's rule; plans and fees shown as part of it</t>
  </si>
  <si>
    <t xml:space="preserve">BS-02-028</t>
  </si>
  <si>
    <t xml:space="preserve">How much do I need to pay this month?</t>
  </si>
  <si>
    <t xml:space="preserve">Shows the full statement amount due, never a minimum</t>
  </si>
  <si>
    <t xml:space="preserve">PaymentDue, Answer</t>
  </si>
  <si>
    <t xml:space="preserve">Charge cards: full statement balance only</t>
  </si>
  <si>
    <t xml:space="preserve">BS-02-029</t>
  </si>
  <si>
    <t xml:space="preserve">Understand my minimum payment</t>
  </si>
  <si>
    <t xml:space="preserve">Seems high</t>
  </si>
  <si>
    <t xml:space="preserve">Why is my minimum this amount?</t>
  </si>
  <si>
    <t xml:space="preserve">Breaks the minimum into its parts: the percentage, interest, fees and plan instalments</t>
  </si>
  <si>
    <t xml:space="preserve">Minimum formula from the bank</t>
  </si>
  <si>
    <t xml:space="preserve">Minimum formula differs by bank and market; IN rules say the minimum must not cause the balance to grow (to confirm)</t>
  </si>
  <si>
    <t xml:space="preserve">BS-02-030</t>
  </si>
  <si>
    <t xml:space="preserve">Check if I will pay interest</t>
  </si>
  <si>
    <t xml:space="preserve">Wants to avoid it</t>
  </si>
  <si>
    <t xml:space="preserve">Will I pay interest this month?</t>
  </si>
  <si>
    <t xml:space="preserve">Gives a yes or no and the amount to pay by the due date to avoid interest on purchases</t>
  </si>
  <si>
    <t xml:space="preserve">Answer, PaymentDue</t>
  </si>
  <si>
    <t xml:space="preserve">Yes or no and the amount come from the rules engine, never worked out by the model</t>
  </si>
  <si>
    <t xml:space="preserve">Islamic cards (AE, MY) use profit rates and fees instead of interest; wording needs Shariah-approved text (to confirm per bank)</t>
  </si>
  <si>
    <t xml:space="preserve">BS-02-031</t>
  </si>
  <si>
    <t xml:space="preserve">Check my promotional balances</t>
  </si>
  <si>
    <t xml:space="preserve">0% balances</t>
  </si>
  <si>
    <t xml:space="preserve">What's on 0% and when does it end?</t>
  </si>
  <si>
    <t xml:space="preserve">Lists each promotional balance, the end date and the rate after</t>
  </si>
  <si>
    <t xml:space="preserve">Answer, PriceLines, Meta</t>
  </si>
  <si>
    <t xml:space="preserve">Promo terms from the bank</t>
  </si>
  <si>
    <t xml:space="preserve">BS-02-032</t>
  </si>
  <si>
    <t xml:space="preserve">Set up an automatic payment</t>
  </si>
  <si>
    <t xml:space="preserve">None set up</t>
  </si>
  <si>
    <t xml:space="preserve">Set up a direct debit for the full balance</t>
  </si>
  <si>
    <t xml:space="preserve">Shows the options (statement balance, minimum, fixed amount), fills the choice and asks to confirm</t>
  </si>
  <si>
    <t xml:space="preserve">NEW: DirectDebitCard, Segmented, ConfirmSheet</t>
  </si>
  <si>
    <t xml:space="preserve">Mandate created by the bank; charge cards take statement balance only</t>
  </si>
  <si>
    <t xml:space="preserve">Automatic payment name: Direct Debit (UK), direct debit (EU, AE), auto-debit (IN, MY), GIRO (SG). UK: Direct Debit Guarantee applies. Confirm: Face ID (UK, EU, AE, SG), one-time code (IN), bank app approval (MY)</t>
  </si>
  <si>
    <t xml:space="preserve">BS-02-033</t>
  </si>
  <si>
    <t xml:space="preserve">Change my automatic payment</t>
  </si>
  <si>
    <t xml:space="preserve">Change amount type</t>
  </si>
  <si>
    <t xml:space="preserve">Change my direct debit to the minimum</t>
  </si>
  <si>
    <t xml:space="preserve">Shows what changes and when it takes effect, then asks to confirm</t>
  </si>
  <si>
    <t xml:space="preserve">NEW: DirectDebitCard, ConfirmSheet</t>
  </si>
  <si>
    <t xml:space="preserve">Changes near the due date apply from the next statement</t>
  </si>
  <si>
    <t xml:space="preserve">BS-02-034</t>
  </si>
  <si>
    <t xml:space="preserve">Fixed amount below minimum</t>
  </si>
  <si>
    <t xml:space="preserve">Amount too low</t>
  </si>
  <si>
    <t xml:space="preserve">Make it a fixed £20 a month</t>
  </si>
  <si>
    <t xml:space="preserve">Says that when £20 is below the minimum, the minimum will be taken instead</t>
  </si>
  <si>
    <t xml:space="preserve">NEW: DirectDebitCard, StateCard</t>
  </si>
  <si>
    <t xml:space="preserve">A fixed amount under the minimum takes the minimum</t>
  </si>
  <si>
    <t xml:space="preserve">BS-02-035</t>
  </si>
  <si>
    <t xml:space="preserve">Check my automatic payment is enough</t>
  </si>
  <si>
    <t xml:space="preserve">Has a 0% plan</t>
  </si>
  <si>
    <t xml:space="preserve">Is my direct debit enough?</t>
  </si>
  <si>
    <t xml:space="preserve">Compares the automatic payment with what is needed and offers a top-up</t>
  </si>
  <si>
    <t xml:space="preserve">NEW: DirectDebitCard, Compare, Button</t>
  </si>
  <si>
    <t xml:space="preserve">Amounts from the bank</t>
  </si>
  <si>
    <t xml:space="preserve">BS-02-036</t>
  </si>
  <si>
    <t xml:space="preserve">Cancel my automatic payment</t>
  </si>
  <si>
    <t xml:space="preserve">Paying manually</t>
  </si>
  <si>
    <t xml:space="preserve">Cancel my direct debit</t>
  </si>
  <si>
    <t xml:space="preserve">Confirms, reminds them of the next due date and amount, and offers undo</t>
  </si>
  <si>
    <t xml:space="preserve">ConfirmSheet, PaymentDue, Toast</t>
  </si>
  <si>
    <t xml:space="preserve">Cancellation through the bank's mandate service</t>
  </si>
  <si>
    <t xml:space="preserve">BS-02-037</t>
  </si>
  <si>
    <t xml:space="preserve">Change my payment date</t>
  </si>
  <si>
    <t xml:space="preserve">Better day after payday</t>
  </si>
  <si>
    <t xml:space="preserve">Can I move my payment date to the 28th?</t>
  </si>
  <si>
    <t xml:space="preserve">Shows the current date and the days allowed and sends the request after confirmation</t>
  </si>
  <si>
    <t xml:space="preserve">NEW: DatePicker, ConfirmSheet, Status</t>
  </si>
  <si>
    <t xml:space="preserve">Bank limits on how often it can change; this month's date does not move</t>
  </si>
  <si>
    <t xml:space="preserve">IN banks give a one-time option to change the billing cycle (to confirm)</t>
  </si>
  <si>
    <t xml:space="preserve">BS-02-038</t>
  </si>
  <si>
    <t xml:space="preserve">Changed recently</t>
  </si>
  <si>
    <t xml:space="preserve">Not allowed yet</t>
  </si>
  <si>
    <t xml:space="preserve">Change my due date again</t>
  </si>
  <si>
    <t xml:space="preserve">Says it was changed recently and when it can next be changed</t>
  </si>
  <si>
    <t xml:space="preserve">StateCard, Meta</t>
  </si>
  <si>
    <t xml:space="preserve">Change limits from the bank</t>
  </si>
  <si>
    <t xml:space="preserve">BS-02-039</t>
  </si>
  <si>
    <t xml:space="preserve">Check a payment date request</t>
  </si>
  <si>
    <t xml:space="preserve">Has my new due date gone through?</t>
  </si>
  <si>
    <t xml:space="preserve">Shows the request status and the expected reply time</t>
  </si>
  <si>
    <t xml:space="preserve">Status, Meta</t>
  </si>
  <si>
    <t xml:space="preserve">BS-02-040</t>
  </si>
  <si>
    <t xml:space="preserve">Get money back I overpaid</t>
  </si>
  <si>
    <t xml:space="preserve">Credit balance</t>
  </si>
  <si>
    <t xml:space="preserve">I've overpaid, can I have it back?</t>
  </si>
  <si>
    <t xml:space="preserve">Shows the credit balance and offers to send it to their bank account after confirmation</t>
  </si>
  <si>
    <t xml:space="preserve">NEW: BalanceCard, ConfirmSheet, Receipt</t>
  </si>
  <si>
    <t xml:space="preserve">Refund amount and time from the bank; only to an account in the customer's name</t>
  </si>
  <si>
    <t xml:space="preserve">BS-02-041</t>
  </si>
  <si>
    <t xml:space="preserve">Understand a credit balance</t>
  </si>
  <si>
    <t xml:space="preserve">Refund landed after payment</t>
  </si>
  <si>
    <t xml:space="preserve">Why does it say I'm in credit?</t>
  </si>
  <si>
    <t xml:space="preserve">Explains the refund or overpayment behind it and that it will be used against new spending unless sent back</t>
  </si>
  <si>
    <t xml:space="preserve">BS-02-042</t>
  </si>
  <si>
    <t xml:space="preserve">Get told when I am near my limit</t>
  </si>
  <si>
    <t xml:space="preserve">Tell me when I'm at 80% of my limit</t>
  </si>
  <si>
    <t xml:space="preserve">Sets the alert and shows the setting to confirm</t>
  </si>
  <si>
    <t xml:space="preserve">Near or over limit alerts are always on; extra levels set by the customer</t>
  </si>
  <si>
    <t xml:space="preserve">BS-03-001</t>
  </si>
  <si>
    <t xml:space="preserve">Get told a subscription went up</t>
  </si>
  <si>
    <t xml:space="preserve">Note: a repeat payment is higher than last month, with both amounts</t>
  </si>
  <si>
    <t xml:space="preserve">StickyNote, TransactionRow</t>
  </si>
  <si>
    <t xml:space="preserve">Only from real transaction data</t>
  </si>
  <si>
    <t xml:space="preserve">BS-03-002</t>
  </si>
  <si>
    <t xml:space="preserve">See offers for where I spend</t>
  </si>
  <si>
    <t xml:space="preserve">Any offers for eating out?</t>
  </si>
  <si>
    <t xml:space="preserve">Shows offers matched to that category with the reason for each</t>
  </si>
  <si>
    <t xml:space="preserve">Offers only if suggestions are on; partner offers labelled "Added by Gratifi"</t>
  </si>
  <si>
    <t xml:space="preserve">BS-03-003</t>
  </si>
  <si>
    <t xml:space="preserve">Find a payment</t>
  </si>
  <si>
    <t xml:space="preserve">The taxi in Amsterdam</t>
  </si>
  <si>
    <t xml:space="preserve">Finds matching payments and shows them</t>
  </si>
  <si>
    <t xml:space="preserve">AskBar, TransactionRow</t>
  </si>
  <si>
    <t xml:space="preserve">Search over the customer's own transactions</t>
  </si>
  <si>
    <t xml:space="preserve">BS-03-004</t>
  </si>
  <si>
    <t xml:space="preserve">Amount and date</t>
  </si>
  <si>
    <t xml:space="preserve">Anything over £500 in August</t>
  </si>
  <si>
    <t xml:space="preserve">Lists matching payments with the total</t>
  </si>
  <si>
    <t xml:space="preserve">BS-03-005</t>
  </si>
  <si>
    <t xml:space="preserve">No match</t>
  </si>
  <si>
    <t xml:space="preserve">The florist in June</t>
  </si>
  <si>
    <t xml:space="preserve">Says nothing matched and offers the nearest matches or another card</t>
  </si>
  <si>
    <t xml:space="preserve">Never invents a payment</t>
  </si>
  <si>
    <t xml:space="preserve">BS-03-006</t>
  </si>
  <si>
    <t xml:space="preserve">Spread one payment</t>
  </si>
  <si>
    <t xml:space="preserve">Big purchase</t>
  </si>
  <si>
    <t xml:space="preserve">Can I spread this payment?</t>
  </si>
  <si>
    <t xml:space="preserve">Shows whether the payment can go into an instalment plan and the options</t>
  </si>
  <si>
    <t xml:space="preserve">TransactionRow, NEW: InstalmentPlan, Button</t>
  </si>
  <si>
    <t xml:space="preserve">Eligibility and fees from the bank (see Credit)</t>
  </si>
  <si>
    <t xml:space="preserve">EMI (IN), easy payment plan (AE, MY, to confirm)</t>
  </si>
  <si>
    <t xml:space="preserve">BS-03-007</t>
  </si>
  <si>
    <t xml:space="preserve">Pay from my statement</t>
  </si>
  <si>
    <t xml:space="preserve">Statement open</t>
  </si>
  <si>
    <t xml:space="preserve">(taps Pay on the statement)</t>
  </si>
  <si>
    <t xml:space="preserve">Fills the statement balance with the saved account and asks to confirm</t>
  </si>
  <si>
    <t xml:space="preserve">NEW: StatementCard, PaymentDue, ConfirmSheet, Receipt</t>
  </si>
  <si>
    <t xml:space="preserve">Amount from the statement; confirmation needs a button with the amount</t>
  </si>
  <si>
    <t xml:space="preserve">BS-03-008</t>
  </si>
  <si>
    <t xml:space="preserve">Stop a subscription</t>
  </si>
  <si>
    <t xml:space="preserve">Repeat payment</t>
  </si>
  <si>
    <t xml:space="preserve">Merchant keeps charging</t>
  </si>
  <si>
    <t xml:space="preserve">I cancelled the gym but they still charge me</t>
  </si>
  <si>
    <t xml:space="preserve">Explains how to stop the payment with the merchant and, where the bank allows, stops future payments or raises a dispute</t>
  </si>
  <si>
    <t xml:space="preserve">Stopping card repeat payments is a bank process; disputes follow card scheme rules</t>
  </si>
  <si>
    <t xml:space="preserve">UK: customers can ask the bank to stop a continuous payment; other markets to confirm</t>
  </si>
  <si>
    <t xml:space="preserve">BS-03-009</t>
  </si>
  <si>
    <t xml:space="preserve">Understand one payment</t>
  </si>
  <si>
    <t xml:space="preserve">Do not recognise it</t>
  </si>
  <si>
    <t xml:space="preserve">Possible fraud</t>
  </si>
  <si>
    <t xml:space="preserve">I don't recognise this</t>
  </si>
  <si>
    <t xml:space="preserve">Shows what it knows about the payment and, if still unknown, offers to report it and freeze the card</t>
  </si>
  <si>
    <t xml:space="preserve">TransactionRow, Answer, Button, Handoff</t>
  </si>
  <si>
    <t xml:space="preserve">Fraud reports go to the bank's fraud process</t>
  </si>
  <si>
    <t xml:space="preserve">Fraud liability rules differ: IN zero liability if reported within 3 working days (to confirm); SG E-Payments User Protection Guidelines; others to confirm</t>
  </si>
  <si>
    <t xml:space="preserve">BS-03-010</t>
  </si>
  <si>
    <t xml:space="preserve">Find a payment on the right card</t>
  </si>
  <si>
    <t xml:space="preserve">Not on this card</t>
  </si>
  <si>
    <t xml:space="preserve">Where's my Streamly payment?</t>
  </si>
  <si>
    <t xml:space="preserve">Says there is no such payment on this card and offers to check the other cards</t>
  </si>
  <si>
    <t xml:space="preserve">BS-03-011</t>
  </si>
  <si>
    <t xml:space="preserve">Sort out a charged-twice payment</t>
  </si>
  <si>
    <t xml:space="preserve">Same amount twice</t>
  </si>
  <si>
    <t xml:space="preserve">Checks whether one is a pending hold, and if both are real, reports a problem with a reference</t>
  </si>
  <si>
    <t xml:space="preserve">TransactionRow, Answer, NEW: ClaimTracker</t>
  </si>
  <si>
    <t xml:space="preserve">Dispute opened through the bank; reference from the bank</t>
  </si>
  <si>
    <t xml:space="preserve">BS-03-012</t>
  </si>
  <si>
    <t xml:space="preserve">Sort out a wrong amount</t>
  </si>
  <si>
    <t xml:space="preserve">Wrong amount</t>
  </si>
  <si>
    <t xml:space="preserve">The restaurant charged me £80, the bill was £58</t>
  </si>
  <si>
    <t xml:space="preserve">Reports a problem on the payment, explains what the bank needs, and gives a reference</t>
  </si>
  <si>
    <t xml:space="preserve">TransactionRow, Answer, NEW: ClaimTracker, Handoff</t>
  </si>
  <si>
    <t xml:space="preserve">Disputes follow card scheme rules and bank process</t>
  </si>
  <si>
    <t xml:space="preserve">BS-03-013</t>
  </si>
  <si>
    <t xml:space="preserve">Find a refund</t>
  </si>
  <si>
    <t xml:space="preserve">Shop says refunded</t>
  </si>
  <si>
    <t xml:space="preserve">Refund not showing</t>
  </si>
  <si>
    <t xml:space="preserve">The shop says they refunded me a week ago</t>
  </si>
  <si>
    <t xml:space="preserve">Searches for the refund, explains usual timing, and offers to raise it if it is late</t>
  </si>
  <si>
    <t xml:space="preserve">TransactionRow, Answer, Handoff</t>
  </si>
  <si>
    <t xml:space="preserve">Refund times from the bank; dispute after the set wait</t>
  </si>
  <si>
    <t xml:space="preserve">BS-03-014</t>
  </si>
  <si>
    <t xml:space="preserve">Get a statement that is missing</t>
  </si>
  <si>
    <t xml:space="preserve">Statement late</t>
  </si>
  <si>
    <t xml:space="preserve">Statement not ready</t>
  </si>
  <si>
    <t xml:space="preserve">Where's my statement this month?</t>
  </si>
  <si>
    <t xml:space="preserve">Says when the statement is due and that it will appear then, or hands to the team if overdue</t>
  </si>
  <si>
    <t xml:space="preserve">StateCard, Meta, Handoff</t>
  </si>
  <si>
    <t xml:space="preserve">Statement date from the bank</t>
  </si>
  <si>
    <t xml:space="preserve">BS-03-015</t>
  </si>
  <si>
    <t xml:space="preserve">See how much I spent</t>
  </si>
  <si>
    <t xml:space="preserve">By category</t>
  </si>
  <si>
    <t xml:space="preserve">How much did I spend on eating out?</t>
  </si>
  <si>
    <t xml:space="preserve">Totals that category for the period with a category bar and the payments behind it</t>
  </si>
  <si>
    <t xml:space="preserve">Answer, NEW: SpendBreakdown, TransactionRow</t>
  </si>
  <si>
    <t xml:space="preserve">Purchases only; payments, refunds, fees and transfers left out unless asked</t>
  </si>
  <si>
    <t xml:space="preserve">BS-03-016</t>
  </si>
  <si>
    <t xml:space="preserve">By month</t>
  </si>
  <si>
    <t xml:space="preserve">What did I spend in September?</t>
  </si>
  <si>
    <t xml:space="preserve">Gives the month total and the biggest categories</t>
  </si>
  <si>
    <t xml:space="preserve">Answer, NEW: SpendBreakdown</t>
  </si>
  <si>
    <t xml:space="preserve">Totals from transaction data, never estimated</t>
  </si>
  <si>
    <t xml:space="preserve">BS-03-017</t>
  </si>
  <si>
    <t xml:space="preserve">Biggest payments</t>
  </si>
  <si>
    <t xml:space="preserve">Biggest payments this month</t>
  </si>
  <si>
    <t xml:space="preserve">Lists the largest purchases, largest first</t>
  </si>
  <si>
    <t xml:space="preserve">BS-03-018</t>
  </si>
  <si>
    <t xml:space="preserve">At one shop</t>
  </si>
  <si>
    <t xml:space="preserve">How much have I spent at the supermarket this year?</t>
  </si>
  <si>
    <t xml:space="preserve">Totals spending with that merchant for the period</t>
  </si>
  <si>
    <t xml:space="preserve">Merchant grouping from cleaned merchant data</t>
  </si>
  <si>
    <t xml:space="preserve">BS-03-019</t>
  </si>
  <si>
    <t xml:space="preserve">Compare my spending</t>
  </si>
  <si>
    <t xml:space="preserve">Month on month</t>
  </si>
  <si>
    <t xml:space="preserve">Did I spend more than last month?</t>
  </si>
  <si>
    <t xml:space="preserve">Gives both totals and the difference, and what changed most</t>
  </si>
  <si>
    <t xml:space="preserve">Answer, Compare, NEW: SpendBreakdown</t>
  </si>
  <si>
    <t xml:space="preserve">Same rules for both periods</t>
  </si>
  <si>
    <t xml:space="preserve">BS-03-020</t>
  </si>
  <si>
    <t xml:space="preserve">Repeat payments</t>
  </si>
  <si>
    <t xml:space="preserve">Lists payments that repeat monthly with the next expected date</t>
  </si>
  <si>
    <t xml:space="preserve">TransactionRow, Answer, Meta</t>
  </si>
  <si>
    <t xml:space="preserve">Repeat detection from transaction data</t>
  </si>
  <si>
    <t xml:space="preserve">BS-03-021</t>
  </si>
  <si>
    <t xml:space="preserve">Re-file a payment</t>
  </si>
  <si>
    <t xml:space="preserve">Wrong category</t>
  </si>
  <si>
    <t xml:space="preserve">That's not shopping, it's a gift</t>
  </si>
  <si>
    <t xml:space="preserve">Moves the payment to the new category and remembers that merchant for next time</t>
  </si>
  <si>
    <t xml:space="preserve">TransactionRow, Chips, Toast</t>
  </si>
  <si>
    <t xml:space="preserve">Customer categories stored for Gratifi only</t>
  </si>
  <si>
    <t xml:space="preserve">BS-03-022</t>
  </si>
  <si>
    <t xml:space="preserve">Set a spending alert</t>
  </si>
  <si>
    <t xml:space="preserve">Monthly budget</t>
  </si>
  <si>
    <t xml:space="preserve">Tell me when I've spent £500 this month</t>
  </si>
  <si>
    <t xml:space="preserve">Creates the alert and shows the setting to confirm</t>
  </si>
  <si>
    <t xml:space="preserve">Alert service run by the bank</t>
  </si>
  <si>
    <t xml:space="preserve">BS-03-023</t>
  </si>
  <si>
    <t xml:space="preserve">Known merchant</t>
  </si>
  <si>
    <t xml:space="preserve">What's the Volt Electricals charge?</t>
  </si>
  <si>
    <t xml:space="preserve">Shows the payment with merchant name, logo, date, place, online or in person and status</t>
  </si>
  <si>
    <t xml:space="preserve">Merchant data from the bank's merchant service</t>
  </si>
  <si>
    <t xml:space="preserve">BS-03-024</t>
  </si>
  <si>
    <t xml:space="preserve">Name I do not know</t>
  </si>
  <si>
    <t xml:space="preserve">What is VLT*ELEC 2291?</t>
  </si>
  <si>
    <t xml:space="preserve">Shows the cleaned merchant name and what the business is</t>
  </si>
  <si>
    <t xml:space="preserve">From merchant data; if unknown, says so and never guesses</t>
  </si>
  <si>
    <t xml:space="preserve">BS-03-025</t>
  </si>
  <si>
    <t xml:space="preserve">See my latest statement</t>
  </si>
  <si>
    <t xml:space="preserve">Show my statement</t>
  </si>
  <si>
    <t xml:space="preserve">Shows balance, previous balance, payments, new spending, interest, minimum and due date</t>
  </si>
  <si>
    <t xml:space="preserve">NEW: StatementCard, PaymentDue, Button</t>
  </si>
  <si>
    <t xml:space="preserve">BS-03-026</t>
  </si>
  <si>
    <t xml:space="preserve">Download a statement</t>
  </si>
  <si>
    <t xml:space="preserve">Need a PDF</t>
  </si>
  <si>
    <t xml:space="preserve">Download my August statement</t>
  </si>
  <si>
    <t xml:space="preserve">Gives the PDF through the bank's secure download</t>
  </si>
  <si>
    <t xml:space="preserve">NEW: StatementCard, Button, Toast</t>
  </si>
  <si>
    <t xml:space="preserve">PDF produced by the bank</t>
  </si>
  <si>
    <t xml:space="preserve">BS-03-027</t>
  </si>
  <si>
    <t xml:space="preserve">See a past statement</t>
  </si>
  <si>
    <t xml:space="preserve">Older month</t>
  </si>
  <si>
    <t xml:space="preserve">Show me March</t>
  </si>
  <si>
    <t xml:space="preserve">Opens that month's statement</t>
  </si>
  <si>
    <t xml:space="preserve">NEW: StatementCard, Chips</t>
  </si>
  <si>
    <t xml:space="preserve">Statements kept for the period the bank sets</t>
  </si>
  <si>
    <t xml:space="preserve">BS-03-028</t>
  </si>
  <si>
    <t xml:space="preserve">Understand my statement</t>
  </si>
  <si>
    <t xml:space="preserve">Explain my statement</t>
  </si>
  <si>
    <t xml:space="preserve">Walks through each line in plain words and highlights anything new, such as a fee or a rate change</t>
  </si>
  <si>
    <t xml:space="preserve">NEW: StatementCard, Answer, Badge</t>
  </si>
  <si>
    <t xml:space="preserve">Line meanings from the bank's approved wording</t>
  </si>
  <si>
    <t xml:space="preserve">BS-03-029</t>
  </si>
  <si>
    <t xml:space="preserve">New fee or rate</t>
  </si>
  <si>
    <t xml:space="preserve">What's this new line on my statement?</t>
  </si>
  <si>
    <t xml:space="preserve">Names the fee or rate change and the rule behind it</t>
  </si>
  <si>
    <t xml:space="preserve">Fee and rate rules from the bank; never waived by Gratifi</t>
  </si>
  <si>
    <t xml:space="preserve">BS-03-030</t>
  </si>
  <si>
    <t xml:space="preserve">Switch to paperless or paper</t>
  </si>
  <si>
    <t xml:space="preserve">Paper copies</t>
  </si>
  <si>
    <t xml:space="preserve">Send me paper statements</t>
  </si>
  <si>
    <t xml:space="preserve">Switches the setting and says whether paper has a cost</t>
  </si>
  <si>
    <t xml:space="preserve">Paper cost set by the bank</t>
  </si>
  <si>
    <t xml:space="preserve">Rules on free paper statements differ (UK: bank practice; others to confirm)</t>
  </si>
  <si>
    <t xml:space="preserve">BS-03-031</t>
  </si>
  <si>
    <t xml:space="preserve">See my yearly statement</t>
  </si>
  <si>
    <t xml:space="preserve">Anniversary summary</t>
  </si>
  <si>
    <t xml:space="preserve">Show me my yearly summary</t>
  </si>
  <si>
    <t xml:space="preserve">Shows the year's totals, interest and fees paid, and any rate changes</t>
  </si>
  <si>
    <t xml:space="preserve">NEW: StatementCard, Answer</t>
  </si>
  <si>
    <t xml:space="preserve">Summary produced by the bank</t>
  </si>
  <si>
    <t xml:space="preserve">UK: annual statement is required (to confirm for others)</t>
  </si>
  <si>
    <t xml:space="preserve">BS-03-032</t>
  </si>
  <si>
    <t xml:space="preserve">Get proof of a payment</t>
  </si>
  <si>
    <t xml:space="preserve">For a claim or tax</t>
  </si>
  <si>
    <t xml:space="preserve">I need proof I paid for the laptop</t>
  </si>
  <si>
    <t xml:space="preserve">Shows the payment detail and offers the statement page with it</t>
  </si>
  <si>
    <t xml:space="preserve">TransactionRow, Button</t>
  </si>
  <si>
    <t xml:space="preserve">Proof from bank records only</t>
  </si>
  <si>
    <t xml:space="preserve">BS-03-033</t>
  </si>
  <si>
    <t xml:space="preserve">See a payment in the original currency</t>
  </si>
  <si>
    <t xml:space="preserve">Paid abroad</t>
  </si>
  <si>
    <t xml:space="preserve">How much was that in euros?</t>
  </si>
  <si>
    <t xml:space="preserve">Shows the foreign amount, the rate used and any fee</t>
  </si>
  <si>
    <t xml:space="preserve">Rate and fee from the transaction record</t>
  </si>
  <si>
    <t xml:space="preserve">BS-03-034</t>
  </si>
  <si>
    <t xml:space="preserve">Export statements for accounts</t>
  </si>
  <si>
    <t xml:space="preserve">Export last quarter as CSV</t>
  </si>
  <si>
    <t xml:space="preserve">Produces a CSV of the chosen months for the accounting system</t>
  </si>
  <si>
    <t xml:space="preserve">NEW: ExportSheet, Button</t>
  </si>
  <si>
    <t xml:space="preserve">Business cards only; export produced by the bank</t>
  </si>
  <si>
    <t xml:space="preserve">Tax fields differ: VAT (UK, EU, AE), GST (IN, SG), SST (MY)</t>
  </si>
  <si>
    <t xml:space="preserve">BS-04-001</t>
  </si>
  <si>
    <t xml:space="preserve">Get reminded my card is frozen</t>
  </si>
  <si>
    <t xml:space="preserve">Frozen for days</t>
  </si>
  <si>
    <t xml:space="preserve">Note: the card has been frozen for a while, with Unfreeze and Report lost buttons</t>
  </si>
  <si>
    <t xml:space="preserve">Reminder timing set by the bank</t>
  </si>
  <si>
    <t xml:space="preserve">BS-04-002</t>
  </si>
  <si>
    <t xml:space="preserve">Get ready for a card that is expiring</t>
  </si>
  <si>
    <t xml:space="preserve">Expiry coming</t>
  </si>
  <si>
    <t xml:space="preserve">Note: the replacement is on its way and a list of subscriptions to update with the new expiry</t>
  </si>
  <si>
    <t xml:space="preserve">Repeat payments from transaction data</t>
  </si>
  <si>
    <t xml:space="preserve">BS-04-003</t>
  </si>
  <si>
    <t xml:space="preserve">Get scam advice</t>
  </si>
  <si>
    <t xml:space="preserve">Wants to stay safe</t>
  </si>
  <si>
    <t xml:space="preserve">How do I spot a scam?</t>
  </si>
  <si>
    <t xml:space="preserve">Gives the bank's two-line scam guidance and links to its fraud pages</t>
  </si>
  <si>
    <t xml:space="preserve">Guidance text approved by the bank</t>
  </si>
  <si>
    <t xml:space="preserve">National campaigns differ: Take Five (UK); ScamShield (SG); others to confirm</t>
  </si>
  <si>
    <t xml:space="preserve">BS-04-004</t>
  </si>
  <si>
    <t xml:space="preserve">Get told about an unusual payment</t>
  </si>
  <si>
    <t xml:space="preserve">Fraud check</t>
  </si>
  <si>
    <t xml:space="preserve">Note at any hour: an unusual payment was stopped, with Yes it was me and No it wasn't</t>
  </si>
  <si>
    <t xml:space="preserve">Moment, NEW: ApprovalPrompt, Button</t>
  </si>
  <si>
    <t xml:space="preserve">Fraud and approvals ignore quiet hours</t>
  </si>
  <si>
    <t xml:space="preserve">BS-04-005</t>
  </si>
  <si>
    <t xml:space="preserve">Understand why my card was declined</t>
  </si>
  <si>
    <t xml:space="preserve">In a shop</t>
  </si>
  <si>
    <t xml:space="preserve">My card just got declined at the till</t>
  </si>
  <si>
    <t xml:space="preserve">Checks frozen state, available credit, controls and approvals waiting, and says which one and how to fix it</t>
  </si>
  <si>
    <t xml:space="preserve">StateCard, NEW: CardControls, Button</t>
  </si>
  <si>
    <t xml:space="preserve">Decline reason from the bank; fraud blocks go to the fraud team</t>
  </si>
  <si>
    <t xml:space="preserve">BS-04-006</t>
  </si>
  <si>
    <t xml:space="preserve">Reset a locked PIN</t>
  </si>
  <si>
    <t xml:space="preserve">Too many tries</t>
  </si>
  <si>
    <t xml:space="preserve">PIN locked</t>
  </si>
  <si>
    <t xml:space="preserve">My PIN is locked</t>
  </si>
  <si>
    <t xml:space="preserve">Clears the lock in the app after confirmation, or says where else it can be done</t>
  </si>
  <si>
    <t xml:space="preserve">NEW: CardControls, ConfirmSheet, Answer</t>
  </si>
  <si>
    <t xml:space="preserve">PIN lock cleared through the bank's secure flow</t>
  </si>
  <si>
    <t xml:space="preserve">Where a locked PIN can be reset or changed differs: cash machine (UK); app, cash machine or phone banking (IN, others to confirm)</t>
  </si>
  <si>
    <t xml:space="preserve">BS-04-007</t>
  </si>
  <si>
    <t xml:space="preserve">Report my card lost</t>
  </si>
  <si>
    <t xml:space="preserve">Card lost</t>
  </si>
  <si>
    <t xml:space="preserve">I've lost my card</t>
  </si>
  <si>
    <t xml:space="preserve">Blocks the card now, orders a replacement, and says when the new card details and card arrive</t>
  </si>
  <si>
    <t xml:space="preserve">NEW: CardControls, ConfirmSheet, Receipt, Status</t>
  </si>
  <si>
    <t xml:space="preserve">Block and replacement by the bank; timings from the bank</t>
  </si>
  <si>
    <t xml:space="preserve">BS-04-008</t>
  </si>
  <si>
    <t xml:space="preserve">Report my card stolen</t>
  </si>
  <si>
    <t xml:space="preserve">Stolen</t>
  </si>
  <si>
    <t xml:space="preserve">Card stolen</t>
  </si>
  <si>
    <t xml:space="preserve">My bag was stolen with my card in it</t>
  </si>
  <si>
    <t xml:space="preserve">Blocks the card now, orders a new one, and offers to go through recent payments together</t>
  </si>
  <si>
    <t xml:space="preserve">NEW: CardControls, TransactionRow, Handoff</t>
  </si>
  <si>
    <t xml:space="preserve">Unrecognised payments go to the fraud process</t>
  </si>
  <si>
    <t xml:space="preserve">Theft may need a police report for some claims (to confirm per market)</t>
  </si>
  <si>
    <t xml:space="preserve">BS-04-009</t>
  </si>
  <si>
    <t xml:space="preserve">Report my card damaged</t>
  </si>
  <si>
    <t xml:space="preserve">Chip not working</t>
  </si>
  <si>
    <t xml:space="preserve">Card damaged</t>
  </si>
  <si>
    <t xml:space="preserve">My card's chip is broken</t>
  </si>
  <si>
    <t xml:space="preserve">Orders a new card and says the old one keeps working until the new one is activated</t>
  </si>
  <si>
    <t xml:space="preserve">ConfirmSheet, Receipt, Status</t>
  </si>
  <si>
    <t xml:space="preserve">Damaged cards are not blocked</t>
  </si>
  <si>
    <t xml:space="preserve">BS-04-010</t>
  </si>
  <si>
    <t xml:space="preserve">Replace my card</t>
  </si>
  <si>
    <t xml:space="preserve">Card not arrived</t>
  </si>
  <si>
    <t xml:space="preserve">Delivery late</t>
  </si>
  <si>
    <t xml:space="preserve">My new card hasn't come</t>
  </si>
  <si>
    <t xml:space="preserve">Checks when it was sent and, if past the expected time, blocks it and sends another</t>
  </si>
  <si>
    <t xml:space="preserve">Status, StateCard, Handoff</t>
  </si>
  <si>
    <t xml:space="preserve">Resend rules from the bank; a lost-in-post card is blocked</t>
  </si>
  <si>
    <t xml:space="preserve">BS-04-011</t>
  </si>
  <si>
    <t xml:space="preserve">Refuse a payment I did not make</t>
  </si>
  <si>
    <t xml:space="preserve">Push approval</t>
  </si>
  <si>
    <t xml:space="preserve">(taps No on "Is this you?")</t>
  </si>
  <si>
    <t xml:space="preserve">Declines the payment, offers to freeze the card and connects to the fraud team</t>
  </si>
  <si>
    <t xml:space="preserve">NEW: ApprovalPrompt, NEW: CardControls, Handoff</t>
  </si>
  <si>
    <t xml:space="preserve">Fraud always goes to the bank's fraud team</t>
  </si>
  <si>
    <t xml:space="preserve">BS-04-012</t>
  </si>
  <si>
    <t xml:space="preserve">Approve a payment</t>
  </si>
  <si>
    <t xml:space="preserve">Approval timed out</t>
  </si>
  <si>
    <t xml:space="preserve">The shop says my payment failed, I didn't see anything</t>
  </si>
  <si>
    <t xml:space="preserve">Says the approval timed out and asks them to try the payment again</t>
  </si>
  <si>
    <t xml:space="preserve">StateCard, NEW: ApprovalPrompt</t>
  </si>
  <si>
    <t xml:space="preserve">Time limits from the bank</t>
  </si>
  <si>
    <t xml:space="preserve">OTP by text can fail abroad without roaming (IN, to confirm)</t>
  </si>
  <si>
    <t xml:space="preserve">BS-04-013</t>
  </si>
  <si>
    <t xml:space="preserve">Get a security code</t>
  </si>
  <si>
    <t xml:space="preserve">Someone on the phone asks for it</t>
  </si>
  <si>
    <t xml:space="preserve">Scam in progress</t>
  </si>
  <si>
    <t xml:space="preserve">The bank is on the phone and needs my code</t>
  </si>
  <si>
    <t xml:space="preserve">Stops and says the bank never asks for codes, tells them to hang up, and offers to freeze and connect to the fraud team</t>
  </si>
  <si>
    <t xml:space="preserve">StateCard, NEW: CardControls, Handoff</t>
  </si>
  <si>
    <t xml:space="preserve">Scam signals stop all actions; fraud team takes over</t>
  </si>
  <si>
    <t xml:space="preserve">SG: cooling-off periods on some high-risk changes (to confirm)</t>
  </si>
  <si>
    <t xml:space="preserve">BS-04-014</t>
  </si>
  <si>
    <t xml:space="preserve">Report a payment I do not recognise</t>
  </si>
  <si>
    <t xml:space="preserve">Unknown payment</t>
  </si>
  <si>
    <t xml:space="preserve">There's a £312 payment I didn't make</t>
  </si>
  <si>
    <t xml:space="preserve">Finds the payment, freezes the card if they want, and reports it to the fraud team with the detail filled in</t>
  </si>
  <si>
    <t xml:space="preserve">TransactionRow, NEW: CardControls, Handoff, NEW: ClaimTracker</t>
  </si>
  <si>
    <t xml:space="preserve">Fraud handled by the bank's fraud process, never only in chat; refund wording approved by the bank</t>
  </si>
  <si>
    <t xml:space="preserve">Refund rules for fraud differ: UK Payment Services Regulations; EU PSD2; IN zero liability if reported in 3 working days (to confirm); SG E-Payments User Protection Guidelines; AE and MY to confirm</t>
  </si>
  <si>
    <t xml:space="preserve">BS-04-015</t>
  </si>
  <si>
    <t xml:space="preserve">Several payments</t>
  </si>
  <si>
    <t xml:space="preserve">Card compromised</t>
  </si>
  <si>
    <t xml:space="preserve">Loads of small payments I didn't make</t>
  </si>
  <si>
    <t xml:space="preserve">Freezes the card, lists the payments together for them to mark, and connects to the fraud team</t>
  </si>
  <si>
    <t xml:space="preserve">NEW: CardControls, TransactionRow, Chips, Handoff</t>
  </si>
  <si>
    <t xml:space="preserve">Fraud team decides; new card ordered by the bank</t>
  </si>
  <si>
    <t xml:space="preserve">BS-04-016</t>
  </si>
  <si>
    <t xml:space="preserve">Check the status of a fraud report</t>
  </si>
  <si>
    <t xml:space="preserve">Reported already</t>
  </si>
  <si>
    <t xml:space="preserve">What's happening with my fraud claim?</t>
  </si>
  <si>
    <t xml:space="preserve">Shows the reference, the step it is at and the expected date</t>
  </si>
  <si>
    <t xml:space="preserve">Status from the bank's fraud system</t>
  </si>
  <si>
    <t xml:space="preserve">BS-04-017</t>
  </si>
  <si>
    <t xml:space="preserve">Check a message is really from the bank</t>
  </si>
  <si>
    <t xml:space="preserve">Text or email</t>
  </si>
  <si>
    <t xml:space="preserve">Is this message really from the bank?</t>
  </si>
  <si>
    <t xml:space="preserve">Checks it against the bank's rules: never asks for PIN, login details or full passcode, and never sends login links</t>
  </si>
  <si>
    <t xml:space="preserve">Bank's own scam rules only</t>
  </si>
  <si>
    <t xml:space="preserve">Scam text reporting differs: 7726 (UK); ScamShield (SG); others to confirm</t>
  </si>
  <si>
    <t xml:space="preserve">BS-04-018</t>
  </si>
  <si>
    <t xml:space="preserve">Get help after sharing my details</t>
  </si>
  <si>
    <t xml:space="preserve">Shared details with a scammer</t>
  </si>
  <si>
    <t xml:space="preserve">Details shared</t>
  </si>
  <si>
    <t xml:space="preserve">I gave my card details to someone on a website</t>
  </si>
  <si>
    <t xml:space="preserve">Freezes the card and connects to the fraud team straight away</t>
  </si>
  <si>
    <t xml:space="preserve">NEW: CardControls, Handoff</t>
  </si>
  <si>
    <t xml:space="preserve">Freeze first, fraud team next; no other actions</t>
  </si>
  <si>
    <t xml:space="preserve">BS-04-019</t>
  </si>
  <si>
    <t xml:space="preserve">Stop a payment I am being pushed to make</t>
  </si>
  <si>
    <t xml:space="preserve">Being told to move money</t>
  </si>
  <si>
    <t xml:space="preserve">Someone from the bank told me to move my money to a safe account</t>
  </si>
  <si>
    <t xml:space="preserve">Says clearly this is a scam, tells them not to pay, and connects to the fraud team</t>
  </si>
  <si>
    <t xml:space="preserve">Scam signals end the flow; flagged for vulnerable-customer care with consent</t>
  </si>
  <si>
    <t xml:space="preserve">UK: reimbursement rules for authorised push payment scams (to confirm scope); SG Shared Responsibility Framework</t>
  </si>
  <si>
    <t xml:space="preserve">BS-04-020</t>
  </si>
  <si>
    <t xml:space="preserve">Stop an extra cardholder spending</t>
  </si>
  <si>
    <t xml:space="preserve">Dispute at home</t>
  </si>
  <si>
    <t xml:space="preserve">Misuse</t>
  </si>
  <si>
    <t xml:space="preserve">My brother is spending too much on my card</t>
  </si>
  <si>
    <t xml:space="preserve">Offers to freeze that card now and hands to the team for removal</t>
  </si>
  <si>
    <t xml:space="preserve">Main cardholder is liable; removal by the bank</t>
  </si>
  <si>
    <t xml:space="preserve">BS-04-021</t>
  </si>
  <si>
    <t xml:space="preserve">Freeze my card</t>
  </si>
  <si>
    <t xml:space="preserve">Straight away</t>
  </si>
  <si>
    <t xml:space="preserve">Freezes the card at once with no Face ID and shows what still works, such as automatic payments and refunds</t>
  </si>
  <si>
    <t xml:space="preserve">NEW: CardControls, Toast, Answer</t>
  </si>
  <si>
    <t xml:space="preserve">Freeze needs no authentication; unfreeze does</t>
  </si>
  <si>
    <t xml:space="preserve">BS-04-022</t>
  </si>
  <si>
    <t xml:space="preserve">Card missing</t>
  </si>
  <si>
    <t xml:space="preserve">I can't find my card</t>
  </si>
  <si>
    <t xml:space="preserve">Offers freeze first, then lost card if it does not turn up</t>
  </si>
  <si>
    <t xml:space="preserve">NEW: CardControls, Button, Suggestions</t>
  </si>
  <si>
    <t xml:space="preserve">Freeze first, report lost second</t>
  </si>
  <si>
    <t xml:space="preserve">BS-04-023</t>
  </si>
  <si>
    <t xml:space="preserve">Unfreeze my card</t>
  </si>
  <si>
    <t xml:space="preserve">Found it</t>
  </si>
  <si>
    <t xml:space="preserve">Found it, unfreeze</t>
  </si>
  <si>
    <t xml:space="preserve">Asks for confirmation and unfreezes</t>
  </si>
  <si>
    <t xml:space="preserve">NEW: CardControls, ConfirmSheet, Toast</t>
  </si>
  <si>
    <t xml:space="preserve">Unfreeze needs the market's confirmation step</t>
  </si>
  <si>
    <t xml:space="preserve">BS-04-024</t>
  </si>
  <si>
    <t xml:space="preserve">Turn card uses on or off</t>
  </si>
  <si>
    <t xml:space="preserve">Online, in shops, cash machines, contactless, abroad</t>
  </si>
  <si>
    <t xml:space="preserve">Turn off online payments on my card</t>
  </si>
  <si>
    <t xml:space="preserve">Switches that use off and shows the other controls</t>
  </si>
  <si>
    <t xml:space="preserve">NEW: CardControls, Toggle, Toast</t>
  </si>
  <si>
    <t xml:space="preserve">Controls run by the bank; turning on needs confirmation</t>
  </si>
  <si>
    <t xml:space="preserve">IN: online, international and contactless are controls the bank must offer and are off on new cards until switched on (to confirm). Confirm: Face ID (UK, EU, AE, SG), one-time code (IN), bank app approval (MY)</t>
  </si>
  <si>
    <t xml:space="preserve">BS-04-025</t>
  </si>
  <si>
    <t xml:space="preserve">Block gambling payments</t>
  </si>
  <si>
    <t xml:space="preserve">Self-control</t>
  </si>
  <si>
    <t xml:space="preserve">Block gambling on my card</t>
  </si>
  <si>
    <t xml:space="preserve">Switches on the gambling block and says how long before it can be turned off</t>
  </si>
  <si>
    <t xml:space="preserve">NEW: CardControls, Toggle, Answer</t>
  </si>
  <si>
    <t xml:space="preserve">Block and its cooling-off period set by the bank</t>
  </si>
  <si>
    <t xml:space="preserve">Gambling block offered by UK banks; availability elsewhere to confirm</t>
  </si>
  <si>
    <t xml:space="preserve">BS-04-026</t>
  </si>
  <si>
    <t xml:space="preserve">See my PIN</t>
  </si>
  <si>
    <t xml:space="preserve">Forgot it</t>
  </si>
  <si>
    <t xml:space="preserve">What's my PIN?</t>
  </si>
  <si>
    <t xml:space="preserve">After confirmation, shows the PIN for ten seconds in the bank's secure view, never in chat text</t>
  </si>
  <si>
    <t xml:space="preserve">NEW: PinReveal, ConfirmSheet</t>
  </si>
  <si>
    <t xml:space="preserve">PIN never in chat text or history; shown by the bank's component</t>
  </si>
  <si>
    <t xml:space="preserve">BS-04-027</t>
  </si>
  <si>
    <t xml:space="preserve">Change my PIN</t>
  </si>
  <si>
    <t xml:space="preserve">Wants a new one</t>
  </si>
  <si>
    <t xml:space="preserve">How do I change my PIN?</t>
  </si>
  <si>
    <t xml:space="preserve">Explains where it can be changed for this card</t>
  </si>
  <si>
    <t xml:space="preserve">Method from the bank</t>
  </si>
  <si>
    <t xml:space="preserve">Differs by market: cash machine (UK); app or cash machine (IN, SG, MY, AE, to confirm)</t>
  </si>
  <si>
    <t xml:space="preserve">BS-04-028</t>
  </si>
  <si>
    <t xml:space="preserve">See my card details to pay online</t>
  </si>
  <si>
    <t xml:space="preserve">Card not with me</t>
  </si>
  <si>
    <t xml:space="preserve">I need my card number to pay online</t>
  </si>
  <si>
    <t xml:space="preserve">After confirmation, shows number, expiry and security code in the bank's secure component, never in chat</t>
  </si>
  <si>
    <t xml:space="preserve">NEW: SecureCardDetails, ConfirmSheet</t>
  </si>
  <si>
    <t xml:space="preserve">Card details never in chat text, history or shared answers</t>
  </si>
  <si>
    <t xml:space="preserve">BS-04-029</t>
  </si>
  <si>
    <t xml:space="preserve">Refuse to put card details in chat</t>
  </si>
  <si>
    <t xml:space="preserve">Asks for number in text</t>
  </si>
  <si>
    <t xml:space="preserve">Just type my card number here</t>
  </si>
  <si>
    <t xml:space="preserve">Says it will not write card details in chat and opens the secure view instead</t>
  </si>
  <si>
    <t xml:space="preserve">Answer, NEW: SecureCardDetails</t>
  </si>
  <si>
    <t xml:space="preserve">Card details never in chat text</t>
  </si>
  <si>
    <t xml:space="preserve">BS-04-030</t>
  </si>
  <si>
    <t xml:space="preserve">Add my card to my phone</t>
  </si>
  <si>
    <t xml:space="preserve">Phone wallet</t>
  </si>
  <si>
    <t xml:space="preserve">How do I add this card to my phone?</t>
  </si>
  <si>
    <t xml:space="preserve">Explains which phone wallets this card works with and starts the bank's add-to-wallet step</t>
  </si>
  <si>
    <t xml:space="preserve">Wallet support from the bank's list</t>
  </si>
  <si>
    <t xml:space="preserve">Wallet availability differs by market and card network (to confirm)</t>
  </si>
  <si>
    <t xml:space="preserve">BS-04-031</t>
  </si>
  <si>
    <t xml:space="preserve">Understand the contactless limit</t>
  </si>
  <si>
    <t xml:space="preserve">Tap to pay</t>
  </si>
  <si>
    <t xml:space="preserve">Why did it ask for my PIN on a tap?</t>
  </si>
  <si>
    <t xml:space="preserve">Explains the contactless limit and that the PIN is sometimes asked for safety</t>
  </si>
  <si>
    <t xml:space="preserve">Limit from the bank for that market</t>
  </si>
  <si>
    <t xml:space="preserve">Contactless limits differ per market; take the figure from the bank</t>
  </si>
  <si>
    <t xml:space="preserve">BS-04-032</t>
  </si>
  <si>
    <t xml:space="preserve">Use my card before the new one arrives</t>
  </si>
  <si>
    <t xml:space="preserve">Replacement on the way</t>
  </si>
  <si>
    <t xml:space="preserve">Can I still pay while I wait?</t>
  </si>
  <si>
    <t xml:space="preserve">Shows the new card details in the app when the bank has issued them, for online and phone wallet use</t>
  </si>
  <si>
    <t xml:space="preserve">NEW: SecureCardDetails, Status</t>
  </si>
  <si>
    <t xml:space="preserve">Digital card availability from the bank</t>
  </si>
  <si>
    <t xml:space="preserve">BS-04-033</t>
  </si>
  <si>
    <t xml:space="preserve">Activate my new card</t>
  </si>
  <si>
    <t xml:space="preserve">New card arrived</t>
  </si>
  <si>
    <t xml:space="preserve">Activates with one tap and confirmation and says whether the PIN is unchanged</t>
  </si>
  <si>
    <t xml:space="preserve">ConfirmSheet, CheckPop</t>
  </si>
  <si>
    <t xml:space="preserve">Activation by the bank</t>
  </si>
  <si>
    <t xml:space="preserve">BS-04-034</t>
  </si>
  <si>
    <t xml:space="preserve">(Gratifi starts it) £24.00 to Northway Air. Is this you?</t>
  </si>
  <si>
    <t xml:space="preserve">Shows the payment with Yes and No; Yes needs confirmation and the payment goes through</t>
  </si>
  <si>
    <t xml:space="preserve">NEW: ApprovalPrompt, ConfirmSheet</t>
  </si>
  <si>
    <t xml:space="preserve">Approval decided by the bank's authentication service</t>
  </si>
  <si>
    <t xml:space="preserve">Confirm: Face ID (UK, EU, AE, SG), one-time code (IN), bank app approval (MY). Strong customer authentication rules (UK, EU)</t>
  </si>
  <si>
    <t xml:space="preserve">BS-04-035</t>
  </si>
  <si>
    <t xml:space="preserve">Logging in elsewhere</t>
  </si>
  <si>
    <t xml:space="preserve">I need a code to log in on my laptop</t>
  </si>
  <si>
    <t xml:space="preserve">After confirmation, shows the code once with "never read it out to anyone who calls you"</t>
  </si>
  <si>
    <t xml:space="preserve">NEW: SecurityCode, ConfirmSheet</t>
  </si>
  <si>
    <t xml:space="preserve">Code produced by the bank; shown once, never in history</t>
  </si>
  <si>
    <t xml:space="preserve">BS-04-036</t>
  </si>
  <si>
    <t xml:space="preserve">Check my login setting</t>
  </si>
  <si>
    <t xml:space="preserve">Face ID for the app</t>
  </si>
  <si>
    <t xml:space="preserve">Can I log in with my face?</t>
  </si>
  <si>
    <t xml:space="preserve">Shows the setting and opens the bank's app settings to change it</t>
  </si>
  <si>
    <t xml:space="preserve">Managed by the bank's app, not Gratifi</t>
  </si>
  <si>
    <t xml:space="preserve">BS-04-037</t>
  </si>
  <si>
    <t xml:space="preserve">Find the fraud line</t>
  </si>
  <si>
    <t xml:space="preserve">Wants to call</t>
  </si>
  <si>
    <t xml:space="preserve">What's the fraud number?</t>
  </si>
  <si>
    <t xml:space="preserve">Shows the bank's fraud line for home and from abroad, with a call button</t>
  </si>
  <si>
    <t xml:space="preserve">Answer, NEW: SupportLines, Button</t>
  </si>
  <si>
    <t xml:space="preserve">Numbers from the bank's record, never typed by the model</t>
  </si>
  <si>
    <t xml:space="preserve">BS-04-038</t>
  </si>
  <si>
    <t xml:space="preserve">Update my phone number or address</t>
  </si>
  <si>
    <t xml:space="preserve">Moved house</t>
  </si>
  <si>
    <t xml:space="preserve">I've got a new phone number</t>
  </si>
  <si>
    <t xml:space="preserve">Opens the bank's secure change flow; Gratifi does not change contact details itself</t>
  </si>
  <si>
    <t xml:space="preserve">Answer, Button, Handoff</t>
  </si>
  <si>
    <t xml:space="preserve">Contact detail changes are high-risk and run by the bank with extra checks</t>
  </si>
  <si>
    <t xml:space="preserve">Some markets add a waiting time or alert on contact changes (to confirm)</t>
  </si>
  <si>
    <t xml:space="preserve">BS-04-039</t>
  </si>
  <si>
    <t xml:space="preserve">Add a cardholder</t>
  </si>
  <si>
    <t xml:space="preserve">Family member</t>
  </si>
  <si>
    <t xml:space="preserve">Add my wife to my card</t>
  </si>
  <si>
    <t xml:space="preserve">Explains who can be added and that their spending is on the main statement, then starts the bank's form</t>
  </si>
  <si>
    <t xml:space="preserve">Answer, Button, NEW: CardholderList</t>
  </si>
  <si>
    <t xml:space="preserve">Eligibility (age, number, relationship) from the bank</t>
  </si>
  <si>
    <t xml:space="preserve">Rules on who can be added differ by bank and market (to confirm)</t>
  </si>
  <si>
    <t xml:space="preserve">BS-04-040</t>
  </si>
  <si>
    <t xml:space="preserve">Set a limit on a cardholder</t>
  </si>
  <si>
    <t xml:space="preserve">Control spending</t>
  </si>
  <si>
    <t xml:space="preserve">Can I set a limit on my son's card?</t>
  </si>
  <si>
    <t xml:space="preserve">Says whether the bank allows limits on extra cards and sets one if it does</t>
  </si>
  <si>
    <t xml:space="preserve">NEW: CardholderList, Stepper, ConfirmSheet</t>
  </si>
  <si>
    <t xml:space="preserve">Only the main cardholder; availability from the bank</t>
  </si>
  <si>
    <t xml:space="preserve">BS-04-041</t>
  </si>
  <si>
    <t xml:space="preserve">Remove a cardholder</t>
  </si>
  <si>
    <t xml:space="preserve">Take my ex off my account</t>
  </si>
  <si>
    <t xml:space="preserve">Hands to the bank's process with the details filled in, and offers to freeze that card now</t>
  </si>
  <si>
    <t xml:space="preserve">Handoff, NEW: CardholderList, NEW: CardControls</t>
  </si>
  <si>
    <t xml:space="preserve">Removal done by the bank; freezing the extra card can be immediate</t>
  </si>
  <si>
    <t xml:space="preserve">BS-05-001</t>
  </si>
  <si>
    <t xml:space="preserve">Get help paying down long-running debt</t>
  </si>
  <si>
    <t xml:space="preserve">Paying mostly interest</t>
  </si>
  <si>
    <t xml:space="preserve">Gentle private note explaining the bank's help for people paying mostly interest and a suggested payment</t>
  </si>
  <si>
    <t xml:space="preserve">Moment, Answer, NEW: SupportLines, Handoff</t>
  </si>
  <si>
    <t xml:space="preserve">Trigger and wording from the bank; no offers shown</t>
  </si>
  <si>
    <t xml:space="preserve">UK: FCA persistent debt rules (18 months) apply; other markets to confirm</t>
  </si>
  <si>
    <t xml:space="preserve">BS-05-002</t>
  </si>
  <si>
    <t xml:space="preserve">Get told I am close to a lower rate</t>
  </si>
  <si>
    <t xml:space="preserve">On-time reward</t>
  </si>
  <si>
    <t xml:space="preserve">Note: a few due dates to go for a lower rate, with the next due date</t>
  </si>
  <si>
    <t xml:space="preserve">From the bank's programme data</t>
  </si>
  <si>
    <t xml:space="preserve">BS-05-003</t>
  </si>
  <si>
    <t xml:space="preserve">Move a balance from another card</t>
  </si>
  <si>
    <t xml:space="preserve">Has an offer</t>
  </si>
  <si>
    <t xml:space="preserve">Transfer my other card's balance here</t>
  </si>
  <si>
    <t xml:space="preserve">Shows the offer (0% period, fee), the most they can move and a field for the amount</t>
  </si>
  <si>
    <t xml:space="preserve">OfferCard, NEW: AmountSlider, PriceLines</t>
  </si>
  <si>
    <t xml:space="preserve">Offer, fee and maximum from the bank; the bank's rules on which cards can be moved from</t>
  </si>
  <si>
    <t xml:space="preserve">BS-05-004</t>
  </si>
  <si>
    <t xml:space="preserve">Send money to my bank account</t>
  </si>
  <si>
    <t xml:space="preserve">Money transfer offer</t>
  </si>
  <si>
    <t xml:space="preserve">Can I move money from my card to my bank?</t>
  </si>
  <si>
    <t xml:space="preserve">Shows the money transfer offer and fee if there is one, and the amount allowed</t>
  </si>
  <si>
    <t xml:space="preserve">OfferCard, PriceLines, NEW: AmountSlider</t>
  </si>
  <si>
    <t xml:space="preserve">Offer and fee from the bank</t>
  </si>
  <si>
    <t xml:space="preserve">Product availability differs by market (to confirm)</t>
  </si>
  <si>
    <t xml:space="preserve">BS-05-005</t>
  </si>
  <si>
    <t xml:space="preserve">Spread the cost of a purchase</t>
  </si>
  <si>
    <t xml:space="preserve">Eligible purchase</t>
  </si>
  <si>
    <t xml:space="preserve">Split my TV over a year</t>
  </si>
  <si>
    <t xml:space="preserve">Shows the purchase and the plan choices with monthly amount, one-off fee and total</t>
  </si>
  <si>
    <t xml:space="preserve">TransactionRow, NEW: InstalmentPlan, Segmented</t>
  </si>
  <si>
    <t xml:space="preserve">Eligible amounts, lengths and fees from the bank</t>
  </si>
  <si>
    <t xml:space="preserve">EMI (IN); easy payment plan (AE, MY, to confirm); instalment plans (SG). Islamic cards (AE, MY) use profit rates and fees instead of interest; wording needs Shariah-approved text (to confirm per bank)</t>
  </si>
  <si>
    <t xml:space="preserve">BS-05-006</t>
  </si>
  <si>
    <t xml:space="preserve">Spread a booking at checkout</t>
  </si>
  <si>
    <t xml:space="preserve">Partner booking</t>
  </si>
  <si>
    <t xml:space="preserve">(at checkout for a hotel) Can I spread this?</t>
  </si>
  <si>
    <t xml:space="preserve">Offers the bank's plan at checkout if the booking qualifies</t>
  </si>
  <si>
    <t xml:space="preserve">PayWith, NEW: InstalmentPlan, ConfirmSheet</t>
  </si>
  <si>
    <t xml:space="preserve">Eligibility and fees from the bank</t>
  </si>
  <si>
    <t xml:space="preserve">BS-05-007</t>
  </si>
  <si>
    <t xml:space="preserve">Confirm</t>
  </si>
  <si>
    <t xml:space="preserve">(confirms £2,500 transfer)</t>
  </si>
  <si>
    <t xml:space="preserve">Confirms the amount, fee and when the offer rate ends, then submits</t>
  </si>
  <si>
    <t xml:space="preserve">Decision by the bank; fee from the offer</t>
  </si>
  <si>
    <t xml:space="preserve">BS-05-008</t>
  </si>
  <si>
    <t xml:space="preserve">(chooses 12 months)</t>
  </si>
  <si>
    <t xml:space="preserve">Confirms the plan and says it joins the minimum payment from the next statement</t>
  </si>
  <si>
    <t xml:space="preserve">Plan created by the bank; fee and total shown before confirm</t>
  </si>
  <si>
    <t xml:space="preserve">BS-05-009</t>
  </si>
  <si>
    <t xml:space="preserve">Ask for a higher limit</t>
  </si>
  <si>
    <t xml:space="preserve">Asked recently</t>
  </si>
  <si>
    <t xml:space="preserve">Up my limit again</t>
  </si>
  <si>
    <t xml:space="preserve">Says when they can next ask under the bank's waiting rules</t>
  </si>
  <si>
    <t xml:space="preserve">Waiting periods from the bank</t>
  </si>
  <si>
    <t xml:space="preserve">BS-05-010</t>
  </si>
  <si>
    <t xml:space="preserve">Refused</t>
  </si>
  <si>
    <t xml:space="preserve">(limit request refused)</t>
  </si>
  <si>
    <t xml:space="preserve">Gives the bank's approved reason and how to find out more, with no pressure</t>
  </si>
  <si>
    <t xml:space="preserve">Refusal reasons in the bank's approved words only</t>
  </si>
  <si>
    <t xml:space="preserve">Credit agencies: Experian, Equifax, TransUnion (UK); varies by country (EU, to confirm); TransUnion CIBIL, Experian, Equifax, CRIF High Mark (IN); Al Etihad Credit Bureau (AE); Credit Bureau Singapore (SG); CCRIS and CTOS (MY)</t>
  </si>
  <si>
    <t xml:space="preserve">BS-05-011</t>
  </si>
  <si>
    <t xml:space="preserve">Signs of money difficulty</t>
  </si>
  <si>
    <t xml:space="preserve">Care flag</t>
  </si>
  <si>
    <t xml:space="preserve">I need more credit to cover my rent</t>
  </si>
  <si>
    <t xml:space="preserve">Does not offer more credit; answers calmly with the bank's help options and offers a person</t>
  </si>
  <si>
    <t xml:space="preserve">Answer, NEW: SupportLines, Handoff</t>
  </si>
  <si>
    <t xml:space="preserve">Never suggests more credit to a customer showing signs of difficulty</t>
  </si>
  <si>
    <t xml:space="preserve">Free debt help differs: StepChange, National Debtline, MoneyHelper, Citizens Advice (UK); national services (EU, to confirm); Credit Counselling Singapore (SG); AKPK (MY); IN and AE to confirm</t>
  </si>
  <si>
    <t xml:space="preserve">BS-05-012</t>
  </si>
  <si>
    <t xml:space="preserve">Card from same bank</t>
  </si>
  <si>
    <t xml:space="preserve">Move the balance from my other card with you</t>
  </si>
  <si>
    <t xml:space="preserve">Says balances cannot be moved between this bank's cards</t>
  </si>
  <si>
    <t xml:space="preserve">Bank rule</t>
  </si>
  <si>
    <t xml:space="preserve">BS-05-013</t>
  </si>
  <si>
    <t xml:space="preserve">Keep my promotional rate</t>
  </si>
  <si>
    <t xml:space="preserve">Paid late</t>
  </si>
  <si>
    <t xml:space="preserve">Promo lost</t>
  </si>
  <si>
    <t xml:space="preserve">Why am I paying interest on my 0% balance now?</t>
  </si>
  <si>
    <t xml:space="preserve">Explains the bank's rule that ended the offer early (late payment or over limit) and offers a person</t>
  </si>
  <si>
    <t xml:space="preserve">Answer, PriceLines, Handoff</t>
  </si>
  <si>
    <t xml:space="preserve">Promo rules from the bank; no reinstatement by Gratifi</t>
  </si>
  <si>
    <t xml:space="preserve">BS-05-014</t>
  </si>
  <si>
    <t xml:space="preserve">Too small or too big</t>
  </si>
  <si>
    <t xml:space="preserve">Spread my £60 dinner</t>
  </si>
  <si>
    <t xml:space="preserve">Says the purchase is outside the amounts that can be spread and shows the range</t>
  </si>
  <si>
    <t xml:space="preserve">BS-05-015</t>
  </si>
  <si>
    <t xml:space="preserve">Too many plans</t>
  </si>
  <si>
    <t xml:space="preserve">Plan limit reached</t>
  </si>
  <si>
    <t xml:space="preserve">Spread the laptop too</t>
  </si>
  <si>
    <t xml:space="preserve">Says they have the most plans allowed and shows the ones running</t>
  </si>
  <si>
    <t xml:space="preserve">StateCard, NEW: InstalmentPlan</t>
  </si>
  <si>
    <t xml:space="preserve">Plan count limit from the bank</t>
  </si>
  <si>
    <t xml:space="preserve">BS-05-016</t>
  </si>
  <si>
    <t xml:space="preserve">Sort out a plan after a refund</t>
  </si>
  <si>
    <t xml:space="preserve">Returned the item</t>
  </si>
  <si>
    <t xml:space="preserve">Refund on a plan</t>
  </si>
  <si>
    <t xml:space="preserve">I returned the TV, what happens to the plan?</t>
  </si>
  <si>
    <t xml:space="preserve">Explains how the bank handles refunds on plans and hands to the team if needed</t>
  </si>
  <si>
    <t xml:space="preserve">Refund handling from the bank</t>
  </si>
  <si>
    <t xml:space="preserve">BS-05-017</t>
  </si>
  <si>
    <t xml:space="preserve">Ask for a fee to be refunded</t>
  </si>
  <si>
    <t xml:space="preserve">First time late</t>
  </si>
  <si>
    <t xml:space="preserve">Fee dispute</t>
  </si>
  <si>
    <t xml:space="preserve">Can you take off the late fee? I've never been late before</t>
  </si>
  <si>
    <t xml:space="preserve">Says Gratifi cannot remove fees and sends the request to the team with the details</t>
  </si>
  <si>
    <t xml:space="preserve">Answer, Handoff, NEW: ClaimTracker</t>
  </si>
  <si>
    <t xml:space="preserve">Fees are never waived by Gratifi; the team decides</t>
  </si>
  <si>
    <t xml:space="preserve">BS-05-018</t>
  </si>
  <si>
    <t xml:space="preserve">Understand a drop in my score</t>
  </si>
  <si>
    <t xml:space="preserve">Score fell</t>
  </si>
  <si>
    <t xml:space="preserve">Score dropped</t>
  </si>
  <si>
    <t xml:space="preserve">Why did my score go down?</t>
  </si>
  <si>
    <t xml:space="preserve">Shows the factors the agency reports, without guessing, and how to see the full report</t>
  </si>
  <si>
    <t xml:space="preserve">NEW: CreditScoreCard, Answer</t>
  </si>
  <si>
    <t xml:space="preserve">Only factors from the agency; no advice beyond approved words</t>
  </si>
  <si>
    <t xml:space="preserve">BS-05-019</t>
  </si>
  <si>
    <t xml:space="preserve">Fix a mistake on my credit file</t>
  </si>
  <si>
    <t xml:space="preserve">Wrong entry</t>
  </si>
  <si>
    <t xml:space="preserve">Credit file error</t>
  </si>
  <si>
    <t xml:space="preserve">My credit file says I missed a payment, I didn't</t>
  </si>
  <si>
    <t xml:space="preserve">Explains how to raise it with the agency and the bank and opens a case with the team</t>
  </si>
  <si>
    <t xml:space="preserve">Corrections are made by the bank and agency, never promised in chat</t>
  </si>
  <si>
    <t xml:space="preserve">BS-05-020</t>
  </si>
  <si>
    <t xml:space="preserve">Eligible</t>
  </si>
  <si>
    <t xml:space="preserve">Can I have a higher limit?</t>
  </si>
  <si>
    <t xml:space="preserve">Asks the amount, sends it to the bank's decision engine and shows the answer</t>
  </si>
  <si>
    <t xml:space="preserve">NEW: AmountSlider, ConfirmSheet, StateCard</t>
  </si>
  <si>
    <t xml:space="preserve">The bank's decision engine decides; Gratifi only asks and shows the result</t>
  </si>
  <si>
    <t xml:space="preserve">IN: limit increases only with the customer's explicit consent (to confirm). SG: income-based limit caps (to confirm). Confirm: Face ID (UK, EU, AE, SG), one-time code (IN), bank app approval (MY)</t>
  </si>
  <si>
    <t xml:space="preserve">BS-05-021</t>
  </si>
  <si>
    <t xml:space="preserve">Decision later</t>
  </si>
  <si>
    <t xml:space="preserve">Pending</t>
  </si>
  <si>
    <t xml:space="preserve">Any news on my limit?</t>
  </si>
  <si>
    <t xml:space="preserve">Says the decision is being made and the expected time, and will tell them when ready</t>
  </si>
  <si>
    <t xml:space="preserve">Status, Meta, Toast</t>
  </si>
  <si>
    <t xml:space="preserve">Timing from the bank</t>
  </si>
  <si>
    <t xml:space="preserve">BS-05-022</t>
  </si>
  <si>
    <t xml:space="preserve">Smaller offer</t>
  </si>
  <si>
    <t xml:space="preserve">Partly approved</t>
  </si>
  <si>
    <t xml:space="preserve">(after asking for £3,000 more)</t>
  </si>
  <si>
    <t xml:space="preserve">Shows the smaller amount offered and lets them accept or decline</t>
  </si>
  <si>
    <t xml:space="preserve">Offer amount from the bank</t>
  </si>
  <si>
    <t xml:space="preserve">BS-05-023</t>
  </si>
  <si>
    <t xml:space="preserve">Lower my limit</t>
  </si>
  <si>
    <t xml:space="preserve">Lower my limit to £2,000</t>
  </si>
  <si>
    <t xml:space="preserve">Lowers it straight away after confirmation, down to the current balance at most</t>
  </si>
  <si>
    <t xml:space="preserve">NEW: AmountSlider, ConfirmSheet, Toast</t>
  </si>
  <si>
    <t xml:space="preserve">Cannot go below the balance</t>
  </si>
  <si>
    <t xml:space="preserve">BS-05-024</t>
  </si>
  <si>
    <t xml:space="preserve">Choose limit increase preferences</t>
  </si>
  <si>
    <t xml:space="preserve">Do not offer me more</t>
  </si>
  <si>
    <t xml:space="preserve">Stop offering me limit increases</t>
  </si>
  <si>
    <t xml:space="preserve">Sets the preference to "don't offer" and confirms</t>
  </si>
  <si>
    <t xml:space="preserve">Preference held by the bank</t>
  </si>
  <si>
    <t xml:space="preserve">IN: increases need explicit consent anyway (to confirm)</t>
  </si>
  <si>
    <t xml:space="preserve">BS-05-025</t>
  </si>
  <si>
    <t xml:space="preserve">Understand a limit change the bank made</t>
  </si>
  <si>
    <t xml:space="preserve">Limit changed</t>
  </si>
  <si>
    <t xml:space="preserve">Why did my limit go down?</t>
  </si>
  <si>
    <t xml:space="preserve">Gives the bank's notice and approved reason and offers a person</t>
  </si>
  <si>
    <t xml:space="preserve">Reason from the bank's notice only</t>
  </si>
  <si>
    <t xml:space="preserve">BS-05-026</t>
  </si>
  <si>
    <t xml:space="preserve">Clear my 0% balance in time</t>
  </si>
  <si>
    <t xml:space="preserve">How much a month to clear the 0% before it ends?</t>
  </si>
  <si>
    <t xml:space="preserve">Shows the monthly amount as a plan by month and checks the automatic payment covers it</t>
  </si>
  <si>
    <t xml:space="preserve">NEW: InstalmentPlan, NEW: DirectDebitCard, Button</t>
  </si>
  <si>
    <t xml:space="preserve">Worked out by the rules engine</t>
  </si>
  <si>
    <t xml:space="preserve">BS-05-027</t>
  </si>
  <si>
    <t xml:space="preserve">See my plans</t>
  </si>
  <si>
    <t xml:space="preserve">Instalment plans</t>
  </si>
  <si>
    <t xml:space="preserve">Show my plans</t>
  </si>
  <si>
    <t xml:space="preserve">Lists each plan with months left, monthly amount and total left</t>
  </si>
  <si>
    <t xml:space="preserve">NEW: InstalmentPlan</t>
  </si>
  <si>
    <t xml:space="preserve">Plan data from the bank</t>
  </si>
  <si>
    <t xml:space="preserve">BS-05-028</t>
  </si>
  <si>
    <t xml:space="preserve">Pay off a plan early</t>
  </si>
  <si>
    <t xml:space="preserve">Has spare money</t>
  </si>
  <si>
    <t xml:space="preserve">Can I pay off the TV plan now?</t>
  </si>
  <si>
    <t xml:space="preserve">Shows what paying early costs or saves under the bank's terms and asks to confirm</t>
  </si>
  <si>
    <t xml:space="preserve">NEW: InstalmentPlan, PriceLines, ConfirmSheet</t>
  </si>
  <si>
    <t xml:space="preserve">Early settlement terms from the bank</t>
  </si>
  <si>
    <t xml:space="preserve">IN: foreclosure charges on EMIs vary by bank (to confirm). Confirm: Face ID (UK, EU, AE, SG), one-time code (IN), bank app approval (MY)</t>
  </si>
  <si>
    <t xml:space="preserve">BS-05-029</t>
  </si>
  <si>
    <t xml:space="preserve">Check my rates</t>
  </si>
  <si>
    <t xml:space="preserve">What I pay</t>
  </si>
  <si>
    <t xml:space="preserve">What rate do I pay?</t>
  </si>
  <si>
    <t xml:space="preserve">Shows purchase rate, cash rate, promo rates with end dates and the representative rate</t>
  </si>
  <si>
    <t xml:space="preserve">Rates from the bank only</t>
  </si>
  <si>
    <t xml:space="preserve">BS-05-030</t>
  </si>
  <si>
    <t xml:space="preserve">Understand a fee</t>
  </si>
  <si>
    <t xml:space="preserve">Why was I charged a fee?</t>
  </si>
  <si>
    <t xml:space="preserve">Names the fee (late, over limit, cash, foreign) and the rule behind it</t>
  </si>
  <si>
    <t xml:space="preserve">Answer, TransactionRow, PriceLines</t>
  </si>
  <si>
    <t xml:space="preserve">Fee rules from the bank</t>
  </si>
  <si>
    <t xml:space="preserve">BS-05-031</t>
  </si>
  <si>
    <t xml:space="preserve">Understand how my payments are used</t>
  </si>
  <si>
    <t xml:space="preserve">Several balances</t>
  </si>
  <si>
    <t xml:space="preserve">Which balance does my payment pay off first?</t>
  </si>
  <si>
    <t xml:space="preserve">Explains the bank's order for using payments across balances</t>
  </si>
  <si>
    <t xml:space="preserve">Allocation rule from the bank</t>
  </si>
  <si>
    <t xml:space="preserve">Allocation rules differ by market regulation (to confirm)</t>
  </si>
  <si>
    <t xml:space="preserve">BS-05-032</t>
  </si>
  <si>
    <t xml:space="preserve">Understand cash withdrawal costs</t>
  </si>
  <si>
    <t xml:space="preserve">Cash on a card</t>
  </si>
  <si>
    <t xml:space="preserve">What does it cost to take cash out on my card?</t>
  </si>
  <si>
    <t xml:space="preserve">Gives the cash fee, the cash rate and that interest starts straight away if that is the bank's rule</t>
  </si>
  <si>
    <t xml:space="preserve">Fees and rates from the bank</t>
  </si>
  <si>
    <t xml:space="preserve">BS-05-033</t>
  </si>
  <si>
    <t xml:space="preserve">Work out how long to clear my balance</t>
  </si>
  <si>
    <t xml:space="preserve">Repayment calculator</t>
  </si>
  <si>
    <t xml:space="preserve">If I pay £150 a month, how long to clear it?</t>
  </si>
  <si>
    <t xml:space="preserve">Shows months to clear and interest, compared with paying only the minimum</t>
  </si>
  <si>
    <t xml:space="preserve">NEW: RepaymentCalculator, Compare</t>
  </si>
  <si>
    <t xml:space="preserve">Worked out by the rules engine, not the model</t>
  </si>
  <si>
    <t xml:space="preserve">BS-05-034</t>
  </si>
  <si>
    <t xml:space="preserve">Ask for advice on debt</t>
  </si>
  <si>
    <t xml:space="preserve">Should I consolidate?</t>
  </si>
  <si>
    <t xml:space="preserve">Advice asked</t>
  </si>
  <si>
    <t xml:space="preserve">Should I get a loan to pay off my cards?</t>
  </si>
  <si>
    <t xml:space="preserve">Says it cannot give advice on this, uses the bank's approved words, and points to free advice and a person</t>
  </si>
  <si>
    <t xml:space="preserve">No credit or debt advice beyond the bank's approved words</t>
  </si>
  <si>
    <t xml:space="preserve">BS-05-035</t>
  </si>
  <si>
    <t xml:space="preserve">Check my credit score</t>
  </si>
  <si>
    <t xml:space="preserve">Free score</t>
  </si>
  <si>
    <t xml:space="preserve">What's my credit score?</t>
  </si>
  <si>
    <t xml:space="preserve">Shows the score from the bank's agency partner, when it updates, and what is helping and hurting it</t>
  </si>
  <si>
    <t xml:space="preserve">The bank cannot see the score; the customer can opt out</t>
  </si>
  <si>
    <t xml:space="preserve">Credit agencies: Experian, Equifax, TransUnion (UK); varies by country (EU, to confirm); TransUnion CIBIL, Experian, Equifax, CRIF High Mark (IN); Al Etihad Credit Bureau (AE); Credit Bureau Singapore (SG); CCRIS and CTOS (MY). Availability of a free score differs by bank (to confirm)</t>
  </si>
  <si>
    <t xml:space="preserve">BS-05-036</t>
  </si>
  <si>
    <t xml:space="preserve">Stop the credit score service</t>
  </si>
  <si>
    <t xml:space="preserve">Opt out</t>
  </si>
  <si>
    <t xml:space="preserve">Turn off the credit score</t>
  </si>
  <si>
    <t xml:space="preserve">Opts them out and confirms</t>
  </si>
  <si>
    <t xml:space="preserve">Opt-out held by the agency partner</t>
  </si>
  <si>
    <t xml:space="preserve">BS-05-037</t>
  </si>
  <si>
    <t xml:space="preserve">Track my on-time payment reward</t>
  </si>
  <si>
    <t xml:space="preserve">Rate drops for paying on time</t>
  </si>
  <si>
    <t xml:space="preserve">How many more on-time payments until my rate drops?</t>
  </si>
  <si>
    <t xml:space="preserve">Shows due dates paid on time so far, how many to go and the rate after</t>
  </si>
  <si>
    <t xml:space="preserve">Dial, NEW: InstalmentPlan</t>
  </si>
  <si>
    <t xml:space="preserve">Count and rates from the bank</t>
  </si>
  <si>
    <t xml:space="preserve">Product specific; availability differs (to confirm)</t>
  </si>
  <si>
    <t xml:space="preserve">BS-06-001</t>
  </si>
  <si>
    <t xml:space="preserve">Choose which card to take</t>
  </si>
  <si>
    <t xml:space="preserve">Which card should I take to Japan?</t>
  </si>
  <si>
    <t xml:space="preserve">Compares the cards on foreign fee, cash fee and benefits abroad</t>
  </si>
  <si>
    <t xml:space="preserve">Facts from each card's terms; no advice beyond the comparison</t>
  </si>
  <si>
    <t xml:space="preserve">BS-06-002</t>
  </si>
  <si>
    <t xml:space="preserve">Pay my bill while abroad</t>
  </si>
  <si>
    <t xml:space="preserve">Due date falls during the trip</t>
  </si>
  <si>
    <t xml:space="preserve">My payment is due while I'm away, can I pay now?</t>
  </si>
  <si>
    <t xml:space="preserve">Shows the amount due and pays from the saved account after confirmation, or offers to set up an automatic payment</t>
  </si>
  <si>
    <t xml:space="preserve">Payment rules as at home; confirmation step must work abroad</t>
  </si>
  <si>
    <t xml:space="preserve">Confirm: Face ID (UK, EU, AE, SG), one-time code (IN), bank app approval (MY). Automatic payment name: Direct Debit (UK), direct debit (EU, AE), auto-debit (IN, MY), GIRO (SG)</t>
  </si>
  <si>
    <t xml:space="preserve">BS-06-003</t>
  </si>
  <si>
    <t xml:space="preserve">Check my card works abroad</t>
  </si>
  <si>
    <t xml:space="preserve">Going to a named country</t>
  </si>
  <si>
    <t xml:space="preserve">Can I use my card in Spain?</t>
  </si>
  <si>
    <t xml:space="preserve">Says yes or no, this card's fee for other currencies, and the cash fee</t>
  </si>
  <si>
    <t xml:space="preserve">Fees from the bank's card terms</t>
  </si>
  <si>
    <t xml:space="preserve">EU: payments in euro in the euro area cost the same as at home; non-euro payments may carry fees</t>
  </si>
  <si>
    <t xml:space="preserve">BS-06-004</t>
  </si>
  <si>
    <t xml:space="preserve">International use switched off</t>
  </si>
  <si>
    <t xml:space="preserve">Will my card work in Dubai?</t>
  </si>
  <si>
    <t xml:space="preserve">Sees international use is off and offers to switch it on after confirmation</t>
  </si>
  <si>
    <t xml:space="preserve">NEW: CardControls, Toggle, ConfirmSheet</t>
  </si>
  <si>
    <t xml:space="preserve">Control run by the bank</t>
  </si>
  <si>
    <t xml:space="preserve">IN: international use is off by default on many cards (to confirm). Confirm: Face ID (UK, EU, AE, SG), one-time code (IN), bank app approval (MY)</t>
  </si>
  <si>
    <t xml:space="preserve">BS-06-005</t>
  </si>
  <si>
    <t xml:space="preserve">See what fees abroad will cost</t>
  </si>
  <si>
    <t xml:space="preserve">Typical trip</t>
  </si>
  <si>
    <t xml:space="preserve">What will the fees cost me for a week in Italy?</t>
  </si>
  <si>
    <t xml:space="preserve">Works out fees for a typical spend using the card's fee, labelled as an example</t>
  </si>
  <si>
    <t xml:space="preserve">Fee from the bank; example spend clearly labelled</t>
  </si>
  <si>
    <t xml:space="preserve">BS-06-006</t>
  </si>
  <si>
    <t xml:space="preserve">Tell the bank I am travelling</t>
  </si>
  <si>
    <t xml:space="preserve">Wants to notify</t>
  </si>
  <si>
    <t xml:space="preserve">Do I need to tell you I'm going abroad?</t>
  </si>
  <si>
    <t xml:space="preserve">Says whether the bank needs a travel notice and reminds them to keep the mobile number up to date</t>
  </si>
  <si>
    <t xml:space="preserve">Bank policy on travel notices</t>
  </si>
  <si>
    <t xml:space="preserve">Some banks in some markets still ask for a travel notice (to confirm)</t>
  </si>
  <si>
    <t xml:space="preserve">BS-06-007</t>
  </si>
  <si>
    <t xml:space="preserve">Get a card checklist for my trip</t>
  </si>
  <si>
    <t xml:space="preserve">Flight bought on the card</t>
  </si>
  <si>
    <t xml:space="preserve">Note: trip in 18 days, fees abroad on this card, and what is still missing (stay, airport ride, cover check)</t>
  </si>
  <si>
    <t xml:space="preserve">StickyNote, TripFolder, BenefitRow</t>
  </si>
  <si>
    <t xml:space="preserve">Trip detected from card payments; benefits from the bank</t>
  </si>
  <si>
    <t xml:space="preserve">BS-06-008</t>
  </si>
  <si>
    <t xml:space="preserve">Check my limit before a trip</t>
  </si>
  <si>
    <t xml:space="preserve">Big trip spend</t>
  </si>
  <si>
    <t xml:space="preserve">Will I have enough limit for the trip?</t>
  </si>
  <si>
    <t xml:space="preserve">Shows available credit and upcoming automatic payments, without advising on spending</t>
  </si>
  <si>
    <t xml:space="preserve">NEW: BalanceCard, Answer</t>
  </si>
  <si>
    <t xml:space="preserve">Available credit only</t>
  </si>
  <si>
    <t xml:space="preserve">BS-06-009</t>
  </si>
  <si>
    <t xml:space="preserve">Check phone approvals will work abroad</t>
  </si>
  <si>
    <t xml:space="preserve">Codes by text</t>
  </si>
  <si>
    <t xml:space="preserve">Will I get my codes abroad?</t>
  </si>
  <si>
    <t xml:space="preserve">Explains how this bank sends approvals abroad and what to do if texts do not arrive</t>
  </si>
  <si>
    <t xml:space="preserve">Authentication methods from the bank</t>
  </si>
  <si>
    <t xml:space="preserve">Confirm: Face ID (UK, EU, AE, SG), one-time code (IN), bank app approval (MY). Text codes need roaming (IN, to confirm)</t>
  </si>
  <si>
    <t xml:space="preserve">BS-06-010</t>
  </si>
  <si>
    <t xml:space="preserve">Choose to pay in local currency</t>
  </si>
  <si>
    <t xml:space="preserve">The machine asks pounds or euros?</t>
  </si>
  <si>
    <t xml:space="preserve">Says local currency, with one line on why</t>
  </si>
  <si>
    <t xml:space="preserve">Bank-approved guidance</t>
  </si>
  <si>
    <t xml:space="preserve">BS-06-011</t>
  </si>
  <si>
    <t xml:space="preserve">Take cash out abroad</t>
  </si>
  <si>
    <t xml:space="preserve">Cash machine</t>
  </si>
  <si>
    <t xml:space="preserve">What will it cost to take out 100 euros?</t>
  </si>
  <si>
    <t xml:space="preserve">Gives the cash fee, any foreign fee, and when interest starts</t>
  </si>
  <si>
    <t xml:space="preserve">Fees from the bank; the local machine may add its own charge</t>
  </si>
  <si>
    <t xml:space="preserve">BS-06-012</t>
  </si>
  <si>
    <t xml:space="preserve">Check a foreign payment</t>
  </si>
  <si>
    <t xml:space="preserve">Amount looks off</t>
  </si>
  <si>
    <t xml:space="preserve">Why was the museum £2 more than I thought?</t>
  </si>
  <si>
    <t xml:space="preserve">Shows the foreign amount, the rate and the fee that made up the difference</t>
  </si>
  <si>
    <t xml:space="preserve">From the transaction record</t>
  </si>
  <si>
    <t xml:space="preserve">BS-06-013</t>
  </si>
  <si>
    <t xml:space="preserve">Fix a decline abroad</t>
  </si>
  <si>
    <t xml:space="preserve">In a shop abroad</t>
  </si>
  <si>
    <t xml:space="preserve">Declined abroad</t>
  </si>
  <si>
    <t xml:space="preserve">My card isn't working in Lisbon</t>
  </si>
  <si>
    <t xml:space="preserve">Checks frozen state, international use, limit and approvals waiting, and offers to fix it or call</t>
  </si>
  <si>
    <t xml:space="preserve">StateCard, NEW: CardControls, Button, Handoff</t>
  </si>
  <si>
    <t xml:space="preserve">BS-06-014</t>
  </si>
  <si>
    <t xml:space="preserve">Fraud check stopped it</t>
  </si>
  <si>
    <t xml:space="preserve">It says my card is blocked for security</t>
  </si>
  <si>
    <t xml:space="preserve">Shows the payment the bank stopped and lets them confirm it was them, or connects to the fraud team</t>
  </si>
  <si>
    <t xml:space="preserve">NEW: ApprovalPrompt, Handoff</t>
  </si>
  <si>
    <t xml:space="preserve">Fraud team decides on the block</t>
  </si>
  <si>
    <t xml:space="preserve">BS-06-015</t>
  </si>
  <si>
    <t xml:space="preserve">Report my card lost or stolen abroad</t>
  </si>
  <si>
    <t xml:space="preserve">Card lost abroad</t>
  </si>
  <si>
    <t xml:space="preserve">I've lost my card in Rome</t>
  </si>
  <si>
    <t xml:space="preserve">Blocks the card now, shows new card details in the app where the bank offers it, and explains emergency cash and a temporary card</t>
  </si>
  <si>
    <t xml:space="preserve">NEW: CardControls, NEW: SecureCardDetails, Handoff</t>
  </si>
  <si>
    <t xml:space="preserve">Emergency cash and temporary card from the bank's terms only</t>
  </si>
  <si>
    <t xml:space="preserve">Emergency help differs by bank and card network (to confirm)</t>
  </si>
  <si>
    <t xml:space="preserve">BS-06-016</t>
  </si>
  <si>
    <t xml:space="preserve">Call the bank from abroad</t>
  </si>
  <si>
    <t xml:space="preserve">Needs a person</t>
  </si>
  <si>
    <t xml:space="preserve">What number do I call from abroad?</t>
  </si>
  <si>
    <t xml:space="preserve">Shows the bank's from-abroad number with a call button and in-app chat</t>
  </si>
  <si>
    <t xml:space="preserve">NEW: SupportLines, Button, Handoff</t>
  </si>
  <si>
    <t xml:space="preserve">Numbers from the bank's record</t>
  </si>
  <si>
    <t xml:space="preserve">BS-06-017</t>
  </si>
  <si>
    <t xml:space="preserve">Get my card back from a cash machine</t>
  </si>
  <si>
    <t xml:space="preserve">Machine kept it</t>
  </si>
  <si>
    <t xml:space="preserve">Card retained</t>
  </si>
  <si>
    <t xml:space="preserve">The cash machine swallowed my card</t>
  </si>
  <si>
    <t xml:space="preserve">Blocks the card and orders a new one, and shows the digital card if the bank offers it</t>
  </si>
  <si>
    <t xml:space="preserve">NEW: CardControls, ConfirmSheet, Status</t>
  </si>
  <si>
    <t xml:space="preserve">Block and replacement by the bank</t>
  </si>
  <si>
    <t xml:space="preserve">BS-06-018</t>
  </si>
  <si>
    <t xml:space="preserve">Sort out a deposit hold abroad</t>
  </si>
  <si>
    <t xml:space="preserve">Hotel or car hire</t>
  </si>
  <si>
    <t xml:space="preserve">Large hold</t>
  </si>
  <si>
    <t xml:space="preserve">The car hire has blocked £800 on my card</t>
  </si>
  <si>
    <t xml:space="preserve">Explains the hold, when it usually drops off, and offers to raise it if it stays</t>
  </si>
  <si>
    <t xml:space="preserve">Hold rules from the bank</t>
  </si>
  <si>
    <t xml:space="preserve">BS-06-019</t>
  </si>
  <si>
    <t xml:space="preserve">Claim for a delayed or cancelled trip</t>
  </si>
  <si>
    <t xml:space="preserve">Travel delay</t>
  </si>
  <si>
    <t xml:space="preserve">My flight home is cancelled, am I covered?</t>
  </si>
  <si>
    <t xml:space="preserve">Says whether this card includes travel cover, what it pays in the insurer's words, and how to claim within the time limit</t>
  </si>
  <si>
    <t xml:space="preserve">BenefitRow, Answer, Handoff</t>
  </si>
  <si>
    <t xml:space="preserve">Cover and limits from the policy; claims decided by the insurer</t>
  </si>
  <si>
    <t xml:space="preserve">Insurance wording and claims differ by market; licensed partner required (to confirm)</t>
  </si>
  <si>
    <t xml:space="preserve">BS-06-020</t>
  </si>
  <si>
    <t xml:space="preserve">See what my trip cost</t>
  </si>
  <si>
    <t xml:space="preserve">What did the trip cost?</t>
  </si>
  <si>
    <t xml:space="preserve">Totals trip spending, fees paid and rewards or money back earned</t>
  </si>
  <si>
    <t xml:space="preserve">Answer, NEW: SpendBreakdown, PriceLines</t>
  </si>
  <si>
    <t xml:space="preserve">From transaction data between trip dates</t>
  </si>
  <si>
    <t xml:space="preserve">BS-06-021</t>
  </si>
  <si>
    <t xml:space="preserve">Understand a refund in another currency</t>
  </si>
  <si>
    <t xml:space="preserve">The hotel refunded me but I got less back</t>
  </si>
  <si>
    <t xml:space="preserve">Explains the rate at refund time and any fee, with both amounts</t>
  </si>
  <si>
    <t xml:space="preserve">TransactionRow, PriceLines, Answer</t>
  </si>
  <si>
    <t xml:space="preserve">Rates from the transaction records</t>
  </si>
  <si>
    <t xml:space="preserve">BS-06-022</t>
  </si>
  <si>
    <t xml:space="preserve">Track a tax-free shopping refund</t>
  </si>
  <si>
    <t xml:space="preserve">Refund to the card</t>
  </si>
  <si>
    <t xml:space="preserve">Has my tax refund from the airport come through?</t>
  </si>
  <si>
    <t xml:space="preserve">Searches for the refund and says if it has not arrived yet</t>
  </si>
  <si>
    <t xml:space="preserve">Refund timing set by the refund company</t>
  </si>
  <si>
    <t xml:space="preserve">BS-06-023</t>
  </si>
  <si>
    <t xml:space="preserve">Switch international use off again</t>
  </si>
  <si>
    <t xml:space="preserve">Note: back home, turn international use off again?</t>
  </si>
  <si>
    <t xml:space="preserve">StickyNote, Toggle</t>
  </si>
  <si>
    <t xml:space="preserve">Most relevant where international use is a separate control (IN)</t>
  </si>
  <si>
    <t xml:space="preserve">BS-07-001</t>
  </si>
  <si>
    <t xml:space="preserve">Get a gentle note about help</t>
  </si>
  <si>
    <t xml:space="preserve">Signs of difficulty</t>
  </si>
  <si>
    <t xml:space="preserve">Private, gentle note with help and a person, never an offer</t>
  </si>
  <si>
    <t xml:space="preserve">Moment, NEW: SupportLines, Handoff</t>
  </si>
  <si>
    <t xml:space="preserve">Signal and wording from the bank; never an offer</t>
  </si>
  <si>
    <t xml:space="preserve">BS-07-002</t>
  </si>
  <si>
    <t xml:space="preserve">Pay off my card before closing</t>
  </si>
  <si>
    <t xml:space="preserve">Pay off everything so I can close it</t>
  </si>
  <si>
    <t xml:space="preserve">Shows the full balance including anything still pending and pays it after confirmation, then hands to the team to close</t>
  </si>
  <si>
    <t xml:space="preserve">PaymentDue, PriceLines, ConfirmSheet, Handoff</t>
  </si>
  <si>
    <t xml:space="preserve">Final balance from the bank, including pending and interest to date</t>
  </si>
  <si>
    <t xml:space="preserve">BS-07-003</t>
  </si>
  <si>
    <t xml:space="preserve">Talk to a person</t>
  </si>
  <si>
    <t xml:space="preserve">Gratifi not helping</t>
  </si>
  <si>
    <t xml:space="preserve">Frustrated</t>
  </si>
  <si>
    <t xml:space="preserve">This isn't helping</t>
  </si>
  <si>
    <t xml:space="preserve">Apologises once and offers a person straight away</t>
  </si>
  <si>
    <t xml:space="preserve">Frustration words trigger a handover offer</t>
  </si>
  <si>
    <t xml:space="preserve">BS-07-004</t>
  </si>
  <si>
    <t xml:space="preserve">Gratifi cannot do it</t>
  </si>
  <si>
    <t xml:space="preserve">(asks for something Gratifi cannot do)</t>
  </si>
  <si>
    <t xml:space="preserve">Says what it cannot do and hands over with the details</t>
  </si>
  <si>
    <t xml:space="preserve">Handoff, Answer</t>
  </si>
  <si>
    <t xml:space="preserve">Anything outside the allowed actions goes to a person</t>
  </si>
  <si>
    <t xml:space="preserve">BS-07-005</t>
  </si>
  <si>
    <t xml:space="preserve">Get help when struggling to pay</t>
  </si>
  <si>
    <t xml:space="preserve">I'm struggling to pay my card</t>
  </si>
  <si>
    <t xml:space="preserve">Answers calmly with no sales, shows the bank's support lines and free advice, and offers the team now</t>
  </si>
  <si>
    <t xml:space="preserve">All promotional notes switched off for this customer until the bank's team says otherwise</t>
  </si>
  <si>
    <t xml:space="preserve">Free debt help differs: StepChange, National Debtline, MoneyHelper, Citizens Advice (UK); national services (EU, to confirm); Credit Counselling Singapore (SG); AKPK (MY); IN and AE to confirm. UK: Breathing Space scheme (England and Wales)</t>
  </si>
  <si>
    <t xml:space="preserve">BS-07-006</t>
  </si>
  <si>
    <t xml:space="preserve">Wants to see options</t>
  </si>
  <si>
    <t xml:space="preserve">What can I do if I can't pay this month?</t>
  </si>
  <si>
    <t xml:space="preserve">Shows the bank's approved options in its words, a repayment plan view and the calculator, and offers a person</t>
  </si>
  <si>
    <t xml:space="preserve">Answer, NEW: RepaymentCalculator, Handoff</t>
  </si>
  <si>
    <t xml:space="preserve">Only bank-approved options; no promises of fee or interest relief</t>
  </si>
  <si>
    <t xml:space="preserve">BS-07-007</t>
  </si>
  <si>
    <t xml:space="preserve">Missed payments</t>
  </si>
  <si>
    <t xml:space="preserve">Missed payment</t>
  </si>
  <si>
    <t xml:space="preserve">I've missed two payments</t>
  </si>
  <si>
    <t xml:space="preserve">Explains what happens next in the bank's words and connects to the team that handles missed payments</t>
  </si>
  <si>
    <t xml:space="preserve">Collections handled by the bank's team</t>
  </si>
  <si>
    <t xml:space="preserve">Reporting and collections rules differ by market (to confirm)</t>
  </si>
  <si>
    <t xml:space="preserve">BS-07-008</t>
  </si>
  <si>
    <t xml:space="preserve">Lost my job</t>
  </si>
  <si>
    <t xml:space="preserve">Job loss</t>
  </si>
  <si>
    <t xml:space="preserve">I've just lost my job</t>
  </si>
  <si>
    <t xml:space="preserve">Slows down, answers kindly, offers the bank's support and a person, and turns off offers</t>
  </si>
  <si>
    <t xml:space="preserve">Care flag with consent; no offers</t>
  </si>
  <si>
    <t xml:space="preserve">BS-07-009</t>
  </si>
  <si>
    <t xml:space="preserve">Get help when things are hard</t>
  </si>
  <si>
    <t xml:space="preserve">Illness, confusion or stress</t>
  </si>
  <si>
    <t xml:space="preserve">I've been in hospital and I'm all over the place with this</t>
  </si>
  <si>
    <t xml:space="preserve">Slows down, uses shorter sentences, offers a person, never pushes an action, and asks consent to note extra support</t>
  </si>
  <si>
    <t xml:space="preserve">Flag to the bank's vulnerable-customer process only with consent; health details never kept in Gratifi memory</t>
  </si>
  <si>
    <t xml:space="preserve">UK: FCA guidance on vulnerable customers; others to confirm. Data laws: UK GDPR, EU GDPR, India DPDP Act, UAE PDPL, Singapore PDPA, Malaysia PDPA</t>
  </si>
  <si>
    <t xml:space="preserve">BS-07-010</t>
  </si>
  <si>
    <t xml:space="preserve">Get help when someone else is directing me</t>
  </si>
  <si>
    <t xml:space="preserve">Being told what to do</t>
  </si>
  <si>
    <t xml:space="preserve">Possible coercion</t>
  </si>
  <si>
    <t xml:space="preserve">My nephew says I need to send him the card details for the bank</t>
  </si>
  <si>
    <t xml:space="preserve">Pauses all actions, says gently the bank never needs this, and offers a person in private</t>
  </si>
  <si>
    <t xml:space="preserve">Coercion signals stop actions and route to the bank's team</t>
  </si>
  <si>
    <t xml:space="preserve">BS-07-011</t>
  </si>
  <si>
    <t xml:space="preserve">Get help with financial abuse</t>
  </si>
  <si>
    <t xml:space="preserve">Partner controls money</t>
  </si>
  <si>
    <t xml:space="preserve">Financial abuse</t>
  </si>
  <si>
    <t xml:space="preserve">My partner makes me put everything on my card</t>
  </si>
  <si>
    <t xml:space="preserve">Responds with care, offers a private person, and shows the bank's support without taking any action</t>
  </si>
  <si>
    <t xml:space="preserve">Specialist team at the bank; no details kept in memory</t>
  </si>
  <si>
    <t xml:space="preserve">Specialist support organisations differ by market (to confirm)</t>
  </si>
  <si>
    <t xml:space="preserve">BS-07-012</t>
  </si>
  <si>
    <t xml:space="preserve">Get help in a crisis</t>
  </si>
  <si>
    <t xml:space="preserve">Says they may harm themselves</t>
  </si>
  <si>
    <t xml:space="preserve">Safety risk</t>
  </si>
  <si>
    <t xml:space="preserve">I can't cope anymore, I don't see the point</t>
  </si>
  <si>
    <t xml:space="preserve">Stops the banking task, responds with care, gives crisis line details for the market and offers a person now</t>
  </si>
  <si>
    <t xml:space="preserve">Safety wording approved by the bank; urgent handover; nothing stored in memory</t>
  </si>
  <si>
    <t xml:space="preserve">Crisis lines differ per market: Samaritans 116 123 (UK and Ireland); others to confirm from the bank's list</t>
  </si>
  <si>
    <t xml:space="preserve">BS-07-013</t>
  </si>
  <si>
    <t xml:space="preserve">Tell the bank someone has died</t>
  </si>
  <si>
    <t xml:space="preserve">Bereavement</t>
  </si>
  <si>
    <t xml:space="preserve">My dad has died and he had a card with you</t>
  </si>
  <si>
    <t xml:space="preserve">Opens with a kind first line, explains what happens to the account and the steps, and offers a person</t>
  </si>
  <si>
    <t xml:space="preserve">Answer, Handoff, NEW: SupportLines</t>
  </si>
  <si>
    <t xml:space="preserve">Account handled by the bank's bereavement team; nothing done in chat</t>
  </si>
  <si>
    <t xml:space="preserve">UK: Death Notification Service; other markets use their own process and documents (to confirm)</t>
  </si>
  <si>
    <t xml:space="preserve">BS-07-014</t>
  </si>
  <si>
    <t xml:space="preserve">Stop payments after a death</t>
  </si>
  <si>
    <t xml:space="preserve">Payments still going out</t>
  </si>
  <si>
    <t xml:space="preserve">Payments are still coming off my late mum's card</t>
  </si>
  <si>
    <t xml:space="preserve">Explains how the bank stops the card and payments and hands over with the details</t>
  </si>
  <si>
    <t xml:space="preserve">Only the bereavement team can act on the account</t>
  </si>
  <si>
    <t xml:space="preserve">BS-07-015</t>
  </si>
  <si>
    <t xml:space="preserve">Handle an extra card after the main cardholder died</t>
  </si>
  <si>
    <t xml:space="preserve">My husband died, can I still use my card on his account?</t>
  </si>
  <si>
    <t xml:space="preserve">Explains kindly what the bank's rules mean for the extra card and hands to the bereavement team</t>
  </si>
  <si>
    <t xml:space="preserve">Decided by the bank</t>
  </si>
  <si>
    <t xml:space="preserve">BS-07-016</t>
  </si>
  <si>
    <t xml:space="preserve">Ask about someone else's account</t>
  </si>
  <si>
    <t xml:space="preserve">Not the account holder</t>
  </si>
  <si>
    <t xml:space="preserve">Third party</t>
  </si>
  <si>
    <t xml:space="preserve">Can you tell me my wife's balance?</t>
  </si>
  <si>
    <t xml:space="preserve">Says it can only discuss the customer's own account and explains how to set up access properly</t>
  </si>
  <si>
    <t xml:space="preserve">Only the verified customer's data; no third-party disclosure</t>
  </si>
  <si>
    <t xml:space="preserve">BS-07-017</t>
  </si>
  <si>
    <t xml:space="preserve">Complaint</t>
  </si>
  <si>
    <t xml:space="preserve">I want to make a complaint about how my claim was handled</t>
  </si>
  <si>
    <t xml:space="preserve">Captures what happened in the customer's words, sends it to the team and gives a reference and the timeline</t>
  </si>
  <si>
    <t xml:space="preserve">NEW: ComplaintForm, Receipt, Handoff</t>
  </si>
  <si>
    <t xml:space="preserve">Gratifi never argues or defends; it records and routes; timelines from the regulator</t>
  </si>
  <si>
    <t xml:space="preserve">After the bank's final reply: Financial Ombudsman Service (UK, 8 weeks); national ADR body per country (EU, to confirm); RBI Integrated Ombudsman (IN, after 30 days); Sanadak (AE, to confirm); FIDReC (SG); Ombudsman for Financial Services (MY)</t>
  </si>
  <si>
    <t xml:space="preserve">BS-07-018</t>
  </si>
  <si>
    <t xml:space="preserve">About Gratifi itself</t>
  </si>
  <si>
    <t xml:space="preserve">Your assistant gave me the wrong due date and I paid late</t>
  </si>
  <si>
    <t xml:space="preserve">Records the complaint with the conversation attached and routes it to the team</t>
  </si>
  <si>
    <t xml:space="preserve">NEW: ComplaintForm, Handoff</t>
  </si>
  <si>
    <t xml:space="preserve">Complaints about the assistant are treated as bank complaints</t>
  </si>
  <si>
    <t xml:space="preserve">BS-07-019</t>
  </si>
  <si>
    <t xml:space="preserve">Check my complaint</t>
  </si>
  <si>
    <t xml:space="preserve">Complaint open</t>
  </si>
  <si>
    <t xml:space="preserve">Any update on my complaint?</t>
  </si>
  <si>
    <t xml:space="preserve">Shows the reference, the stage and the next date</t>
  </si>
  <si>
    <t xml:space="preserve">Status from the bank's complaints system</t>
  </si>
  <si>
    <t xml:space="preserve">BS-07-020</t>
  </si>
  <si>
    <t xml:space="preserve">Take my complaint further</t>
  </si>
  <si>
    <t xml:space="preserve">Unhappy with final reply</t>
  </si>
  <si>
    <t xml:space="preserve">Escalation</t>
  </si>
  <si>
    <t xml:space="preserve">I'm not happy with the answer, where can I go?</t>
  </si>
  <si>
    <t xml:space="preserve">Explains the outside body for this market and when they can go to it, with a link</t>
  </si>
  <si>
    <t xml:space="preserve">Answer, NEW: SupportLines</t>
  </si>
  <si>
    <t xml:space="preserve">Escalation route and timing from the regulator</t>
  </si>
  <si>
    <t xml:space="preserve">BS-07-021</t>
  </si>
  <si>
    <t xml:space="preserve">Stay calm with an angry customer</t>
  </si>
  <si>
    <t xml:space="preserve">Customer angry</t>
  </si>
  <si>
    <t xml:space="preserve">Abusive language</t>
  </si>
  <si>
    <t xml:space="preserve">This is useless, you people are thieves</t>
  </si>
  <si>
    <t xml:space="preserve">Stays calm and polite, does not argue, and offers a person</t>
  </si>
  <si>
    <t xml:space="preserve">No arguing or defending; handover on repeated anger</t>
  </si>
  <si>
    <t xml:space="preserve">BS-07-022</t>
  </si>
  <si>
    <t xml:space="preserve">Close my card</t>
  </si>
  <si>
    <t xml:space="preserve">Balance still owed</t>
  </si>
  <si>
    <t xml:space="preserve">Balance outstanding</t>
  </si>
  <si>
    <t xml:space="preserve">Can I close it even though I still owe money?</t>
  </si>
  <si>
    <t xml:space="preserve">Explains the bank's rules for closing with a balance and hands over</t>
  </si>
  <si>
    <t xml:space="preserve">Closure rules from the bank</t>
  </si>
  <si>
    <t xml:space="preserve">BS-07-023</t>
  </si>
  <si>
    <t xml:space="preserve">Asks for one</t>
  </si>
  <si>
    <t xml:space="preserve">Speak to someone</t>
  </si>
  <si>
    <t xml:space="preserve">Offers chat with the team in the app or a call, and passes the conversation and a short summary so they never repeat it</t>
  </si>
  <si>
    <t xml:space="preserve">Handoff, Status</t>
  </si>
  <si>
    <t xml:space="preserve">Summary shown to the customer before it is sent; routing by the bank</t>
  </si>
  <si>
    <t xml:space="preserve">BS-07-024</t>
  </si>
  <si>
    <t xml:space="preserve">Out of hours</t>
  </si>
  <si>
    <t xml:space="preserve">Team closed</t>
  </si>
  <si>
    <t xml:space="preserve">Can I talk to someone now?</t>
  </si>
  <si>
    <t xml:space="preserve">Shows opening hours and expected wait, offers a callback or leaving a message, and says which lines are open all day</t>
  </si>
  <si>
    <t xml:space="preserve">Handoff, NEW: SupportLines, Meta</t>
  </si>
  <si>
    <t xml:space="preserve">Hours and numbers from the bank's record</t>
  </si>
  <si>
    <t xml:space="preserve">Hours and languages differ by market; Arabic support (AE), Hindi and regional languages (IN), Malay (MY) to confirm</t>
  </si>
  <si>
    <t xml:space="preserve">BS-07-025</t>
  </si>
  <si>
    <t xml:space="preserve">Find the talk-to-a-person option</t>
  </si>
  <si>
    <t xml:space="preserve">Always visible</t>
  </si>
  <si>
    <t xml:space="preserve">(opens the conversation menu)</t>
  </si>
  <si>
    <t xml:space="preserve">Shows "Talk to a person" in every conversation's menu</t>
  </si>
  <si>
    <t xml:space="preserve">IconButton, Handoff</t>
  </si>
  <si>
    <t xml:space="preserve">Always present, never hidden</t>
  </si>
  <si>
    <t xml:space="preserve">BS-07-026</t>
  </si>
  <si>
    <t xml:space="preserve">Manage an account for someone else</t>
  </si>
  <si>
    <t xml:space="preserve">Power of Attorney</t>
  </si>
  <si>
    <t xml:space="preserve">I have Power of Attorney for my mum, how do I register it?</t>
  </si>
  <si>
    <t xml:space="preserve">Explains how to register it with the bank and what documents are needed, and hands over</t>
  </si>
  <si>
    <t xml:space="preserve">Registration done by the bank; Gratifi never acts for a third party</t>
  </si>
  <si>
    <t xml:space="preserve">Documents differ: Lasting Power of Attorney (England and Wales), others per market (to confirm)</t>
  </si>
  <si>
    <t xml:space="preserve">BS-07-027</t>
  </si>
  <si>
    <t xml:space="preserve">Ask for a different format</t>
  </si>
  <si>
    <t xml:space="preserve">Can I get my statements in large print?</t>
  </si>
  <si>
    <t xml:space="preserve">Explains the formats the bank offers (braille, large print, audio) and sends the request</t>
  </si>
  <si>
    <t xml:space="preserve">Answer, ConfirmSheet, Toast</t>
  </si>
  <si>
    <t xml:space="preserve">Formats from the bank's list</t>
  </si>
  <si>
    <t xml:space="preserve">Accessibility services differ: sign language video and text relay (UK); European Accessibility Act (EU); others to confirm</t>
  </si>
  <si>
    <t xml:space="preserve">BS-07-028</t>
  </si>
  <si>
    <t xml:space="preserve">Use Gratifi with a screen reader</t>
  </si>
  <si>
    <t xml:space="preserve">(uses a screen reader)</t>
  </si>
  <si>
    <t xml:space="preserve">Every card has a spoken label and answers can be read aloud</t>
  </si>
  <si>
    <t xml:space="preserve">Answer, IconButton</t>
  </si>
  <si>
    <t xml:space="preserve">Labels on every block</t>
  </si>
  <si>
    <t xml:space="preserve">Arabic screen reader support (AE, to confirm)</t>
  </si>
  <si>
    <t xml:space="preserve">BS-07-029</t>
  </si>
  <si>
    <t xml:space="preserve">Get help in my language</t>
  </si>
  <si>
    <t xml:space="preserve">Can I speak Arabic?</t>
  </si>
  <si>
    <t xml:space="preserve">Switches to Arabic where the bank offers it, or offers a person who speaks it</t>
  </si>
  <si>
    <t xml:space="preserve">Segmented, Handoff</t>
  </si>
  <si>
    <t xml:space="preserve">Languages switched on by the bank</t>
  </si>
  <si>
    <t xml:space="preserve">Arabic replies need native review and right-to-left layout (AE); Hindi and Malay later (to confirm)</t>
  </si>
  <si>
    <t xml:space="preserve">BS-07-030</t>
  </si>
  <si>
    <t xml:space="preserve">Wants to leave</t>
  </si>
  <si>
    <t xml:space="preserve">Asks why (optional), shows what is left to pay and any rewards to use first, then hands to the team</t>
  </si>
  <si>
    <t xml:space="preserve">IN: closure must be processed within a set number of working days (to confirm)</t>
  </si>
  <si>
    <t xml:space="preserve">BS-07-031</t>
  </si>
  <si>
    <t xml:space="preserve">Rewards left</t>
  </si>
  <si>
    <t xml:space="preserve">Close it, but what about my points?</t>
  </si>
  <si>
    <t xml:space="preserve">Shows the rewards balance and what happens to it on closing</t>
  </si>
  <si>
    <t xml:space="preserve">Dial, BenefitRow, Handoff</t>
  </si>
  <si>
    <t xml:space="preserve">Rewards rules from the bank</t>
  </si>
  <si>
    <t xml:space="preserve">BS-07-032</t>
  </si>
  <si>
    <t xml:space="preserve">Change my mind about closing</t>
  </si>
  <si>
    <t xml:space="preserve">Closing started</t>
  </si>
  <si>
    <t xml:space="preserve">Actually, don't close my card</t>
  </si>
  <si>
    <t xml:space="preserve">Passes the change to the team before closure goes through</t>
  </si>
  <si>
    <t xml:space="preserve">Only the bank can stop a closure in progress</t>
  </si>
  <si>
    <t xml:space="preserve">BS-08-001</t>
  </si>
  <si>
    <t xml:space="preserve">Business benefits</t>
  </si>
  <si>
    <t xml:space="preserve">What business offers do I get?</t>
  </si>
  <si>
    <t xml:space="preserve">Lists the business savings offers and how each one pays back</t>
  </si>
  <si>
    <t xml:space="preserve">OfferCard, BenefitRow</t>
  </si>
  <si>
    <t xml:space="preserve">BS-08-002</t>
  </si>
  <si>
    <t xml:space="preserve">Get told an employee is near their limit</t>
  </si>
  <si>
    <t xml:space="preserve">Administrator</t>
  </si>
  <si>
    <t xml:space="preserve">Note to the administrator: a cardholder is close to their monthly limit</t>
  </si>
  <si>
    <t xml:space="preserve">StickyNote, NEW: CardholderList</t>
  </si>
  <si>
    <t xml:space="preserve">Alert settings by the administrator</t>
  </si>
  <si>
    <t xml:space="preserve">BS-08-003</t>
  </si>
  <si>
    <t xml:space="preserve">Pay the business card bill</t>
  </si>
  <si>
    <t xml:space="preserve">Pay this month's company card bill</t>
  </si>
  <si>
    <t xml:space="preserve">Shows the company balance and due amount and pays from the business account after confirmation</t>
  </si>
  <si>
    <t xml:space="preserve">Company balance and payments shown to administrators only</t>
  </si>
  <si>
    <t xml:space="preserve">BS-08-004</t>
  </si>
  <si>
    <t xml:space="preserve">Plan a business trip</t>
  </si>
  <si>
    <t xml:space="preserve">Employee travelling</t>
  </si>
  <si>
    <t xml:space="preserve">Priya is going to Singapore next week</t>
  </si>
  <si>
    <t xml:space="preserve">Builds the trip checklist and sets partner booking invoices to go to the business</t>
  </si>
  <si>
    <t xml:space="preserve">TripFolder, BenefitRow, Receipt</t>
  </si>
  <si>
    <t xml:space="preserve">Invoices issued by the supplier to the business details</t>
  </si>
  <si>
    <t xml:space="preserve">Tax invoices: GST invoice needs the company GSTIN (IN); VAT invoices (UK, EU, AE)</t>
  </si>
  <si>
    <t xml:space="preserve">BS-08-005</t>
  </si>
  <si>
    <t xml:space="preserve">Add an employee card</t>
  </si>
  <si>
    <t xml:space="preserve">Not the administrator</t>
  </si>
  <si>
    <t xml:space="preserve">No permission</t>
  </si>
  <si>
    <t xml:space="preserve">Add a card for my colleague</t>
  </si>
  <si>
    <t xml:space="preserve">Says only the account administrator can do this and who that is</t>
  </si>
  <si>
    <t xml:space="preserve">Role from the bank's business setup</t>
  </si>
  <si>
    <t xml:space="preserve">BS-08-006</t>
  </si>
  <si>
    <t xml:space="preserve">Understand an employee's declined card</t>
  </si>
  <si>
    <t xml:space="preserve">Employee at a supplier</t>
  </si>
  <si>
    <t xml:space="preserve">Why was my card declined? I'm at the client's hotel</t>
  </si>
  <si>
    <t xml:space="preserve">Tells the cardholder which control or limit stopped it and that the administrator can change it</t>
  </si>
  <si>
    <t xml:space="preserve">StateCard, NEW: CardControls</t>
  </si>
  <si>
    <t xml:space="preserve">Cardholders see their own card only</t>
  </si>
  <si>
    <t xml:space="preserve">BS-08-007</t>
  </si>
  <si>
    <t xml:space="preserve">Deal with misuse of an employee card</t>
  </si>
  <si>
    <t xml:space="preserve">Employee misuse</t>
  </si>
  <si>
    <t xml:space="preserve">An employee used their card for personal things</t>
  </si>
  <si>
    <t xml:space="preserve">Offers to freeze the card, explains misuse cover if the card has it, and hands to the team</t>
  </si>
  <si>
    <t xml:space="preserve">NEW: CardControls, BenefitRow, Handoff</t>
  </si>
  <si>
    <t xml:space="preserve">Misuse cover terms from the bank; claims decided by the insurer</t>
  </si>
  <si>
    <t xml:space="preserve">Business card protections differ from consumer ones and by market (to confirm)</t>
  </si>
  <si>
    <t xml:space="preserve">BS-08-008</t>
  </si>
  <si>
    <t xml:space="preserve">Attach a receipt</t>
  </si>
  <si>
    <t xml:space="preserve">No matching payment</t>
  </si>
  <si>
    <t xml:space="preserve">(photos a receipt for £42.10)</t>
  </si>
  <si>
    <t xml:space="preserve">Says no payment matches yet and offers to attach it when the payment arrives</t>
  </si>
  <si>
    <t xml:space="preserve">NEW: Upload, StateCard</t>
  </si>
  <si>
    <t xml:space="preserve">Matching by amount and date</t>
  </si>
  <si>
    <t xml:space="preserve">BS-08-009</t>
  </si>
  <si>
    <t xml:space="preserve">Get business help</t>
  </si>
  <si>
    <t xml:space="preserve">Business line</t>
  </si>
  <si>
    <t xml:space="preserve">I need to talk to someone about the company account</t>
  </si>
  <si>
    <t xml:space="preserve">Routes to the business card line or business fraud line</t>
  </si>
  <si>
    <t xml:space="preserve">Handoff, NEW: SupportLines</t>
  </si>
  <si>
    <t xml:space="preserve">Numbers and routing from the bank</t>
  </si>
  <si>
    <t xml:space="preserve">BS-08-010</t>
  </si>
  <si>
    <t xml:space="preserve">Add a card for Priya with a £1,000 monthly limit</t>
  </si>
  <si>
    <t xml:space="preserve">Fills name and limit, asks the administrator to confirm, and submits</t>
  </si>
  <si>
    <t xml:space="preserve">NEW: CardholderList, Stepper, ConfirmSheet, Receipt</t>
  </si>
  <si>
    <t xml:space="preserve">Only the account administrator can add, change or remove cards; the bank approves</t>
  </si>
  <si>
    <t xml:space="preserve">BS-08-011</t>
  </si>
  <si>
    <t xml:space="preserve">See who spent what</t>
  </si>
  <si>
    <t xml:space="preserve">By employee</t>
  </si>
  <si>
    <t xml:space="preserve">How much has Priya spent this month?</t>
  </si>
  <si>
    <t xml:space="preserve">Shows spending by cardholder and category with the payments behind it</t>
  </si>
  <si>
    <t xml:space="preserve">NEW: SpendBreakdown, TransactionRow</t>
  </si>
  <si>
    <t xml:space="preserve">Company-level view for administrators only</t>
  </si>
  <si>
    <t xml:space="preserve">BS-08-012</t>
  </si>
  <si>
    <t xml:space="preserve">Whole team</t>
  </si>
  <si>
    <t xml:space="preserve">Who spent the most last month?</t>
  </si>
  <si>
    <t xml:space="preserve">Ranks cardholders by spend with totals</t>
  </si>
  <si>
    <t xml:space="preserve">NEW: SpendBreakdown, NEW: CardholderList</t>
  </si>
  <si>
    <t xml:space="preserve">Administrators only</t>
  </si>
  <si>
    <t xml:space="preserve">BS-08-013</t>
  </si>
  <si>
    <t xml:space="preserve">Change an employee's limit</t>
  </si>
  <si>
    <t xml:space="preserve">Raise Tom's limit to £2,000</t>
  </si>
  <si>
    <t xml:space="preserve">Asks the administrator to confirm and tells the cardholder</t>
  </si>
  <si>
    <t xml:space="preserve">Within the company limit; administrator confirmation required</t>
  </si>
  <si>
    <t xml:space="preserve">BS-08-014</t>
  </si>
  <si>
    <t xml:space="preserve">Freeze an employee card</t>
  </si>
  <si>
    <t xml:space="preserve">Freeze Tom's card</t>
  </si>
  <si>
    <t xml:space="preserve">Freezes it after the administrator confirms and sends Tom a note</t>
  </si>
  <si>
    <t xml:space="preserve">Administrator only; cardholder notified</t>
  </si>
  <si>
    <t xml:space="preserve">BS-08-015</t>
  </si>
  <si>
    <t xml:space="preserve">Cancel an employee card</t>
  </si>
  <si>
    <t xml:space="preserve">Employee leaving</t>
  </si>
  <si>
    <t xml:space="preserve">Sam leaves on Friday, cancel his card</t>
  </si>
  <si>
    <t xml:space="preserve">Sets the card to cancel on that date, shows any spending still to come in, and confirms</t>
  </si>
  <si>
    <t xml:space="preserve">NEW: CardholderList, ConfirmSheet, Receipt</t>
  </si>
  <si>
    <t xml:space="preserve">Administrator only; outstanding spend stays on the company account</t>
  </si>
  <si>
    <t xml:space="preserve">BS-08-016</t>
  </si>
  <si>
    <t xml:space="preserve">Set where a card works</t>
  </si>
  <si>
    <t xml:space="preserve">Controls per card</t>
  </si>
  <si>
    <t xml:space="preserve">Turn off online payments on the sales team's cards</t>
  </si>
  <si>
    <t xml:space="preserve">Switches online, shops or cash machines on or off per card</t>
  </si>
  <si>
    <t xml:space="preserve">Administrator only</t>
  </si>
  <si>
    <t xml:space="preserve">BS-08-017</t>
  </si>
  <si>
    <t xml:space="preserve">Block kinds of spending</t>
  </si>
  <si>
    <t xml:space="preserve">Per card</t>
  </si>
  <si>
    <t xml:space="preserve">Stop Tom's card working at cash machines</t>
  </si>
  <si>
    <t xml:space="preserve">Blocks that type of spending on that card and confirms</t>
  </si>
  <si>
    <t xml:space="preserve">NEW: CardControls, Chips, Toast</t>
  </si>
  <si>
    <t xml:space="preserve">Spending types from the bank's control list</t>
  </si>
  <si>
    <t xml:space="preserve">BS-08-018</t>
  </si>
  <si>
    <t xml:space="preserve">Export statements</t>
  </si>
  <si>
    <t xml:space="preserve">For the accountant</t>
  </si>
  <si>
    <t xml:space="preserve">Send me last quarter as CSV</t>
  </si>
  <si>
    <t xml:space="preserve">Produces PDF or CSV statements for the chosen period</t>
  </si>
  <si>
    <t xml:space="preserve">Export produced by the bank</t>
  </si>
  <si>
    <t xml:space="preserve">BS-08-019</t>
  </si>
  <si>
    <t xml:space="preserve">Expense claim</t>
  </si>
  <si>
    <t xml:space="preserve">(takes a photo) Attach this to the taxi</t>
  </si>
  <si>
    <t xml:space="preserve">Attaches the receipt photo to the matching payment</t>
  </si>
  <si>
    <t xml:space="preserve">NEW: Upload, TransactionRow, Toast</t>
  </si>
  <si>
    <t xml:space="preserve">Pilot with the bank's expense tools; image stored by the bank</t>
  </si>
  <si>
    <t xml:space="preserve">BS-08-020</t>
  </si>
  <si>
    <t xml:space="preserve">Connect my accounting software</t>
  </si>
  <si>
    <t xml:space="preserve">Set-up</t>
  </si>
  <si>
    <t xml:space="preserve">How do I link my card to my accounting software?</t>
  </si>
  <si>
    <t xml:space="preserve">Shows the bank's set-up guide for the supported accounting feeds</t>
  </si>
  <si>
    <t xml:space="preserve">Only feeds the bank supports</t>
  </si>
  <si>
    <t xml:space="preserve">BS-08-021</t>
  </si>
  <si>
    <t xml:space="preserve">Check business cover</t>
  </si>
  <si>
    <t xml:space="preserve">Insurance and protection</t>
  </si>
  <si>
    <t xml:space="preserve">Are my team covered when they travel?</t>
  </si>
  <si>
    <t xml:space="preserve">Shows travel insurance, purchase protection and misuse cover for this card with limits</t>
  </si>
  <si>
    <t xml:space="preserve">Cover from the policy; claims decided by the insurer</t>
  </si>
  <si>
    <t xml:space="preserve">Insurance wording differs by market (to confirm)</t>
  </si>
  <si>
    <t xml:space="preserve">BS-08-022</t>
  </si>
  <si>
    <t xml:space="preserve">See company balance</t>
  </si>
  <si>
    <t xml:space="preserve">Not an administrator</t>
  </si>
  <si>
    <t xml:space="preserve">What's the company balance?</t>
  </si>
  <si>
    <t xml:space="preserve">Tells the cardholder they can see their own card and spending only</t>
  </si>
  <si>
    <t xml:space="preserve">BS-08-023</t>
  </si>
  <si>
    <t xml:space="preserve">Change the account administrator</t>
  </si>
  <si>
    <t xml:space="preserve">Admin leaving</t>
  </si>
  <si>
    <t xml:space="preserve">Make Anna the administrator</t>
  </si>
  <si>
    <t xml:space="preserve">Hands to the bank's business team with the details filled in</t>
  </si>
  <si>
    <t xml:space="preserve">Administrator changes done by the bank with checks</t>
  </si>
  <si>
    <t xml:space="preserve">EN-01-001</t>
  </si>
  <si>
    <t xml:space="preserve">See the one thing that matters now</t>
  </si>
  <si>
    <t xml:space="preserve">Shows one note on Home with a number in the title, one or two lines, one main button and one second button</t>
  </si>
  <si>
    <t xml:space="preserve">One note at a time; ranked by money at stake and deadline; facts re-checked before showing; suggestions switch on; weekly cap and quiet hours apply</t>
  </si>
  <si>
    <t xml:space="preserve">EN-01-002</t>
  </si>
  <si>
    <t xml:space="preserve">Act on a note</t>
  </si>
  <si>
    <t xml:space="preserve">(taps the note)</t>
  </si>
  <si>
    <t xml:space="preserve">Opens a conversation about the note with the facts already there</t>
  </si>
  <si>
    <t xml:space="preserve">Moment, Answer, Suggestions</t>
  </si>
  <si>
    <t xml:space="preserve">Facts re-checked at tap</t>
  </si>
  <si>
    <t xml:space="preserve">EN-01-003</t>
  </si>
  <si>
    <t xml:space="preserve">Two moments at once</t>
  </si>
  <si>
    <t xml:space="preserve">Moments collide</t>
  </si>
  <si>
    <t xml:space="preserve">Shows only the highest-ranked note; the other waits in the conversation</t>
  </si>
  <si>
    <t xml:space="preserve">Moment</t>
  </si>
  <si>
    <t xml:space="preserve">One note at a time; rank by money at stake and deadline</t>
  </si>
  <si>
    <t xml:space="preserve">EN-01-004</t>
  </si>
  <si>
    <t xml:space="preserve">Get a moment that fits where I am</t>
  </si>
  <si>
    <t xml:space="preserve">Time and place (ZERO)</t>
  </si>
  <si>
    <t xml:space="preserve">Picks the one thing that fits the time and place, for example a table nearby at lunch on a work trip</t>
  </si>
  <si>
    <t xml:space="preserve">ZERO ranks only eligible, live items; location consent; One note at a time; ranked by money at stake and deadline; facts re-checked before showing; suggestions switch on; weekly cap and quiet hours apply</t>
  </si>
  <si>
    <t xml:space="preserve">EN-01-005</t>
  </si>
  <si>
    <t xml:space="preserve">Reach a reward goal</t>
  </si>
  <si>
    <t xml:space="preserve">Voucher or welcome bonus target</t>
  </si>
  <si>
    <t xml:space="preserve">Shows spend to go and the deadline, and whether usual spending gets there, with no push to spend more</t>
  </si>
  <si>
    <t xml:space="preserve">Never "spend to earn"; Signs of money worries switch off all promotions and spend nudges until the bank's team says otherwise</t>
  </si>
  <si>
    <t xml:space="preserve">EN-01-006</t>
  </si>
  <si>
    <t xml:space="preserve">Business cashback threshold</t>
  </si>
  <si>
    <t xml:space="preserve">Shows this month's spend against the threshold and days left, as a fact only</t>
  </si>
  <si>
    <t xml:space="preserve">Threshold from the bank; no push to spend</t>
  </si>
  <si>
    <t xml:space="preserve">EN-01-007</t>
  </si>
  <si>
    <t xml:space="preserve">Keep on track for a lower rate</t>
  </si>
  <si>
    <t xml:space="preserve">On-time payment programme</t>
  </si>
  <si>
    <t xml:space="preserve">Shows how many on-time payments are left for the lower rate and the next due date</t>
  </si>
  <si>
    <t xml:space="preserve">Moment, Dial, PaymentDue</t>
  </si>
  <si>
    <t xml:space="preserve">Programme rules from the bank</t>
  </si>
  <si>
    <t xml:space="preserve">EN-01-008</t>
  </si>
  <si>
    <t xml:space="preserve">Avoid a fee</t>
  </si>
  <si>
    <t xml:space="preserve">Better way to pay</t>
  </si>
  <si>
    <t xml:space="preserve">Points out a fee that can be avoided, for example paying in local currency abroad or paying before the due date</t>
  </si>
  <si>
    <t xml:space="preserve">Moment, Answer</t>
  </si>
  <si>
    <t xml:space="preserve">Fee rules from the bank's tariff</t>
  </si>
  <si>
    <t xml:space="preserve">EN-01-009</t>
  </si>
  <si>
    <t xml:space="preserve">Notice a subscription price rise</t>
  </si>
  <si>
    <t xml:space="preserve">Repeat payment went up</t>
  </si>
  <si>
    <t xml:space="preserve">Points out a repeat payment that has gone up, with the old and new amounts</t>
  </si>
  <si>
    <t xml:space="preserve">Moment, TransactionRow, PriceLines</t>
  </si>
  <si>
    <t xml:space="preserve">Amounts from the transaction data</t>
  </si>
  <si>
    <t xml:space="preserve">EN-01-010</t>
  </si>
  <si>
    <t xml:space="preserve">Signs of money worries</t>
  </si>
  <si>
    <t xml:space="preserve">Shows a gentle, private note with help and a person to talk to, never an offer</t>
  </si>
  <si>
    <t xml:space="preserve">Moment, Handoff</t>
  </si>
  <si>
    <t xml:space="preserve">Signs of money worries switch off all promotions and spend nudges until the bank's team says otherwise; care notes do not count against the cap</t>
  </si>
  <si>
    <t xml:space="preserve">EN-01-011</t>
  </si>
  <si>
    <t xml:space="preserve">Get fewer sales notes when life is hard</t>
  </si>
  <si>
    <t xml:space="preserve">Signs of needing more care (bereavement, illness, confusion)</t>
  </si>
  <si>
    <t xml:space="preserve">Pauses sales notes, keeps service and security notes, and offers a person</t>
  </si>
  <si>
    <t xml:space="preserve">Flag to the bank's vulnerable-customer process only with consent; nothing sensitive stored</t>
  </si>
  <si>
    <t xml:space="preserve">EN-01-012</t>
  </si>
  <si>
    <t xml:space="preserve">Hear that a presale has opened</t>
  </si>
  <si>
    <t xml:space="preserve">Presale switch on</t>
  </si>
  <si>
    <t xml:space="preserve">Tells the customer a presale they asked about is open, with the time it ends</t>
  </si>
  <si>
    <t xml:space="preserve">Only with the switch on</t>
  </si>
  <si>
    <t xml:space="preserve">EN-01-013</t>
  </si>
  <si>
    <t xml:space="preserve">Get admin moments</t>
  </si>
  <si>
    <t xml:space="preserve">Business administrator</t>
  </si>
  <si>
    <t xml:space="preserve">Tells the administrator an employee card is near its limit</t>
  </si>
  <si>
    <t xml:space="preserve">Moment, TransactionRow</t>
  </si>
  <si>
    <t xml:space="preserve">EN-01-014</t>
  </si>
  <si>
    <t xml:space="preserve">Pay a bill that is due</t>
  </si>
  <si>
    <t xml:space="preserve">Payment due soon</t>
  </si>
  <si>
    <t xml:space="preserve">Note shows the amount and due date; the button pays the right amount after confirm</t>
  </si>
  <si>
    <t xml:space="preserve">Moment, PaymentDue, ConfirmSheet, Receipt</t>
  </si>
  <si>
    <t xml:space="preserve">Amounts from the bank; confirm needed</t>
  </si>
  <si>
    <t xml:space="preserve">EN-01-015</t>
  </si>
  <si>
    <t xml:space="preserve">Top up my automatic payment</t>
  </si>
  <si>
    <t xml:space="preserve">Automatic payment falls short</t>
  </si>
  <si>
    <t xml:space="preserve">Shows the gap and offers to raise the automatic payment</t>
  </si>
  <si>
    <t xml:space="preserve">Moment, PaymentDue, ConfirmSheet</t>
  </si>
  <si>
    <t xml:space="preserve">Amounts from the rules engine; change needs confirm</t>
  </si>
  <si>
    <t xml:space="preserve">EN-01-016</t>
  </si>
  <si>
    <t xml:space="preserve">Pay a charge card in full</t>
  </si>
  <si>
    <t xml:space="preserve">Reminds that the full statement is due, with date and amount</t>
  </si>
  <si>
    <t xml:space="preserve">Charge card: full statement amount, never a minimum</t>
  </si>
  <si>
    <t xml:space="preserve">EN-01-017</t>
  </si>
  <si>
    <t xml:space="preserve">Clear a 0% balance before it ends</t>
  </si>
  <si>
    <t xml:space="preserve">Promotional rate ending</t>
  </si>
  <si>
    <t xml:space="preserve">Shows the date the 0% ends and the monthly amount that clears it, and checks the automatic payment covers it</t>
  </si>
  <si>
    <t xml:space="preserve">Moment, PaymentDue, Button</t>
  </si>
  <si>
    <t xml:space="preserve">Amounts from the rules engine</t>
  </si>
  <si>
    <t xml:space="preserve">EN-01-018</t>
  </si>
  <si>
    <t xml:space="preserve">Get ready for a trip</t>
  </si>
  <si>
    <t xml:space="preserve">Notes the trip, what the card gives abroad, and what is still missing, such as a hotel</t>
  </si>
  <si>
    <t xml:space="preserve">Trip facts from the card payment; partner items only if eligible and live</t>
  </si>
  <si>
    <t xml:space="preserve">EN-01-019</t>
  </si>
  <si>
    <t xml:space="preserve">Plan my trip from a flight on my card</t>
  </si>
  <si>
    <t xml:space="preserve">Flight on the card</t>
  </si>
  <si>
    <t xml:space="preserve">Plan my Lisbon trip</t>
  </si>
  <si>
    <t xml:space="preserve">Builds a checklist: stay, airport ride, dinner, card tips abroad and a cover check, each with money back where it applies</t>
  </si>
  <si>
    <t xml:space="preserve">TripFolder, Steps, Rail</t>
  </si>
  <si>
    <t xml:space="preserve">Prices and money back from partner feeds; cover facts from the policy</t>
  </si>
  <si>
    <t xml:space="preserve">EN-01-020</t>
  </si>
  <si>
    <t xml:space="preserve">Trip in a few days</t>
  </si>
  <si>
    <t xml:space="preserve">Reminds the customer the card works abroad, the fee in other currencies, and any lounge or fast track included</t>
  </si>
  <si>
    <t xml:space="preserve">Fees from the bank's tariff; no need to tell the bank about travel where that is the bank's rule</t>
  </si>
  <si>
    <t xml:space="preserve">EN-01-021</t>
  </si>
  <si>
    <t xml:space="preserve">Use the lounge while I wait</t>
  </si>
  <si>
    <t xml:space="preserve">At the airport, location on</t>
  </si>
  <si>
    <t xml:space="preserve">At the airport, shows lounge visits left and the nearest lounge</t>
  </si>
  <si>
    <t xml:space="preserve">Moment, LoungePass, BenefitRow</t>
  </si>
  <si>
    <t xml:space="preserve">Location consent; only if the card has lounge access</t>
  </si>
  <si>
    <t xml:space="preserve">EN-01-022</t>
  </si>
  <si>
    <t xml:space="preserve">Check an unusual payment</t>
  </si>
  <si>
    <t xml:space="preserve">Security</t>
  </si>
  <si>
    <t xml:space="preserve">Flags an unusual payment and asks if it was them, with freeze one tap away</t>
  </si>
  <si>
    <t xml:space="preserve">Moment, TransactionRow, Button, Handoff</t>
  </si>
  <si>
    <t xml:space="preserve">Fraud rules from the bank; security notes skip quiet hours and the weekly cap</t>
  </si>
  <si>
    <t xml:space="preserve">EN-01-023</t>
  </si>
  <si>
    <t xml:space="preserve">Get notes at the right local time</t>
  </si>
  <si>
    <t xml:space="preserve">Travelling abroad</t>
  </si>
  <si>
    <t xml:space="preserve">Time zone</t>
  </si>
  <si>
    <t xml:space="preserve">(lands in Singapore)</t>
  </si>
  <si>
    <t xml:space="preserve">Uses local time for quiet hours so notes do not arrive at night abroad</t>
  </si>
  <si>
    <t xml:space="preserve">NEW: AlertSettings</t>
  </si>
  <si>
    <t xml:space="preserve">Quiet hours follow the phone's time zone</t>
  </si>
  <si>
    <t xml:space="preserve">EN-01-024</t>
  </si>
  <si>
    <t xml:space="preserve">Stop a note that is wrong</t>
  </si>
  <si>
    <t xml:space="preserve">Facts out of date</t>
  </si>
  <si>
    <t xml:space="preserve">Already acted on</t>
  </si>
  <si>
    <t xml:space="preserve">I've already paid that</t>
  </si>
  <si>
    <t xml:space="preserve">Re-checks, apologises, removes the note and logs the error</t>
  </si>
  <si>
    <t xml:space="preserve">Facts re-checked at show time and at tap</t>
  </si>
  <si>
    <t xml:space="preserve">EN-01-025</t>
  </si>
  <si>
    <t xml:space="preserve">Stop a note that does not fit</t>
  </si>
  <si>
    <t xml:space="preserve">Moment misjudged</t>
  </si>
  <si>
    <t xml:space="preserve">Wrong assumption</t>
  </si>
  <si>
    <t xml:space="preserve">I've already booked a hotel in Lisbon</t>
  </si>
  <si>
    <t xml:space="preserve">Removes the note, asks whether to remember that, and stops trip notes for that trip</t>
  </si>
  <si>
    <t xml:space="preserve">Toast, Chips</t>
  </si>
  <si>
    <t xml:space="preserve">The customer's word overrides the ranker</t>
  </si>
  <si>
    <t xml:space="preserve">EN-01-026</t>
  </si>
  <si>
    <t xml:space="preserve">See what the trip cost</t>
  </si>
  <si>
    <t xml:space="preserve">After the trip, shows total spent, fees paid, money back and rewards earned</t>
  </si>
  <si>
    <t xml:space="preserve">Moment, PriceLines</t>
  </si>
  <si>
    <t xml:space="preserve">Totals from the transaction data</t>
  </si>
  <si>
    <t xml:space="preserve">EN-01-027</t>
  </si>
  <si>
    <t xml:space="preserve">Hide a note for now</t>
  </si>
  <si>
    <t xml:space="preserve">(taps Not now)</t>
  </si>
  <si>
    <t xml:space="preserve">Moment, Toast</t>
  </si>
  <si>
    <t xml:space="preserve">Choice stored; the note returns only if the facts change</t>
  </si>
  <si>
    <t xml:space="preserve">EN-01-028</t>
  </si>
  <si>
    <t xml:space="preserve">Bring back a note I hid</t>
  </si>
  <si>
    <t xml:space="preserve">Show me that note about my voucher again</t>
  </si>
  <si>
    <t xml:space="preserve">Brings the note back into the conversation</t>
  </si>
  <si>
    <t xml:space="preserve">Hidden notes kept until they expire</t>
  </si>
  <si>
    <t xml:space="preserve">EN-01-029</t>
  </si>
  <si>
    <t xml:space="preserve">Unfreeze a card I forgot about</t>
  </si>
  <si>
    <t xml:space="preserve">Card still frozen</t>
  </si>
  <si>
    <t xml:space="preserve">Reminds the customer the card is still frozen and offers to unfreeze</t>
  </si>
  <si>
    <t xml:space="preserve">Moment, Toggle, ConfirmSheet</t>
  </si>
  <si>
    <t xml:space="preserve">Unfreeze needs confirm</t>
  </si>
  <si>
    <t xml:space="preserve">EN-01-030</t>
  </si>
  <si>
    <t xml:space="preserve">Update payments before my card expires</t>
  </si>
  <si>
    <t xml:space="preserve">Card expiring</t>
  </si>
  <si>
    <t xml:space="preserve">Lists repeat payments to update with the new card</t>
  </si>
  <si>
    <t xml:space="preserve">Repeat payments from the transaction data</t>
  </si>
  <si>
    <t xml:space="preserve">EN-01-031</t>
  </si>
  <si>
    <t xml:space="preserve">Stop suggestions</t>
  </si>
  <si>
    <t xml:space="preserve">Stop showing me suggestions</t>
  </si>
  <si>
    <t xml:space="preserve">Turns off spending-based notes; Gratifi then answers questions only</t>
  </si>
  <si>
    <t xml:space="preserve">Service and security notes stay on</t>
  </si>
  <si>
    <t xml:space="preserve">EN-02-001</t>
  </si>
  <si>
    <t xml:space="preserve">Get a helpful alert suggested</t>
  </si>
  <si>
    <t xml:space="preserve">After a near miss on a payment</t>
  </si>
  <si>
    <t xml:space="preserve">Gently offers a payment due reminder after a payment was almost late</t>
  </si>
  <si>
    <t xml:space="preserve">Moment, Toggle</t>
  </si>
  <si>
    <t xml:space="preserve">Service suggestion only; once; no pressure</t>
  </si>
  <si>
    <t xml:space="preserve">EN-02-002</t>
  </si>
  <si>
    <t xml:space="preserve">Approve a payment from a push</t>
  </si>
  <si>
    <t xml:space="preserve">(taps Yes on "£24.00 to Northway Air. Is this you?")</t>
  </si>
  <si>
    <t xml:space="preserve">Confirms the payment after the customer approves; if No, declines it and offers freeze and the fraud team</t>
  </si>
  <si>
    <t xml:space="preserve">Approvals skip quiet hours and the weekly cap</t>
  </si>
  <si>
    <t xml:space="preserve">EN-02-003</t>
  </si>
  <si>
    <t xml:space="preserve">(taps a push note)</t>
  </si>
  <si>
    <t xml:space="preserve">Answer, Moment</t>
  </si>
  <si>
    <t xml:space="preserve">Lock-screen text never shows balances unless the customer allows it</t>
  </si>
  <si>
    <t xml:space="preserve">EN-02-004</t>
  </si>
  <si>
    <t xml:space="preserve">Open a link from my bank</t>
  </si>
  <si>
    <t xml:space="preserve">Bank email or text</t>
  </si>
  <si>
    <t xml:space="preserve">(opens a link in a bank email)</t>
  </si>
  <si>
    <t xml:space="preserve">Opens a conversation on the set topic</t>
  </si>
  <si>
    <t xml:space="preserve">Messages never carry a login link</t>
  </si>
  <si>
    <t xml:space="preserve">EN-02-005</t>
  </si>
  <si>
    <t xml:space="preserve">Get notifications abroad</t>
  </si>
  <si>
    <t xml:space="preserve">Different time zone</t>
  </si>
  <si>
    <t xml:space="preserve">(travelling)</t>
  </si>
  <si>
    <t xml:space="preserve">Applies quiet hours in local time</t>
  </si>
  <si>
    <t xml:space="preserve">EN-02-006</t>
  </si>
  <si>
    <t xml:space="preserve">Get an alert I am missing</t>
  </si>
  <si>
    <t xml:space="preserve">Alert not received</t>
  </si>
  <si>
    <t xml:space="preserve">Alert did not arrive</t>
  </si>
  <si>
    <t xml:space="preserve">I never got my payment due alert</t>
  </si>
  <si>
    <t xml:space="preserve">Checks the alert settings and contact details and says what it found</t>
  </si>
  <si>
    <t xml:space="preserve">NEW: AlertSettings, StateCard</t>
  </si>
  <si>
    <t xml:space="preserve">Delivery log from the bank</t>
  </si>
  <si>
    <t xml:space="preserve">EN-02-007</t>
  </si>
  <si>
    <t xml:space="preserve">Stop marketing messages</t>
  </si>
  <si>
    <t xml:space="preserve">Consent withdrawn</t>
  </si>
  <si>
    <t xml:space="preserve">Still getting them</t>
  </si>
  <si>
    <t xml:space="preserve">I turned off offers and I'm still getting them</t>
  </si>
  <si>
    <t xml:space="preserve">Checks the settings, apologises, fixes it, and records a complaint if the customer wants</t>
  </si>
  <si>
    <t xml:space="preserve">Withdrawal applies at once; breaches reported to the bank</t>
  </si>
  <si>
    <t xml:space="preserve">Consent rules: UK GDPR and PECR, EU GDPR, India DPDP Act, Singapore PDPA, Malaysia PDPA, UAE PDPL; SG: Do Not Call registry applies to marketing messages (to confirm)</t>
  </si>
  <si>
    <t xml:space="preserve">EN-02-008</t>
  </si>
  <si>
    <t xml:space="preserve">Check if a message is really from my bank</t>
  </si>
  <si>
    <t xml:space="preserve">Suspicious text</t>
  </si>
  <si>
    <t xml:space="preserve">Possible scam</t>
  </si>
  <si>
    <t xml:space="preserve">I got a text saying my card is blocked with a link</t>
  </si>
  <si>
    <t xml:space="preserve">Checks against the bank's rules (never asks for PIN or login details, no login links) and, if details were shared, freezes the card and connects to the fraud team</t>
  </si>
  <si>
    <t xml:space="preserve">Fraud goes to a person straight away</t>
  </si>
  <si>
    <t xml:space="preserve">EN-02-009</t>
  </si>
  <si>
    <t xml:space="preserve">Set up an alert</t>
  </si>
  <si>
    <t xml:space="preserve">One of the free alerts</t>
  </si>
  <si>
    <t xml:space="preserve">Send me my balance every Monday</t>
  </si>
  <si>
    <t xml:space="preserve">Creates the weekly balance alert and shows the setting to confirm</t>
  </si>
  <si>
    <t xml:space="preserve">NEW: AlertSettings, Toast</t>
  </si>
  <si>
    <t xml:space="preserve">Alerts run on the bank's system</t>
  </si>
  <si>
    <t xml:space="preserve">EN-02-010</t>
  </si>
  <si>
    <t xml:space="preserve">Payment, statement or due date</t>
  </si>
  <si>
    <t xml:space="preserve">Tell me when my statement is ready and when payment is due</t>
  </si>
  <si>
    <t xml:space="preserve">Turns on the statement ready and payment due alerts and shows them</t>
  </si>
  <si>
    <t xml:space="preserve">NEW: AlertSettings, Toggle</t>
  </si>
  <si>
    <t xml:space="preserve">Alert list from the bank</t>
  </si>
  <si>
    <t xml:space="preserve">EN-02-011</t>
  </si>
  <si>
    <t xml:space="preserve">Set an alert by talking</t>
  </si>
  <si>
    <t xml:space="preserve">Spend limit</t>
  </si>
  <si>
    <t xml:space="preserve">Creates the monthly spend alert and shows the setting</t>
  </si>
  <si>
    <t xml:space="preserve">Thresholds stored by the bank</t>
  </si>
  <si>
    <t xml:space="preserve">EN-02-012</t>
  </si>
  <si>
    <t xml:space="preserve">Choose how alerts reach me</t>
  </si>
  <si>
    <t xml:space="preserve">Channel</t>
  </si>
  <si>
    <t xml:space="preserve">Send alerts by text and email</t>
  </si>
  <si>
    <t xml:space="preserve">Changes the channel for each alert</t>
  </si>
  <si>
    <t xml:space="preserve">NEW: AlertSettings, Segmented</t>
  </si>
  <si>
    <t xml:space="preserve">Contact details from the bank</t>
  </si>
  <si>
    <t xml:space="preserve">IN: SMS alerts for card payments required by RBI (to confirm)</t>
  </si>
  <si>
    <t xml:space="preserve">EN-02-013</t>
  </si>
  <si>
    <t xml:space="preserve">Turn off an alert</t>
  </si>
  <si>
    <t xml:space="preserve">Stop the statement ready emails</t>
  </si>
  <si>
    <t xml:space="preserve">Turns it off and explains that always-on alerts stay</t>
  </si>
  <si>
    <t xml:space="preserve">Always-on list set by the bank</t>
  </si>
  <si>
    <t xml:space="preserve">EN-02-014</t>
  </si>
  <si>
    <t xml:space="preserve">Required alert</t>
  </si>
  <si>
    <t xml:space="preserve">Cannot be turned off</t>
  </si>
  <si>
    <t xml:space="preserve">Stop telling me I'm near my limit</t>
  </si>
  <si>
    <t xml:space="preserve">Explains this one stays on because the bank must send it, and offers to change the channel</t>
  </si>
  <si>
    <t xml:space="preserve">StateCard, NEW: AlertSettings</t>
  </si>
  <si>
    <t xml:space="preserve">Always-on alerts: near or over limit, account changes, promotion ending, automatic payment amount</t>
  </si>
  <si>
    <t xml:space="preserve">Required alerts differ per market (to confirm)</t>
  </si>
  <si>
    <t xml:space="preserve">EN-02-015</t>
  </si>
  <si>
    <t xml:space="preserve">Set quiet hours</t>
  </si>
  <si>
    <t xml:space="preserve">No notifications after 10pm</t>
  </si>
  <si>
    <t xml:space="preserve">Sets quiet hours and says fraud checks and payment approvals still come through</t>
  </si>
  <si>
    <t xml:space="preserve">No notes overnight except fraud and approvals</t>
  </si>
  <si>
    <t xml:space="preserve">EN-02-016</t>
  </si>
  <si>
    <t xml:space="preserve">Choose which moments can push</t>
  </si>
  <si>
    <t xml:space="preserve">Consent</t>
  </si>
  <si>
    <t xml:space="preserve">Only notify me about payments and fraud</t>
  </si>
  <si>
    <t xml:space="preserve">Sets push to service and security only, with marketing off</t>
  </si>
  <si>
    <t xml:space="preserve">Push only for moments the customer allowed; consent recorded with date; applies at once</t>
  </si>
  <si>
    <t xml:space="preserve">EN-02-017</t>
  </si>
  <si>
    <t xml:space="preserve">Get fewer notifications</t>
  </si>
  <si>
    <t xml:space="preserve">You're messaging me too much</t>
  </si>
  <si>
    <t xml:space="preserve">Lowers the weekly number, explains what will still come, and offers to pick topics</t>
  </si>
  <si>
    <t xml:space="preserve">NEW: AlertSettings, Stepper</t>
  </si>
  <si>
    <t xml:space="preserve">Bank cap is the maximum and the customer can set lower; care and security notes do not count</t>
  </si>
  <si>
    <t xml:space="preserve">EN-02-018</t>
  </si>
  <si>
    <t xml:space="preserve">See what I have agreed to</t>
  </si>
  <si>
    <t xml:space="preserve">Consent record</t>
  </si>
  <si>
    <t xml:space="preserve">What have I said you can send me?</t>
  </si>
  <si>
    <t xml:space="preserve">Lists each consent with its date and a switch</t>
  </si>
  <si>
    <t xml:space="preserve">Consent history held by the bank</t>
  </si>
  <si>
    <t xml:space="preserve">EN-02-019</t>
  </si>
  <si>
    <t xml:space="preserve">Get alerts about a presale</t>
  </si>
  <si>
    <t xml:space="preserve">Presale switch</t>
  </si>
  <si>
    <t xml:space="preserve">Tell me when a presale opens</t>
  </si>
  <si>
    <t xml:space="preserve">Turns on presale alerts for that artist or festival</t>
  </si>
  <si>
    <t xml:space="preserve">Presale dates from the programme feed</t>
  </si>
  <si>
    <t xml:space="preserve">EN-02-020</t>
  </si>
  <si>
    <t xml:space="preserve">Get alerts in my language</t>
  </si>
  <si>
    <t xml:space="preserve">(in Arabic) Send my alerts in Arabic</t>
  </si>
  <si>
    <t xml:space="preserve">Switches alert wording to Arabic</t>
  </si>
  <si>
    <t xml:space="preserve">NEW: AlertSettings, ArabicScreens</t>
  </si>
  <si>
    <t xml:space="preserve">Approved Arabic templates</t>
  </si>
  <si>
    <t xml:space="preserve">EN-02-021</t>
  </si>
  <si>
    <t xml:space="preserve">Set alerts for an additional cardholder</t>
  </si>
  <si>
    <t xml:space="preserve">Tell me when Alex spends over £100</t>
  </si>
  <si>
    <t xml:space="preserve">Sets the alert if the bank allows it and tells the cardholder alerts are on</t>
  </si>
  <si>
    <t xml:space="preserve">Bank rules on additional cardholders; the cardholder is told</t>
  </si>
  <si>
    <t xml:space="preserve">EN-02-022</t>
  </si>
  <si>
    <t xml:space="preserve">Set alerts for employee cards</t>
  </si>
  <si>
    <t xml:space="preserve">Alert me when any employee spends over £1,000</t>
  </si>
  <si>
    <t xml:space="preserve">Sets the alert across employee cards</t>
  </si>
  <si>
    <t xml:space="preserve">EN-02-023</t>
  </si>
  <si>
    <t xml:space="preserve">Update where alerts go</t>
  </si>
  <si>
    <t xml:space="preserve">New phone number</t>
  </si>
  <si>
    <t xml:space="preserve">I've changed my number</t>
  </si>
  <si>
    <t xml:space="preserve">Explains the bank's secure way to change contact details and starts it</t>
  </si>
  <si>
    <t xml:space="preserve">Handoff, Button</t>
  </si>
  <si>
    <t xml:space="preserve">Contact changes made by the bank with extra checks</t>
  </si>
  <si>
    <t xml:space="preserve">EN-03-001</t>
  </si>
  <si>
    <t xml:space="preserve">See challenges I can join</t>
  </si>
  <si>
    <t xml:space="preserve">Are there any challenges?</t>
  </si>
  <si>
    <t xml:space="preserve">Shows the bank's live challenges that fit this customer, each with the reward and rules</t>
  </si>
  <si>
    <t xml:space="preserve">Rail, NEW: ChallengeCard</t>
  </si>
  <si>
    <t xml:space="preserve">Only bank-approved challenges; eligibility from the bank</t>
  </si>
  <si>
    <t xml:space="preserve">EN-03-002</t>
  </si>
  <si>
    <t xml:space="preserve">Any challenges?</t>
  </si>
  <si>
    <t xml:space="preserve">Offers only non-spending challenges, such as setting up an automatic payment, and mentions help is there</t>
  </si>
  <si>
    <t xml:space="preserve">NEW: ChallengeCard, Handoff</t>
  </si>
  <si>
    <t xml:space="preserve">Signs of money worries switch off all promotions and spend nudges until the bank's team says otherwise; spend challenges hidden</t>
  </si>
  <si>
    <t xml:space="preserve">EN-03-003</t>
  </si>
  <si>
    <t xml:space="preserve">Build a good money habit</t>
  </si>
  <si>
    <t xml:space="preserve">Behaviour, not spending</t>
  </si>
  <si>
    <t xml:space="preserve">Give me a challenge to pay my card on time</t>
  </si>
  <si>
    <t xml:space="preserve">Sets up an on-time payment challenge with a reward from the bank</t>
  </si>
  <si>
    <t xml:space="preserve">NEW: ChallengeCard, NEW: StreakTracker</t>
  </si>
  <si>
    <t xml:space="preserve">Behaviour challenges preferred; no challenge rewards borrowing</t>
  </si>
  <si>
    <t xml:space="preserve">EN-03-004</t>
  </si>
  <si>
    <t xml:space="preserve">Join a milestone campaign</t>
  </si>
  <si>
    <t xml:space="preserve">Spend milestone from the bank</t>
  </si>
  <si>
    <t xml:space="preserve">What do I get if I spend £3,000 this quarter?</t>
  </si>
  <si>
    <t xml:space="preserve">Shows the bank's milestone, progress and reward as facts</t>
  </si>
  <si>
    <t xml:space="preserve">Dial, NEW: ChallengeCard</t>
  </si>
  <si>
    <t xml:space="preserve">Campaign rules from the bank; no "spend to earn" wording</t>
  </si>
  <si>
    <t xml:space="preserve">IN: milestone campaigns live on some banks' programmes</t>
  </si>
  <si>
    <t xml:space="preserve">EN-03-005</t>
  </si>
  <si>
    <t xml:space="preserve">Enter a prize draw</t>
  </si>
  <si>
    <t xml:space="preserve">Chance-based prize</t>
  </si>
  <si>
    <t xml:space="preserve">Enter me in the monthly draw</t>
  </si>
  <si>
    <t xml:space="preserve">Enters the customer if eligible, shows the terms and any free entry route</t>
  </si>
  <si>
    <t xml:space="preserve">NEW: ChallengeCard, ConfirmSheet</t>
  </si>
  <si>
    <t xml:space="preserve">Prize promotion rules per market; legal sign-off before launch</t>
  </si>
  <si>
    <t xml:space="preserve">Prize draws need permits or are restricted in some markets (IN, AE, MY to confirm); chance-based prizes may not suit Islamic banking products (to confirm)</t>
  </si>
  <si>
    <t xml:space="preserve">EN-03-006</t>
  </si>
  <si>
    <t xml:space="preserve">Hear about a challenge that fits me</t>
  </si>
  <si>
    <t xml:space="preserve">Matches a habit</t>
  </si>
  <si>
    <t xml:space="preserve">Invites the customer to one challenge that fits a habit they already have</t>
  </si>
  <si>
    <t xml:space="preserve">Moment, NEW: ChallengeCard</t>
  </si>
  <si>
    <t xml:space="preserve">One note at a time; ranked by money at stake and deadline; facts re-checked before showing; suggestions switch on; weekly cap and quiet hours apply; never spend challenges for customers showing signs of money worries</t>
  </si>
  <si>
    <t xml:space="preserve">EN-03-007</t>
  </si>
  <si>
    <t xml:space="preserve">Compare how I am doing with others</t>
  </si>
  <si>
    <t xml:space="preserve">Wants a comparison</t>
  </si>
  <si>
    <t xml:space="preserve">How am I doing against other people?</t>
  </si>
  <si>
    <t xml:space="preserve">Shows only anonymous, grouped comparisons if the bank allows, never names or amounts of other people</t>
  </si>
  <si>
    <t xml:space="preserve">No personal data about others; opt-in</t>
  </si>
  <si>
    <t xml:space="preserve">EN-03-008</t>
  </si>
  <si>
    <t xml:space="preserve">Get my challenge reward</t>
  </si>
  <si>
    <t xml:space="preserve">Completed</t>
  </si>
  <si>
    <t xml:space="preserve">Confirms the challenge is done and shows the reward credited</t>
  </si>
  <si>
    <t xml:space="preserve">Moment, CheckPop, Receipt</t>
  </si>
  <si>
    <t xml:space="preserve">Reward amount from the bank's campaign rules</t>
  </si>
  <si>
    <t xml:space="preserve">EN-03-009</t>
  </si>
  <si>
    <t xml:space="preserve">See my progress</t>
  </si>
  <si>
    <t xml:space="preserve">How's my challenge going?</t>
  </si>
  <si>
    <t xml:space="preserve">Shows progress, days left and the reward</t>
  </si>
  <si>
    <t xml:space="preserve">NEW: StreakTracker, Dial</t>
  </si>
  <si>
    <t xml:space="preserve">Progress from bank data</t>
  </si>
  <si>
    <t xml:space="preserve">EN-03-010</t>
  </si>
  <si>
    <t xml:space="preserve">Do a challenge with family</t>
  </si>
  <si>
    <t xml:space="preserve">Can my wife and I do the challenge together?</t>
  </si>
  <si>
    <t xml:space="preserve">Joins both cardholders if the bank allows it, each seeing only their own spending</t>
  </si>
  <si>
    <t xml:space="preserve">NEW: ChallengeCard, AvatarStack</t>
  </si>
  <si>
    <t xml:space="preserve">Additional cardholder data rules from the bank</t>
  </si>
  <si>
    <t xml:space="preserve">EN-03-011</t>
  </si>
  <si>
    <t xml:space="preserve">Know my challenge is nearly over</t>
  </si>
  <si>
    <t xml:space="preserve">Deadline close</t>
  </si>
  <si>
    <t xml:space="preserve">Reminds how much is left and the end date, without urging extra spending</t>
  </si>
  <si>
    <t xml:space="preserve">Moment, NEW: StreakTracker</t>
  </si>
  <si>
    <t xml:space="preserve">No "spend to earn" wording; One note at a time; ranked by money at stake and deadline; facts re-checked before showing; suggestions switch on; weekly cap and quiet hours apply</t>
  </si>
  <si>
    <t xml:space="preserve">EN-03-012</t>
  </si>
  <si>
    <t xml:space="preserve">Reward not credited</t>
  </si>
  <si>
    <t xml:space="preserve">Missing reward</t>
  </si>
  <si>
    <t xml:space="preserve">I finished the challenge but got nothing</t>
  </si>
  <si>
    <t xml:space="preserve">Checks completion against the rules and raises it with the bank if it qualified</t>
  </si>
  <si>
    <t xml:space="preserve">NEW: ChallengeCard, NEW: ClaimTracker</t>
  </si>
  <si>
    <t xml:space="preserve">EN-03-013</t>
  </si>
  <si>
    <t xml:space="preserve">Keep my streak</t>
  </si>
  <si>
    <t xml:space="preserve">Missed a step</t>
  </si>
  <si>
    <t xml:space="preserve">Streak broken</t>
  </si>
  <si>
    <t xml:space="preserve">I missed a day, have I lost my streak?</t>
  </si>
  <si>
    <t xml:space="preserve">Says what happened and whether the rules allow a grace step</t>
  </si>
  <si>
    <t xml:space="preserve">NEW: StreakTracker, StateCard</t>
  </si>
  <si>
    <t xml:space="preserve">Grace rules set by the bank, never by the model</t>
  </si>
  <si>
    <t xml:space="preserve">EN-03-014</t>
  </si>
  <si>
    <t xml:space="preserve">Progress reduced</t>
  </si>
  <si>
    <t xml:space="preserve">Why has my progress gone backwards?</t>
  </si>
  <si>
    <t xml:space="preserve">Explains a refund took a qualifying payment off the progress</t>
  </si>
  <si>
    <t xml:space="preserve">NEW: StreakTracker, TransactionRow</t>
  </si>
  <si>
    <t xml:space="preserve">Campaign rules from the bank</t>
  </si>
  <si>
    <t xml:space="preserve">EN-03-015</t>
  </si>
  <si>
    <t xml:space="preserve">Dispute a challenge result</t>
  </si>
  <si>
    <t xml:space="preserve">Disagrees with the rules applied</t>
  </si>
  <si>
    <t xml:space="preserve">Result disputed</t>
  </si>
  <si>
    <t xml:space="preserve">That payment should have counted</t>
  </si>
  <si>
    <t xml:space="preserve">Shows the rule and the payment, and hands to the team if the customer still disagrees</t>
  </si>
  <si>
    <t xml:space="preserve">The bank decides; Gratifi never argues</t>
  </si>
  <si>
    <t xml:space="preserve">EN-03-016</t>
  </si>
  <si>
    <t xml:space="preserve">Understand why a challenge ended early</t>
  </si>
  <si>
    <t xml:space="preserve">Bank withdrew the challenge</t>
  </si>
  <si>
    <t xml:space="preserve">Campaign cancelled</t>
  </si>
  <si>
    <t xml:space="preserve">Where's my challenge gone?</t>
  </si>
  <si>
    <t xml:space="preserve">Explains the challenge ended and what the terms say about rewards already earned</t>
  </si>
  <si>
    <t xml:space="preserve">StateCard, NEW: ChallengeCard</t>
  </si>
  <si>
    <t xml:space="preserve">Terms from the bank</t>
  </si>
  <si>
    <t xml:space="preserve">EN-03-017</t>
  </si>
  <si>
    <t xml:space="preserve">Join a challenge</t>
  </si>
  <si>
    <t xml:space="preserve">Join the pay-in-full challenge</t>
  </si>
  <si>
    <t xml:space="preserve">Joins after the customer agrees to the terms and shows the first step</t>
  </si>
  <si>
    <t xml:space="preserve">Opt-in recorded</t>
  </si>
  <si>
    <t xml:space="preserve">EN-03-018</t>
  </si>
  <si>
    <t xml:space="preserve">Leave a challenge</t>
  </si>
  <si>
    <t xml:space="preserve">Take me out of the challenge</t>
  </si>
  <si>
    <t xml:space="preserve">Leaves straight away and says what happens to progress</t>
  </si>
  <si>
    <t xml:space="preserve">Leaving is always allowed</t>
  </si>
  <si>
    <t xml:space="preserve">EN-04-001</t>
  </si>
  <si>
    <t xml:space="preserve">Get started with Gratifi</t>
  </si>
  <si>
    <t xml:space="preserve">Greets by first name, says in one line what it can do and that it will not spend anything without asking, and shows suggested questions for this card</t>
  </si>
  <si>
    <t xml:space="preserve">Answer, Suggestions, AskBar</t>
  </si>
  <si>
    <t xml:space="preserve">Suggested questions chosen for this card; "Gratifi, an AI assistant" label shown</t>
  </si>
  <si>
    <t xml:space="preserve">EN-04-002</t>
  </si>
  <si>
    <t xml:space="preserve">I'm not good with phones</t>
  </si>
  <si>
    <t xml:space="preserve">Slows down, uses short sentences, shows one thing at a time and offers a person</t>
  </si>
  <si>
    <t xml:space="preserve">Never pushes an action</t>
  </si>
  <si>
    <t xml:space="preserve">EN-04-003</t>
  </si>
  <si>
    <t xml:space="preserve">Voice</t>
  </si>
  <si>
    <t xml:space="preserve">(holds the microphone) What can you do?</t>
  </si>
  <si>
    <t xml:space="preserve">Shows the words live, confirms what it heard, then answers</t>
  </si>
  <si>
    <t xml:space="preserve">AskBar, YouSaid, Answer</t>
  </si>
  <si>
    <t xml:space="preserve">Voice in English first; other languages later (to confirm)</t>
  </si>
  <si>
    <t xml:space="preserve">EN-04-004</t>
  </si>
  <si>
    <t xml:space="preserve">Understand how Gratifi works</t>
  </si>
  <si>
    <t xml:space="preserve">Unsure about AI</t>
  </si>
  <si>
    <t xml:space="preserve">Are you a real person?</t>
  </si>
  <si>
    <t xml:space="preserve">Says it is an AI assistant, that numbers come from the account and it only chooses the words, and how to reach a person</t>
  </si>
  <si>
    <t xml:space="preserve">Always says it is AI</t>
  </si>
  <si>
    <t xml:space="preserve">EU: AI Act transparency rules (to confirm)</t>
  </si>
  <si>
    <t xml:space="preserve">EN-04-005</t>
  </si>
  <si>
    <t xml:space="preserve">See what Gratifi knows about me</t>
  </si>
  <si>
    <t xml:space="preserve">Shows the data Gratifi uses in plain words and the memory list</t>
  </si>
  <si>
    <t xml:space="preserve">NEW: MemoryList, Answer</t>
  </si>
  <si>
    <t xml:space="preserve">Each item shows its source</t>
  </si>
  <si>
    <t xml:space="preserve">EN-04-006</t>
  </si>
  <si>
    <t xml:space="preserve">Learn what my card gives me</t>
  </si>
  <si>
    <t xml:space="preserve">New cardholder</t>
  </si>
  <si>
    <t xml:space="preserve">I've just got my card, what should I know?</t>
  </si>
  <si>
    <t xml:space="preserve">Gives a short tour: the top three benefits, the welcome bonus if any, and how to pay</t>
  </si>
  <si>
    <t xml:space="preserve">BenefitRow, Dial, Suggestions</t>
  </si>
  <si>
    <t xml:space="preserve">Items from the catalogue; no "spend to earn" wording</t>
  </si>
  <si>
    <t xml:space="preserve">EN-04-007</t>
  </si>
  <si>
    <t xml:space="preserve">Get started as an additional cardholder</t>
  </si>
  <si>
    <t xml:space="preserve">My husband added me, what can I do here?</t>
  </si>
  <si>
    <t xml:space="preserve">Shows what they can do: their own spending, their card controls and the benefits that apply to them</t>
  </si>
  <si>
    <t xml:space="preserve">Never the main cardholder's balance unless the bank allows it</t>
  </si>
  <si>
    <t xml:space="preserve">EN-04-008</t>
  </si>
  <si>
    <t xml:space="preserve">Get started as a business administrator</t>
  </si>
  <si>
    <t xml:space="preserve">What can I do for my team here?</t>
  </si>
  <si>
    <t xml:space="preserve">Shows the admin tools: employee cards, controls, exports and business benefits</t>
  </si>
  <si>
    <t xml:space="preserve">Administrator rights from the bank</t>
  </si>
  <si>
    <t xml:space="preserve">EN-04-009</t>
  </si>
  <si>
    <t xml:space="preserve">Make my first redemption</t>
  </si>
  <si>
    <t xml:space="preserve">Has points</t>
  </si>
  <si>
    <t xml:space="preserve">What can I get with my points right now?</t>
  </si>
  <si>
    <t xml:space="preserve">Shows three easy options the balance covers, such as a gift card, with the points price</t>
  </si>
  <si>
    <t xml:space="preserve">Rail, GiftCardTile, Dial</t>
  </si>
  <si>
    <t xml:space="preserve">Prices from the catalogue; balance from the bank</t>
  </si>
  <si>
    <t xml:space="preserve">EN-04-010</t>
  </si>
  <si>
    <t xml:space="preserve">Get me the £20 voucher with points</t>
  </si>
  <si>
    <t xml:space="preserve">Confirms the points, issues the voucher and shows what is left</t>
  </si>
  <si>
    <t xml:space="preserve">Points value from the bank; confirm shows the amount</t>
  </si>
  <si>
    <t xml:space="preserve">EN-04-011</t>
  </si>
  <si>
    <t xml:space="preserve">Get my first-use reward</t>
  </si>
  <si>
    <t xml:space="preserve">Bank-funded welcome reward</t>
  </si>
  <si>
    <t xml:space="preserve">Tells the customer about a first-use reward the bank offers and credits it once earned</t>
  </si>
  <si>
    <t xml:space="preserve">Only if the bank runs one; terms from the bank</t>
  </si>
  <si>
    <t xml:space="preserve">EN-04-012</t>
  </si>
  <si>
    <t xml:space="preserve">Not offered on this card</t>
  </si>
  <si>
    <t xml:space="preserve">Why can't I see Gratifi?</t>
  </si>
  <si>
    <t xml:space="preserve">Explains which cards have it and how to ask the bank</t>
  </si>
  <si>
    <t xml:space="preserve">Availability set by the bank</t>
  </si>
  <si>
    <t xml:space="preserve">EN-04-013</t>
  </si>
  <si>
    <t xml:space="preserve">Pick up where I left off</t>
  </si>
  <si>
    <t xml:space="preserve">Set-up interrupted</t>
  </si>
  <si>
    <t xml:space="preserve">Left halfway</t>
  </si>
  <si>
    <t xml:space="preserve">(returns the next day)</t>
  </si>
  <si>
    <t xml:space="preserve">Picks up at the next step without repeating the start</t>
  </si>
  <si>
    <t xml:space="preserve">Progress stored for the session period the bank sets</t>
  </si>
  <si>
    <t xml:space="preserve">EN-04-014</t>
  </si>
  <si>
    <t xml:space="preserve">Few points</t>
  </si>
  <si>
    <t xml:space="preserve">Can I use my points yet?</t>
  </si>
  <si>
    <t xml:space="preserve">Says how many they have, what is closest, and how they build up from normal spending</t>
  </si>
  <si>
    <t xml:space="preserve">No "spend to earn" push</t>
  </si>
  <si>
    <t xml:space="preserve">EN-04-015</t>
  </si>
  <si>
    <t xml:space="preserve">Supplier fails</t>
  </si>
  <si>
    <t xml:space="preserve">(confirms the voucher)</t>
  </si>
  <si>
    <t xml:space="preserve">Says the voucher did not issue, that the points were not taken or have been returned, and offers another</t>
  </si>
  <si>
    <t xml:space="preserve">Points returned automatically if issue fails</t>
  </si>
  <si>
    <t xml:space="preserve">EN-04-016</t>
  </si>
  <si>
    <t xml:space="preserve">Choose my settings at the start</t>
  </si>
  <si>
    <t xml:space="preserve">(first open)</t>
  </si>
  <si>
    <t xml:space="preserve">Asks two optional questions: suggestions based on spending on or off, and which notifications</t>
  </si>
  <si>
    <t xml:space="preserve">Toggle, NEW: ConsentSheet</t>
  </si>
  <si>
    <t xml:space="preserve">Nothing that needs consent is on by default; choices recorded</t>
  </si>
  <si>
    <t xml:space="preserve">Consent rules: UK GDPR and PECR, EU GDPR, India DPDP Act, Singapore PDPA, Malaysia PDPA, UAE PDPL; IN: DPDP notice language rules (to confirm)</t>
  </si>
  <si>
    <t xml:space="preserve">EN-04-017</t>
  </si>
  <si>
    <t xml:space="preserve">Tell Gratifi my preferences</t>
  </si>
  <si>
    <t xml:space="preserve">I like small hotels and window seats</t>
  </si>
  <si>
    <t xml:space="preserve">Offers to remember them and shows what was saved</t>
  </si>
  <si>
    <t xml:space="preserve">Saved only with the customer's yes</t>
  </si>
  <si>
    <t xml:space="preserve">EN-04-018</t>
  </si>
  <si>
    <t xml:space="preserve">Link my loyalty accounts</t>
  </si>
  <si>
    <t xml:space="preserve">Frequent flyer or hotel numbers</t>
  </si>
  <si>
    <t xml:space="preserve">Saves it for bookings and earning</t>
  </si>
  <si>
    <t xml:space="preserve">EN-04-019</t>
  </si>
  <si>
    <t xml:space="preserve">Choose my language</t>
  </si>
  <si>
    <t xml:space="preserve">Can we talk in Arabic?</t>
  </si>
  <si>
    <t xml:space="preserve">Switches to Arabic with right-to-left layout</t>
  </si>
  <si>
    <t xml:space="preserve">ArabicScreens</t>
  </si>
  <si>
    <t xml:space="preserve">Arabic content reviewed</t>
  </si>
  <si>
    <t xml:space="preserve">EN-04-020</t>
  </si>
  <si>
    <t xml:space="preserve">Make Gratifi easier to use</t>
  </si>
  <si>
    <t xml:space="preserve">Can you read answers out loud?</t>
  </si>
  <si>
    <t xml:space="preserve">Turns on read aloud and follows the phone's larger text setting</t>
  </si>
  <si>
    <t xml:space="preserve">Toggle, Segmented</t>
  </si>
  <si>
    <t xml:space="preserve">Follows phone settings</t>
  </si>
  <si>
    <t xml:space="preserve">EN-04-021</t>
  </si>
  <si>
    <t xml:space="preserve">I don't want this</t>
  </si>
  <si>
    <t xml:space="preserve">Explains what turning off does and turns it off; the app works as before</t>
  </si>
  <si>
    <t xml:space="preserve">Off hides the ask bar and notes</t>
  </si>
  <si>
    <t xml:space="preserve">EN-05-001</t>
  </si>
  <si>
    <t xml:space="preserve">Refer a friend</t>
  </si>
  <si>
    <t xml:space="preserve">Can I refer a friend?</t>
  </si>
  <si>
    <t xml:space="preserve">Explains the bank's referral reward and terms and makes a personal link</t>
  </si>
  <si>
    <t xml:space="preserve">NEW: ReferralCard, SendTo</t>
  </si>
  <si>
    <t xml:space="preserve">Only if the bank runs referrals; terms from the bank</t>
  </si>
  <si>
    <t xml:space="preserve">EN-05-002</t>
  </si>
  <si>
    <t xml:space="preserve">Can I refer another business?</t>
  </si>
  <si>
    <t xml:space="preserve">Explains the business referral terms if the bank runs them</t>
  </si>
  <si>
    <t xml:space="preserve">EN-05-003</t>
  </si>
  <si>
    <t xml:space="preserve">Know what I get for referring</t>
  </si>
  <si>
    <t xml:space="preserve">What do I get if my friend signs up?</t>
  </si>
  <si>
    <t xml:space="preserve">Shows the reward, what the friend must do and the time limit</t>
  </si>
  <si>
    <t xml:space="preserve">NEW: ReferralCard, BenefitRow</t>
  </si>
  <si>
    <t xml:space="preserve">EN-05-004</t>
  </si>
  <si>
    <t xml:space="preserve">Join through a friend's link</t>
  </si>
  <si>
    <t xml:space="preserve">My friend sent me a link</t>
  </si>
  <si>
    <t xml:space="preserve">Explains the offer and hands to the bank's application</t>
  </si>
  <si>
    <t xml:space="preserve">NEW: ReferralCard, Handoff</t>
  </si>
  <si>
    <t xml:space="preserve">Application and credit checks by the bank</t>
  </si>
  <si>
    <t xml:space="preserve">EN-05-005</t>
  </si>
  <si>
    <t xml:space="preserve">Hear about referring</t>
  </si>
  <si>
    <t xml:space="preserve">Customer had a good moment</t>
  </si>
  <si>
    <t xml:space="preserve">Mentions the referral offer once, after a good moment, if marketing consent is on</t>
  </si>
  <si>
    <t xml:space="preserve">Moment, NEW: ReferralCard</t>
  </si>
  <si>
    <t xml:space="preserve">Marketing consent; One note at a time; ranked by money at stake and deadline; facts re-checked before showing; suggestions switch on; weekly cap and quiet hours apply; not repeated if dismissed; Signs of money worries switch off all promotions and spend nudges until the bank's team says otherwise</t>
  </si>
  <si>
    <t xml:space="preserve">EN-05-006</t>
  </si>
  <si>
    <t xml:space="preserve">Get my referral reward</t>
  </si>
  <si>
    <t xml:space="preserve">Referral complete</t>
  </si>
  <si>
    <t xml:space="preserve">Tells the customer the reward has been added and shows it</t>
  </si>
  <si>
    <t xml:space="preserve">Reward from the bank's terms</t>
  </si>
  <si>
    <t xml:space="preserve">EN-05-007</t>
  </si>
  <si>
    <t xml:space="preserve">Track my referrals</t>
  </si>
  <si>
    <t xml:space="preserve">Friend not approved</t>
  </si>
  <si>
    <t xml:space="preserve">Referral did not complete</t>
  </si>
  <si>
    <t xml:space="preserve">Why haven't I got my reward?</t>
  </si>
  <si>
    <t xml:space="preserve">Says the referral did not complete, without saying why</t>
  </si>
  <si>
    <t xml:space="preserve">Never reveals a credit decision about someone else</t>
  </si>
  <si>
    <t xml:space="preserve">EN-05-008</t>
  </si>
  <si>
    <t xml:space="preserve">Reward late</t>
  </si>
  <si>
    <t xml:space="preserve">Reward missing</t>
  </si>
  <si>
    <t xml:space="preserve">My friend joined a month ago and I've had nothing</t>
  </si>
  <si>
    <t xml:space="preserve">Checks the referral against the terms and raises it with the bank if it qualified</t>
  </si>
  <si>
    <t xml:space="preserve">NEW: ReferralCard, NEW: ClaimTracker</t>
  </si>
  <si>
    <t xml:space="preserve">EN-05-009</t>
  </si>
  <si>
    <t xml:space="preserve">Why can't I refer anyone else?</t>
  </si>
  <si>
    <t xml:space="preserve">Says the referral limit has been reached and when it resets, if it does</t>
  </si>
  <si>
    <t xml:space="preserve">StateCard, NEW: ReferralCard</t>
  </si>
  <si>
    <t xml:space="preserve">Limit from the bank</t>
  </si>
  <si>
    <t xml:space="preserve">EN-05-010</t>
  </si>
  <si>
    <t xml:space="preserve">Where's the refer a friend option?</t>
  </si>
  <si>
    <t xml:space="preserve">Says the bank does not run referrals for this card</t>
  </si>
  <si>
    <t xml:space="preserve">Availability from the bank</t>
  </si>
  <si>
    <t xml:space="preserve">EN-05-011</t>
  </si>
  <si>
    <t xml:space="preserve">Can I refer my brother? I need the money</t>
  </si>
  <si>
    <t xml:space="preserve">Explains the terms plainly with no pressure and offers help options</t>
  </si>
  <si>
    <t xml:space="preserve">EN-05-012</t>
  </si>
  <si>
    <t xml:space="preserve">Unusual referral activity</t>
  </si>
  <si>
    <t xml:space="preserve">Referral fraud flag</t>
  </si>
  <si>
    <t xml:space="preserve">(link used many times in a day)</t>
  </si>
  <si>
    <t xml:space="preserve">Pauses rewards and passes it to the bank's team</t>
  </si>
  <si>
    <t xml:space="preserve">EN-05-013</t>
  </si>
  <si>
    <t xml:space="preserve">Has my friend's card come through?</t>
  </si>
  <si>
    <t xml:space="preserve">Shows referral status only as "joined" or "not yet", never the friend's credit decision</t>
  </si>
  <si>
    <t xml:space="preserve">NEW: ReferralCard, Status</t>
  </si>
  <si>
    <t xml:space="preserve">The friend's application details are private</t>
  </si>
  <si>
    <t xml:space="preserve">EN-05-014</t>
  </si>
  <si>
    <t xml:space="preserve">Share my referral link</t>
  </si>
  <si>
    <t xml:space="preserve">Channel choice</t>
  </si>
  <si>
    <t xml:space="preserve">Send my link on messages</t>
  </si>
  <si>
    <t xml:space="preserve">Opens the share sheet with a short message that holds no personal data</t>
  </si>
  <si>
    <t xml:space="preserve">No personal or account data in shared text</t>
  </si>
  <si>
    <t xml:space="preserve">EN-05-015</t>
  </si>
  <si>
    <t xml:space="preserve">Fix a referral</t>
  </si>
  <si>
    <t xml:space="preserve">Friend used the wrong link</t>
  </si>
  <si>
    <t xml:space="preserve">My friend applied without my link</t>
  </si>
  <si>
    <t xml:space="preserve">Explains the terms and passes it to the bank to check</t>
  </si>
  <si>
    <t xml:space="preserve">EN-05-016</t>
  </si>
  <si>
    <t xml:space="preserve">Stop referral messages</t>
  </si>
  <si>
    <t xml:space="preserve">Don't ask me to refer people</t>
  </si>
  <si>
    <t xml:space="preserve">Turns off referral notes and confirms</t>
  </si>
  <si>
    <t xml:space="preserve">Preference stored</t>
  </si>
  <si>
    <t xml:space="preserve">EN-06-001</t>
  </si>
  <si>
    <t xml:space="preserve">That's not what I meant</t>
  </si>
  <si>
    <t xml:space="preserve">Offers the three likeliest alternatives</t>
  </si>
  <si>
    <t xml:space="preserve">Logged for review</t>
  </si>
  <si>
    <t xml:space="preserve">EN-06-002</t>
  </si>
  <si>
    <t xml:space="preserve">Make Gratifi forget something</t>
  </si>
  <si>
    <t xml:space="preserve">Still showing up</t>
  </si>
  <si>
    <t xml:space="preserve">Forgotten item reappears</t>
  </si>
  <si>
    <t xml:space="preserve">I told you to forget that</t>
  </si>
  <si>
    <t xml:space="preserve">Apologises, removes it everywhere and logs a fault</t>
  </si>
  <si>
    <t xml:space="preserve">StateCard, Toast, Handoff</t>
  </si>
  <si>
    <t xml:space="preserve">Deletion must be complete; faults reported to the bank</t>
  </si>
  <si>
    <t xml:space="preserve">EN-06-003</t>
  </si>
  <si>
    <t xml:space="preserve">Follow what I say now</t>
  </si>
  <si>
    <t xml:space="preserve">Preference conflict</t>
  </si>
  <si>
    <t xml:space="preserve">Find me a steakhouse</t>
  </si>
  <si>
    <t xml:space="preserve">Follows the request even though a vegetarian preference is saved, and asks whether to update it</t>
  </si>
  <si>
    <t xml:space="preserve">Answer, Chips</t>
  </si>
  <si>
    <t xml:space="preserve">The current request wins</t>
  </si>
  <si>
    <t xml:space="preserve">EN-06-004</t>
  </si>
  <si>
    <t xml:space="preserve">Complain about a partner</t>
  </si>
  <si>
    <t xml:space="preserve">Bad experience</t>
  </si>
  <si>
    <t xml:space="preserve">The hotel was dirty and the staff were rude</t>
  </si>
  <si>
    <t xml:space="preserve">Records it, sends it to the partner, and offers the money-back route if the customer wants</t>
  </si>
  <si>
    <t xml:space="preserve">Handoff, NEW: ClaimTracker</t>
  </si>
  <si>
    <t xml:space="preserve">Feedback that is a complaint goes to complaints with a reference</t>
  </si>
  <si>
    <t xml:space="preserve">EN-06-005</t>
  </si>
  <si>
    <t xml:space="preserve">Give feedback that is really a complaint</t>
  </si>
  <si>
    <t xml:space="preserve">Unhappy with Gratifi or the bank</t>
  </si>
  <si>
    <t xml:space="preserve">This assistant is useless and it's cost me money</t>
  </si>
  <si>
    <t xml:space="preserve">Treats it as a complaint, records it in their words, gives a reference and offers a person</t>
  </si>
  <si>
    <t xml:space="preserve">EN-06-006</t>
  </si>
  <si>
    <t xml:space="preserve">(taps thumbs down)</t>
  </si>
  <si>
    <t xml:space="preserve">Records the rating and asks for an optional reason</t>
  </si>
  <si>
    <t xml:space="preserve">IconButton, Chips, Toast</t>
  </si>
  <si>
    <t xml:space="preserve">Ratings go to quality review, not to the customer's profile</t>
  </si>
  <si>
    <t xml:space="preserve">EN-06-007</t>
  </si>
  <si>
    <t xml:space="preserve">Review a booking</t>
  </si>
  <si>
    <t xml:space="preserve">After a stay or experience</t>
  </si>
  <si>
    <t xml:space="preserve">Asks one quick question about the booking; the answer goes to the partner scorecard</t>
  </si>
  <si>
    <t xml:space="preserve">Moment, IconButton</t>
  </si>
  <si>
    <t xml:space="preserve">Once per booking; within the weekly cap</t>
  </si>
  <si>
    <t xml:space="preserve">EN-06-008</t>
  </si>
  <si>
    <t xml:space="preserve">Stop seeing something</t>
  </si>
  <si>
    <t xml:space="preserve">Merchant or category</t>
  </si>
  <si>
    <t xml:space="preserve">Stop showing me takeaway offers</t>
  </si>
  <si>
    <t xml:space="preserve">Hides that category and confirms</t>
  </si>
  <si>
    <t xml:space="preserve">Chips, Toast</t>
  </si>
  <si>
    <t xml:space="preserve">Stored as a preference; can be undone</t>
  </si>
  <si>
    <t xml:space="preserve">EN-06-009</t>
  </si>
  <si>
    <t xml:space="preserve">Sensitive category</t>
  </si>
  <si>
    <t xml:space="preserve">Don't show me gambling or alcohol offers</t>
  </si>
  <si>
    <t xml:space="preserve">Hides those categories everywhere and confirms</t>
  </si>
  <si>
    <t xml:space="preserve">Exclusion applies to every surface and note</t>
  </si>
  <si>
    <t xml:space="preserve">EN-06-010</t>
  </si>
  <si>
    <t xml:space="preserve">See more of something</t>
  </si>
  <si>
    <t xml:space="preserve">Likes</t>
  </si>
  <si>
    <t xml:space="preserve">I'd like more travel deals</t>
  </si>
  <si>
    <t xml:space="preserve">Raises that category in notes and offers, within the weekly cap</t>
  </si>
  <si>
    <t xml:space="preserve">Preference feeds the ranker; caps unchanged</t>
  </si>
  <si>
    <t xml:space="preserve">EN-06-011</t>
  </si>
  <si>
    <t xml:space="preserve">What do you remember about me?</t>
  </si>
  <si>
    <t xml:space="preserve">Shows the memory list grouped by topic, with where each item came from</t>
  </si>
  <si>
    <t xml:space="preserve">EN-06-012</t>
  </si>
  <si>
    <t xml:space="preserve">Ask Gratifi to remember something</t>
  </si>
  <si>
    <t xml:space="preserve">Lasting preference</t>
  </si>
  <si>
    <t xml:space="preserve">Asks "Shall I remember that?" and saves it on yes</t>
  </si>
  <si>
    <t xml:space="preserve">Only lasting facts, only with a yes</t>
  </si>
  <si>
    <t xml:space="preserve">EN-06-013</t>
  </si>
  <si>
    <t xml:space="preserve">Sensitive detail</t>
  </si>
  <si>
    <t xml:space="preserve">Sensitive</t>
  </si>
  <si>
    <t xml:space="preserve">Remember that I'm struggling with money</t>
  </si>
  <si>
    <t xml:space="preserve">Does not store it, says so kindly, and offers help now</t>
  </si>
  <si>
    <t xml:space="preserve">Never stores health, money worries or other sensitive details</t>
  </si>
  <si>
    <t xml:space="preserve">EN-06-014</t>
  </si>
  <si>
    <t xml:space="preserve">Forget that I like steak</t>
  </si>
  <si>
    <t xml:space="preserve">Removes it, with undo for a short time</t>
  </si>
  <si>
    <t xml:space="preserve">Deleted from memory</t>
  </si>
  <si>
    <t xml:space="preserve">EN-06-015</t>
  </si>
  <si>
    <t xml:space="preserve">Make Gratifi forget everything</t>
  </si>
  <si>
    <t xml:space="preserve">Forget everything about me</t>
  </si>
  <si>
    <t xml:space="preserve">Confirms, then clears all memory</t>
  </si>
  <si>
    <t xml:space="preserve">Clears all memory items; account data stays with the bank</t>
  </si>
  <si>
    <t xml:space="preserve">EN-06-016</t>
  </si>
  <si>
    <t xml:space="preserve">Re-file a payment's category</t>
  </si>
  <si>
    <t xml:space="preserve">Re-files it and remembers the merchant for next time</t>
  </si>
  <si>
    <t xml:space="preserve">Category change stored</t>
  </si>
  <si>
    <t xml:space="preserve">EN-06-017</t>
  </si>
  <si>
    <t xml:space="preserve">Change how Gratifi talks</t>
  </si>
  <si>
    <t xml:space="preserve">Reading level and length</t>
  </si>
  <si>
    <t xml:space="preserve">Keep it shorter</t>
  </si>
  <si>
    <t xml:space="preserve">Shortens answers and sets the plain English level</t>
  </si>
  <si>
    <t xml:space="preserve">Setting stored</t>
  </si>
  <si>
    <t xml:space="preserve">EN-06-018</t>
  </si>
  <si>
    <t xml:space="preserve">Turn off the voice</t>
  </si>
  <si>
    <t xml:space="preserve">Turns voice replies off, or sets the speaking speed</t>
  </si>
  <si>
    <t xml:space="preserve">EN-06-019</t>
  </si>
  <si>
    <t xml:space="preserve">Share this with my wife</t>
  </si>
  <si>
    <t xml:space="preserve">Shares the answer with the numbers only and no personal data</t>
  </si>
  <si>
    <t xml:space="preserve">No personal or account details in shared text</t>
  </si>
  <si>
    <t xml:space="preserve">EN-06-020</t>
  </si>
  <si>
    <t xml:space="preserve">Clear a conversation</t>
  </si>
  <si>
    <t xml:space="preserve">Delete this chat</t>
  </si>
  <si>
    <t xml:space="preserve">Deletes it from history</t>
  </si>
  <si>
    <t xml:space="preserve">History kept only for the period the bank sets; the customer can delete any</t>
  </si>
  <si>
    <t xml:space="preserve">EN-06-021</t>
  </si>
  <si>
    <t xml:space="preserve">Can I have a copy of my Gratifi data?</t>
  </si>
  <si>
    <t xml:space="preserve">Starts the request and says when and how it will arrive</t>
  </si>
  <si>
    <t xml:space="preserve">Button, Toast</t>
  </si>
  <si>
    <t xml:space="preserve">Handled through the bank's data process</t>
  </si>
  <si>
    <t xml:space="preserve">EN-06-022</t>
  </si>
  <si>
    <t xml:space="preserve">Delete everything Gratifi has on me</t>
  </si>
  <si>
    <t xml:space="preserve">Explains what will be deleted and what the bank must keep, then deletes on confirm</t>
  </si>
  <si>
    <t xml:space="preserve">Bank's data process; legal retention rules apply</t>
  </si>
  <si>
    <t xml:space="preserve">Block to build</t>
  </si>
  <si>
    <t xml:space="preserve">Use cases needing it</t>
  </si>
  <si>
    <t xml:space="preserve">Items</t>
  </si>
  <si>
    <t xml:space="preserve">Also called</t>
  </si>
  <si>
    <t xml:space="preserve">ClaimTracker</t>
  </si>
  <si>
    <t xml:space="preserve">BE-02, BE-03, BE-04, BE-05, BE-06, BE-07, BS-03, BS-04, BS-05, BS-07, CO-01, CO-02, CO-03, CO-04, DN-04, EN-03, EN-05, EN-06, SH-05, ST-05, TD-01, TD-03</t>
  </si>
  <si>
    <t xml:space="preserve">RequestTracker, ApplicationTracker, MissingPointsClaim</t>
  </si>
  <si>
    <t xml:space="preserve">ServiceCard</t>
  </si>
  <si>
    <t xml:space="preserve">AP-01, AP-02, AP-04, AP-05, AP-06</t>
  </si>
  <si>
    <t xml:space="preserve">SubscriptionCard</t>
  </si>
  <si>
    <t xml:space="preserve">SB-01, SB-02, SB-03, SB-04, SB-05, SB-06</t>
  </si>
  <si>
    <t xml:space="preserve">Upload</t>
  </si>
  <si>
    <t xml:space="preserve">BE-02, BE-03, BE-04, BS-08, GC-05, QC-01, QC-02, QC-03, SH-02, SH-03, SH-06, SH-07, TD-01, TD-03</t>
  </si>
  <si>
    <t xml:space="preserve">PhotoUpload, EvidenceUpload, DocumentUpload, ReceiptCapture</t>
  </si>
  <si>
    <t xml:space="preserve">Basket</t>
  </si>
  <si>
    <t xml:space="preserve">QC-01, QC-02, QC-03, SH-03</t>
  </si>
  <si>
    <t xml:space="preserve">CardControls</t>
  </si>
  <si>
    <t xml:space="preserve">BS-04, BS-06, BS-08</t>
  </si>
  <si>
    <t xml:space="preserve">RestaurantCard</t>
  </si>
  <si>
    <t xml:space="preserve">CO-01, DN-01, DN-02, ET-04, QC-03</t>
  </si>
  <si>
    <t xml:space="preserve">Map</t>
  </si>
  <si>
    <t xml:space="preserve">AP-01, AP-04, AP-05, AP-06, DN-01, DN-03, EX-01, EX-02, GT-02, GT-04, ST-01</t>
  </si>
  <si>
    <t xml:space="preserve">MapView, TerminalMap</t>
  </si>
  <si>
    <t xml:space="preserve">VoucherCode</t>
  </si>
  <si>
    <t xml:space="preserve">GC-01, GC-02, GC-04, SB-01, SB-02, SB-03</t>
  </si>
  <si>
    <t xml:space="preserve">DeliveryTracker</t>
  </si>
  <si>
    <t xml:space="preserve">CO-02, QC-01, QC-02, QC-03, SH-06, SH-07</t>
  </si>
  <si>
    <t xml:space="preserve">RightsGuide</t>
  </si>
  <si>
    <t xml:space="preserve">AlertSettings</t>
  </si>
  <si>
    <t xml:space="preserve">EN-01, EN-02</t>
  </si>
  <si>
    <t xml:space="preserve">QuietHours</t>
  </si>
  <si>
    <t xml:space="preserve">TicketWallet</t>
  </si>
  <si>
    <t xml:space="preserve">AP-02, AP-06, DN-03, ET-01, ET-02, ET-03, ET-05, EX-01, EX-03</t>
  </si>
  <si>
    <t xml:space="preserve">ServicePass</t>
  </si>
  <si>
    <t xml:space="preserve">ConciergeBrief</t>
  </si>
  <si>
    <t xml:space="preserve">CO-01, CO-02, CO-03, CO-04</t>
  </si>
  <si>
    <t xml:space="preserve">CharityCard</t>
  </si>
  <si>
    <t xml:space="preserve">CH-01, CH-02, CH-03</t>
  </si>
  <si>
    <t xml:space="preserve">GreeterCard</t>
  </si>
  <si>
    <t xml:space="preserve">AP-01, AP-04, AP-06, GT-02</t>
  </si>
  <si>
    <t xml:space="preserve">PolicyCard</t>
  </si>
  <si>
    <t xml:space="preserve">InstalmentPlan</t>
  </si>
  <si>
    <t xml:space="preserve">BE-06, BS-03, BS-05, CO-04, SH-01, SH-03</t>
  </si>
  <si>
    <t xml:space="preserve">PlanTable, PaymentSchedule</t>
  </si>
  <si>
    <t xml:space="preserve">ChallengeCard</t>
  </si>
  <si>
    <t xml:space="preserve">SupportLines</t>
  </si>
  <si>
    <t xml:space="preserve">BS-04, BS-05, BS-06, BS-07, BS-08</t>
  </si>
  <si>
    <t xml:space="preserve">TrainCard</t>
  </si>
  <si>
    <t xml:space="preserve">VenueSeatMap</t>
  </si>
  <si>
    <t xml:space="preserve">ET-01, ET-02, ET-03, ET-04, ET-05</t>
  </si>
  <si>
    <t xml:space="preserve">ReturnFlow</t>
  </si>
  <si>
    <t xml:space="preserve">SH-02, SH-03, SH-06, SH-07</t>
  </si>
  <si>
    <t xml:space="preserve">IssuePicker</t>
  </si>
  <si>
    <t xml:space="preserve">QC-01, QC-02, QC-03, SH-07</t>
  </si>
  <si>
    <t xml:space="preserve">RiskDisclosure</t>
  </si>
  <si>
    <t xml:space="preserve">IV-01, IV-02, IV-03</t>
  </si>
  <si>
    <t xml:space="preserve">MoneyBackRoute</t>
  </si>
  <si>
    <t xml:space="preserve">AddressPicker</t>
  </si>
  <si>
    <t xml:space="preserve">QC-01, QC-02, SB-04, SH-03, SH-04, SH-06, SH-07</t>
  </si>
  <si>
    <t xml:space="preserve">MemoryList</t>
  </si>
  <si>
    <t xml:space="preserve">BS-01, EN-04, EN-06</t>
  </si>
  <si>
    <t xml:space="preserve">ReferralCard</t>
  </si>
  <si>
    <t xml:space="preserve">StatementCard</t>
  </si>
  <si>
    <t xml:space="preserve">BS-01, BS-03</t>
  </si>
  <si>
    <t xml:space="preserve">CardholderList</t>
  </si>
  <si>
    <t xml:space="preserve">BS-04, BS-08</t>
  </si>
  <si>
    <t xml:space="preserve">EarnTracker</t>
  </si>
  <si>
    <t xml:space="preserve">HoldingsCard</t>
  </si>
  <si>
    <t xml:space="preserve">BalanceCard</t>
  </si>
  <si>
    <t xml:space="preserve">BS-02, BS-06</t>
  </si>
  <si>
    <t xml:space="preserve">SpendBreakdown</t>
  </si>
  <si>
    <t xml:space="preserve">BS-02, BS-03, BS-06, BS-08</t>
  </si>
  <si>
    <t xml:space="preserve">MenuCard</t>
  </si>
  <si>
    <t xml:space="preserve">DN-01, DN-02, QC-03</t>
  </si>
  <si>
    <t xml:space="preserve">MenuItemOptions</t>
  </si>
  <si>
    <t xml:space="preserve">VariantPicker</t>
  </si>
  <si>
    <t xml:space="preserve">SH-01, SH-06, SH-07</t>
  </si>
  <si>
    <t xml:space="preserve">FxRate</t>
  </si>
  <si>
    <t xml:space="preserve">EsimPlan</t>
  </si>
  <si>
    <t xml:space="preserve">DocumentWallet</t>
  </si>
  <si>
    <t xml:space="preserve">RideTracker</t>
  </si>
  <si>
    <t xml:space="preserve">GT-01, GT-02</t>
  </si>
  <si>
    <t xml:space="preserve">CarCard</t>
  </si>
  <si>
    <t xml:space="preserve">GiftMessage</t>
  </si>
  <si>
    <t xml:space="preserve">GC-03, SB-04, SH-02</t>
  </si>
  <si>
    <t xml:space="preserve">RecipientList</t>
  </si>
  <si>
    <t xml:space="preserve">GC-03, GC-05</t>
  </si>
  <si>
    <t xml:space="preserve">MilestoneTracker</t>
  </si>
  <si>
    <t xml:space="preserve">PriceChart</t>
  </si>
  <si>
    <t xml:space="preserve">StreakTracker</t>
  </si>
  <si>
    <t xml:space="preserve">DirectDebitCard</t>
  </si>
  <si>
    <t xml:space="preserve">BS-02, BS-05</t>
  </si>
  <si>
    <t xml:space="preserve">ApprovalPrompt</t>
  </si>
  <si>
    <t xml:space="preserve">BS-04, BS-06</t>
  </si>
  <si>
    <t xml:space="preserve">LoyaltyNumber</t>
  </si>
  <si>
    <t xml:space="preserve">SubstitutionPicker</t>
  </si>
  <si>
    <t xml:space="preserve">QC-01, QC-02</t>
  </si>
  <si>
    <t xml:space="preserve">SizePicker</t>
  </si>
  <si>
    <t xml:space="preserve">ProgrammeLink</t>
  </si>
  <si>
    <t xml:space="preserve">PM-01, PM-02</t>
  </si>
  <si>
    <t xml:space="preserve">KycCheck</t>
  </si>
  <si>
    <t xml:space="preserve">IV-01, IV-02, IV-03, TD-02</t>
  </si>
  <si>
    <t xml:space="preserve">TaxSummary</t>
  </si>
  <si>
    <t xml:space="preserve">SecureCardDetails</t>
  </si>
  <si>
    <t xml:space="preserve">AmountSlider</t>
  </si>
  <si>
    <t xml:space="preserve">ReviewSummary</t>
  </si>
  <si>
    <t xml:space="preserve">SH-01, SH-06, ST-01</t>
  </si>
  <si>
    <t xml:space="preserve">SellerRating</t>
  </si>
  <si>
    <t xml:space="preserve">DN-04, ET-02</t>
  </si>
  <si>
    <t xml:space="preserve">StockAlert</t>
  </si>
  <si>
    <t xml:space="preserve">SH-01, SH-02, SH-03</t>
  </si>
  <si>
    <t xml:space="preserve">WarrantyCard</t>
  </si>
  <si>
    <t xml:space="preserve">SH-03, SH-07</t>
  </si>
  <si>
    <t xml:space="preserve">GiftCardWallet</t>
  </si>
  <si>
    <t xml:space="preserve">GC-02, GC-04</t>
  </si>
  <si>
    <t xml:space="preserve">RoomsAndGuests</t>
  </si>
  <si>
    <t xml:space="preserve">ST-01, ST-02</t>
  </si>
  <si>
    <t xml:space="preserve">PhotoGallery</t>
  </si>
  <si>
    <t xml:space="preserve">HouseRules</t>
  </si>
  <si>
    <t xml:space="preserve">CheckInInstructions</t>
  </si>
  <si>
    <t xml:space="preserve">DepositHold</t>
  </si>
  <si>
    <t xml:space="preserve">GT-04, ST-02</t>
  </si>
  <si>
    <t xml:space="preserve">PackageBuilder</t>
  </si>
  <si>
    <t xml:space="preserve">AP-05, ST-03</t>
  </si>
  <si>
    <t xml:space="preserve">TrainTicket</t>
  </si>
  <si>
    <t xml:space="preserve">DamageCheck</t>
  </si>
  <si>
    <t xml:space="preserve">DriverCard</t>
  </si>
  <si>
    <t xml:space="preserve">Waiver</t>
  </si>
  <si>
    <t xml:space="preserve">EX-04, EX-05</t>
  </si>
  <si>
    <t xml:space="preserve">BulkOrder</t>
  </si>
  <si>
    <t xml:space="preserve">BulkReport</t>
  </si>
  <si>
    <t xml:space="preserve">ExpiryTimeline</t>
  </si>
  <si>
    <t xml:space="preserve">SuitabilityQuiz</t>
  </si>
  <si>
    <t xml:space="preserve">IV-02, IV-03</t>
  </si>
  <si>
    <t xml:space="preserve">VisaChecklist</t>
  </si>
  <si>
    <t xml:space="preserve">EsimInstall</t>
  </si>
  <si>
    <t xml:space="preserve">PolicyDoc</t>
  </si>
  <si>
    <t xml:space="preserve">RewardsLedger</t>
  </si>
  <si>
    <t xml:space="preserve">BE-05, BE-06</t>
  </si>
  <si>
    <t xml:space="preserve">MembershipCard</t>
  </si>
  <si>
    <t xml:space="preserve">BE-05, EN-04</t>
  </si>
  <si>
    <t xml:space="preserve">ConversationHistory</t>
  </si>
  <si>
    <t xml:space="preserve">SettingsList</t>
  </si>
  <si>
    <t xml:space="preserve">ExportSheet</t>
  </si>
  <si>
    <t xml:space="preserve">BS-03, BS-08</t>
  </si>
  <si>
    <t xml:space="preserve">RepaymentCalculator</t>
  </si>
  <si>
    <t xml:space="preserve">BS-05, BS-07</t>
  </si>
  <si>
    <t xml:space="preserve">CreditScoreCard</t>
  </si>
  <si>
    <t xml:space="preserve">ComplaintForm</t>
  </si>
  <si>
    <t xml:space="preserve">Inclusions</t>
  </si>
  <si>
    <t xml:space="preserve">DigitalKey</t>
  </si>
  <si>
    <t xml:space="preserve">RailSeatPicker</t>
  </si>
  <si>
    <t xml:space="preserve">RiderContact</t>
  </si>
  <si>
    <t xml:space="preserve">TradeInQuote</t>
  </si>
  <si>
    <t xml:space="preserve">SavingsGoal</t>
  </si>
  <si>
    <t xml:space="preserve">ShadeFinder</t>
  </si>
  <si>
    <t xml:space="preserve">OutboundLink</t>
  </si>
  <si>
    <t xml:space="preserve">GroupGift</t>
  </si>
  <si>
    <t xml:space="preserve">PointsChart</t>
  </si>
  <si>
    <t xml:space="preserve">GiftAidDeclaration</t>
  </si>
  <si>
    <t xml:space="preserve">DeviceCheck</t>
  </si>
  <si>
    <t xml:space="preserve">MessageDraft</t>
  </si>
  <si>
    <t xml:space="preserve">ConsentSheet</t>
  </si>
  <si>
    <t xml:space="preserve">RateAnswer</t>
  </si>
  <si>
    <t xml:space="preserve">BankTransferDetails</t>
  </si>
  <si>
    <t xml:space="preserve">DatePicker</t>
  </si>
  <si>
    <t xml:space="preserve">PinReveal</t>
  </si>
  <si>
    <t xml:space="preserve">SecurityCode</t>
  </si>
  <si>
    <t xml:space="preserve">Market</t>
  </si>
  <si>
    <t xml:space="preserve">Currency</t>
  </si>
  <si>
    <t xml:space="preserve">Number and date format</t>
  </si>
  <si>
    <t xml:space="preserve">How a payment is confirmed</t>
  </si>
  <si>
    <t xml:space="preserve">Automatic card payment is called</t>
  </si>
  <si>
    <t xml:space="preserve">Tax on fares</t>
  </si>
  <si>
    <t xml:space="preserve">Flight disruption rule</t>
  </si>
  <si>
    <t xml:space="preserve">Amounts set in law?</t>
  </si>
  <si>
    <t xml:space="preserve">Week starts</t>
  </si>
  <si>
    <t xml:space="preserve">Languages</t>
  </si>
  <si>
    <t xml:space="preserve">To confirm with the bank</t>
  </si>
  <si>
    <t xml:space="preserve">United Kingdom</t>
  </si>
  <si>
    <t xml:space="preserve">GBP £</t>
  </si>
  <si>
    <t xml:space="preserve">en-GB · 1,234.50 · Fri 16 Oct</t>
  </si>
  <si>
    <t xml:space="preserve">Face ID in the bank app</t>
  </si>
  <si>
    <t xml:space="preserve">Direct Debit</t>
  </si>
  <si>
    <t xml:space="preserve">No VAT on flights; Air Passenger Duty in fares</t>
  </si>
  <si>
    <t xml:space="preserve">UK261</t>
  </si>
  <si>
    <t xml:space="preserve">Yes: £220, £350, £520 by distance</t>
  </si>
  <si>
    <t xml:space="preserve">Monday</t>
  </si>
  <si>
    <t xml:space="preserve">English</t>
  </si>
  <si>
    <t xml:space="preserve">Point value; claims process</t>
  </si>
  <si>
    <t xml:space="preserve">Eurozone</t>
  </si>
  <si>
    <t xml:space="preserve">EUR €</t>
  </si>
  <si>
    <t xml:space="preserve">en-IE for English; local languages later</t>
  </si>
  <si>
    <t xml:space="preserve">Face ID in the bank app (strong customer authentication)</t>
  </si>
  <si>
    <t xml:space="preserve">direct debit</t>
  </si>
  <si>
    <t xml:space="preserve">International flights usually VAT-exempt; local ticket taxes (to confirm)</t>
  </si>
  <si>
    <t xml:space="preserve">EU261 (reform agreed June 2026, adoption pending)</t>
  </si>
  <si>
    <t xml:space="preserve">Yes: €250, €400, €600 by distance</t>
  </si>
  <si>
    <t xml:space="preserve">English first; German, French, Spanish, Italian, Dutch to add</t>
  </si>
  <si>
    <t xml:space="preserve">Point value; which languages first</t>
  </si>
  <si>
    <t xml:space="preserve">India</t>
  </si>
  <si>
    <t xml:space="preserve">INR ₹</t>
  </si>
  <si>
    <t xml:space="preserve">en-IN · lakh grouping (1,00,000) · Fri 16 Oct</t>
  </si>
  <si>
    <t xml:space="preserve">One-time code (other methods allowed under RBI authentication rules; to confirm per bank)</t>
  </si>
  <si>
    <t xml:space="preserve">auto-debit</t>
  </si>
  <si>
    <t xml:space="preserve">GST; GST invoice needs company GSTIN</t>
  </si>
  <si>
    <t xml:space="preserve">DGCA CAR Section 3, Series M, Part IV</t>
  </si>
  <si>
    <t xml:space="preserve">Yes, set by DGCA; legal team to confirm current amounts</t>
  </si>
  <si>
    <t xml:space="preserve">Sunday</t>
  </si>
  <si>
    <t xml:space="preserve">English first; Hindi next</t>
  </si>
  <si>
    <t xml:space="preserve">Point value; authentication method; EMI terms</t>
  </si>
  <si>
    <t xml:space="preserve">UAE</t>
  </si>
  <si>
    <t xml:space="preserve">AED</t>
  </si>
  <si>
    <t xml:space="preserve">en-AE and ar-AE (right to left)</t>
  </si>
  <si>
    <t xml:space="preserve">VAT zero-rated on international flights (to confirm)</t>
  </si>
  <si>
    <t xml:space="preserve">Airline policy (legal team to confirm any GCAA rule)</t>
  </si>
  <si>
    <t xml:space="preserve">Legal team to confirm</t>
  </si>
  <si>
    <t xml:space="preserve">English and Arabic (Arabic copy needs native sign-off)</t>
  </si>
  <si>
    <t xml:space="preserve">Point value; Arabic copy</t>
  </si>
  <si>
    <t xml:space="preserve">Singapore</t>
  </si>
  <si>
    <t xml:space="preserve">SGD S$</t>
  </si>
  <si>
    <t xml:space="preserve">en-SG · 1,234.50</t>
  </si>
  <si>
    <t xml:space="preserve">GIRO</t>
  </si>
  <si>
    <t xml:space="preserve">GST zero-rated on international flights; airport levies</t>
  </si>
  <si>
    <t xml:space="preserve">Airline policy; no statutory scheme</t>
  </si>
  <si>
    <t xml:space="preserve">No</t>
  </si>
  <si>
    <t xml:space="preserve">Point value</t>
  </si>
  <si>
    <t xml:space="preserve">Malaysia</t>
  </si>
  <si>
    <t xml:space="preserve">MYR RM</t>
  </si>
  <si>
    <t xml:space="preserve">en-MY · 1,234.50</t>
  </si>
  <si>
    <t xml:space="preserve">Approval in the bank's app</t>
  </si>
  <si>
    <t xml:space="preserve">No SST on fares (to confirm); departure levy on international flights</t>
  </si>
  <si>
    <t xml:space="preserve">Malaysian Aviation Consumer Protection Code 2016, enforced by CAAM</t>
  </si>
  <si>
    <t xml:space="preserve">English first; Malay next</t>
  </si>
  <si>
    <t xml:space="preserve">Point value; app approval flow</t>
  </si>
  <si>
    <t xml:space="preserve">These settings live in the kit as data (Markets card). A new market is one more row here and one more entry in the kit; no redesign.</t>
  </si>
  <si>
    <t xml:space="preserve">The grammar</t>
  </si>
  <si>
    <t xml:space="preserve">Means</t>
  </si>
  <si>
    <t xml:space="preserve">Most common exceptions</t>
  </si>
  <si>
    <t xml:space="preserve">Most common constraints</t>
  </si>
  <si>
    <t xml:space="preserve">Before they know what they want</t>
  </si>
  <si>
    <t xml:space="preserve">Looking for options</t>
  </si>
  <si>
    <t xml:space="preserve">Comparing and deciding</t>
  </si>
  <si>
    <t xml:space="preserve">Money or points move</t>
  </si>
  <si>
    <t xml:space="preserve">Extras on top of the main thing</t>
  </si>
  <si>
    <t xml:space="preserve">Bought or booked, not yet used</t>
  </si>
  <si>
    <t xml:space="preserve">Using it now</t>
  </si>
  <si>
    <t xml:space="preserve">Something went wrong</t>
  </si>
  <si>
    <t xml:space="preserve">Done; refunds, reviews, repeats</t>
  </si>
  <si>
    <t xml:space="preserve">The bank and points side</t>
  </si>
</sst>
</file>

<file path=xl/styles.xml><?xml version="1.0" encoding="utf-8"?>
<styleSheet xmlns="http://schemas.openxmlformats.org/spreadsheetml/2006/main">
  <numFmts count="2">
    <numFmt numFmtId="164" formatCode="General"/>
    <numFmt numFmtId="165" formatCode="General"/>
  </numFmts>
  <fonts count="10">
    <font>
      <sz val="11"/>
      <color theme="1"/>
      <name val="Calibri"/>
      <family val="2"/>
      <charset val="1"/>
    </font>
    <font>
      <sz val="10"/>
      <name val="Arial"/>
      <family val="0"/>
    </font>
    <font>
      <sz val="10"/>
      <name val="Arial"/>
      <family val="0"/>
    </font>
    <font>
      <sz val="10"/>
      <name val="Arial"/>
      <family val="0"/>
    </font>
    <font>
      <b val="true"/>
      <sz val="16"/>
      <name val="Arial"/>
      <family val="0"/>
      <charset val="1"/>
    </font>
    <font>
      <sz val="10"/>
      <name val="Arial"/>
      <family val="0"/>
      <charset val="1"/>
    </font>
    <font>
      <b val="true"/>
      <sz val="10"/>
      <name val="Arial"/>
      <family val="0"/>
      <charset val="1"/>
    </font>
    <font>
      <sz val="10"/>
      <color rgb="FF0000FF"/>
      <name val="Arial"/>
      <family val="0"/>
      <charset val="1"/>
    </font>
    <font>
      <b val="true"/>
      <sz val="14"/>
      <name val="Arial"/>
      <family val="0"/>
      <charset val="1"/>
    </font>
    <font>
      <b val="true"/>
      <sz val="10"/>
      <color rgb="FFFFFFFF"/>
      <name val="Arial"/>
      <family val="0"/>
      <charset val="1"/>
    </font>
  </fonts>
  <fills count="4">
    <fill>
      <patternFill patternType="none"/>
    </fill>
    <fill>
      <patternFill patternType="gray125"/>
    </fill>
    <fill>
      <patternFill patternType="solid">
        <fgColor rgb="FFFFFF00"/>
        <bgColor rgb="FFFFFF00"/>
      </patternFill>
    </fill>
    <fill>
      <patternFill patternType="solid">
        <fgColor rgb="FF17171A"/>
        <bgColor rgb="FF000000"/>
      </patternFill>
    </fill>
  </fills>
  <borders count="2">
    <border diagonalUp="false" diagonalDown="false">
      <left/>
      <right/>
      <top/>
      <bottom/>
      <diagonal/>
    </border>
    <border diagonalUp="false" diagonalDown="false">
      <left/>
      <right/>
      <top/>
      <bottom style="thin">
        <color rgb="FFE7E5E1"/>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5">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top" textRotation="0" wrapText="tru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xf numFmtId="164" fontId="6" fillId="0" borderId="0" xfId="0" applyFont="true" applyBorder="false" applyAlignment="true" applyProtection="false">
      <alignment horizontal="general" vertical="top" textRotation="0" wrapText="tru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7" fillId="2"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5" fontId="8" fillId="0" borderId="0" xfId="0" applyFont="true" applyBorder="false" applyAlignment="false" applyProtection="false">
      <alignment horizontal="general" vertical="bottom" textRotation="0" wrapText="false" indent="0" shrinkToFit="false"/>
      <protection locked="true" hidden="false"/>
    </xf>
    <xf numFmtId="164" fontId="9" fillId="3" borderId="0" xfId="0" applyFont="true" applyBorder="false" applyAlignment="false" applyProtection="false">
      <alignment horizontal="general" vertical="bottom" textRotation="0" wrapText="false" indent="0" shrinkToFit="false"/>
      <protection locked="true" hidden="false"/>
    </xf>
    <xf numFmtId="164" fontId="9" fillId="3" borderId="0" xfId="0" applyFont="true" applyBorder="false" applyAlignment="true" applyProtection="false">
      <alignment horizontal="general" vertical="center" textRotation="0" wrapText="true" indent="0" shrinkToFit="false"/>
      <protection locked="true" hidden="false"/>
    </xf>
    <xf numFmtId="164" fontId="5" fillId="0" borderId="1" xfId="0" applyFont="true" applyBorder="true" applyAlignment="true" applyProtection="false">
      <alignment horizontal="general" vertical="top" textRotation="0" wrapText="true" indent="0" shrinkToFit="false"/>
      <protection locked="true" hidden="false"/>
    </xf>
    <xf numFmtId="165" fontId="5" fillId="0" borderId="1" xfId="0" applyFont="true" applyBorder="true" applyAlignment="true" applyProtection="false">
      <alignment horizontal="center" vertical="top" textRotation="0" wrapText="false" indent="0" shrinkToFit="false"/>
      <protection locked="true" hidden="false"/>
    </xf>
    <xf numFmtId="164" fontId="6" fillId="0" borderId="1" xfId="0" applyFont="true" applyBorder="true" applyAlignment="true" applyProtection="false">
      <alignment horizontal="center" vertical="top" textRotation="0" wrapText="false" indent="0" shrinkToFit="false"/>
      <protection locked="true" hidden="false"/>
    </xf>
    <xf numFmtId="164" fontId="7" fillId="0" borderId="1" xfId="0" applyFont="true" applyBorder="true" applyAlignment="true" applyProtection="false">
      <alignment horizontal="center" vertical="top"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4">
    <dxf>
      <font>
        <name val="Arial"/>
        <charset val="1"/>
        <family val="0"/>
        <b val="1"/>
        <color rgb="FFC0301C"/>
        <sz val="14"/>
      </font>
    </dxf>
    <dxf>
      <font>
        <name val="Arial"/>
        <charset val="1"/>
        <family val="0"/>
        <b val="1"/>
        <color rgb="FF16794A"/>
        <sz val="14"/>
      </font>
    </dxf>
    <dxf>
      <fill>
        <patternFill patternType="solid">
          <fgColor rgb="FF17171A"/>
          <bgColor rgb="FF000000"/>
        </patternFill>
      </fill>
    </dxf>
    <dxf>
      <fill>
        <patternFill patternType="solid">
          <bgColor rgb="FF000000"/>
        </patternFill>
      </fill>
    </dxf>
    <dxf>
      <fill>
        <patternFill patternType="solid">
          <fgColor rgb="FFFFFFFF"/>
          <bgColor rgb="FF000000"/>
        </patternFill>
      </fill>
    </dxf>
    <dxf>
      <fill>
        <patternFill patternType="solid">
          <fgColor rgb="FFE2F3E9"/>
          <bgColor rgb="FF000000"/>
        </patternFill>
      </fill>
    </dxf>
    <dxf>
      <fill>
        <patternFill patternType="solid">
          <fgColor rgb="FF16794A"/>
          <bgColor rgb="FF000000"/>
        </patternFill>
      </fill>
    </dxf>
    <dxf>
      <font>
        <name val="Arial"/>
        <charset val="1"/>
        <family val="0"/>
        <b val="1"/>
        <color rgb="FFC0301C"/>
      </font>
      <fill>
        <patternFill>
          <bgColor rgb="FFFCE6E1"/>
        </patternFill>
      </fill>
    </dxf>
    <dxf>
      <font>
        <name val="Arial"/>
        <charset val="1"/>
        <family val="0"/>
        <b val="1"/>
        <color rgb="FF16794A"/>
      </font>
      <fill>
        <patternFill>
          <bgColor rgb="FFE2F3E9"/>
        </patternFill>
      </fill>
    </dxf>
    <dxf>
      <fill>
        <patternFill patternType="solid">
          <fgColor rgb="FF0000FF"/>
          <bgColor rgb="FF000000"/>
        </patternFill>
      </fill>
    </dxf>
    <dxf>
      <fill>
        <patternFill patternType="solid">
          <fgColor rgb="FFFCE6E1"/>
          <bgColor rgb="FF000000"/>
        </patternFill>
      </fill>
    </dxf>
    <dxf>
      <fill>
        <patternFill patternType="solid">
          <fgColor rgb="FFFFE7D9"/>
          <bgColor rgb="FF000000"/>
        </patternFill>
      </fill>
    </dxf>
    <dxf>
      <fill>
        <patternFill>
          <bgColor rgb="FFFFE7D9"/>
        </patternFill>
      </fill>
    </dxf>
    <dxf>
      <fill>
        <patternFill>
          <bgColor rgb="FFFCE6E1"/>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16794A"/>
      <rgbColor rgb="FFC0C0C0"/>
      <rgbColor rgb="FF808080"/>
      <rgbColor rgb="FF9999FF"/>
      <rgbColor rgb="FF993366"/>
      <rgbColor rgb="FFFFE7D9"/>
      <rgbColor rgb="FFE2F3E9"/>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E7E5E1"/>
      <rgbColor rgb="FFFCE6E1"/>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17171A"/>
      <rgbColor rgb="FF333300"/>
      <rgbColor rgb="FFC0301C"/>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3.xml.rels><?xml version="1.0" encoding="UTF-8"?>
<Relationships xmlns="http://schemas.openxmlformats.org/package/2006/relationships"><Relationship Id="rId1" Type="http://schemas.openxmlformats.org/officeDocument/2006/relationships/drawing" Target="../drawings/drawing1.xml"/>
</Relationships>
</file>

<file path=xl/worksheets/_rels/sheet4.xml.rels><?xml version="1.0" encoding="UTF-8"?>
<Relationships xmlns="http://schemas.openxmlformats.org/package/2006/relationships"><Relationship Id="rId1" Type="http://schemas.openxmlformats.org/officeDocument/2006/relationships/drawing" Target="../drawings/drawing2.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24"/>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20"/>
    <col collapsed="false" customWidth="true" hidden="false" outlineLevel="0" max="2" min="2" style="0" width="10"/>
  </cols>
  <sheetData>
    <row r="1" customFormat="false" ht="19.7" hidden="false" customHeight="false" outlineLevel="0" collapsed="false">
      <c r="A1" s="1" t="s">
        <v>0</v>
      </c>
    </row>
    <row r="2" customFormat="false" ht="35.05" hidden="false" customHeight="false" outlineLevel="0" collapsed="false">
      <c r="A2" s="2" t="s">
        <v>1</v>
      </c>
    </row>
    <row r="3" customFormat="false" ht="15" hidden="false" customHeight="false" outlineLevel="0" collapsed="false">
      <c r="A3" s="2"/>
    </row>
    <row r="4" customFormat="false" ht="15" hidden="false" customHeight="false" outlineLevel="0" collapsed="false">
      <c r="A4" s="3" t="s">
        <v>2</v>
      </c>
    </row>
    <row r="5" customFormat="false" ht="35.05" hidden="false" customHeight="false" outlineLevel="0" collapsed="false">
      <c r="A5" s="2" t="s">
        <v>3</v>
      </c>
    </row>
    <row r="6" customFormat="false" ht="23.85" hidden="false" customHeight="false" outlineLevel="0" collapsed="false">
      <c r="A6" s="2" t="s">
        <v>4</v>
      </c>
    </row>
    <row r="7" customFormat="false" ht="15" hidden="false" customHeight="false" outlineLevel="0" collapsed="false">
      <c r="A7" s="2"/>
    </row>
    <row r="8" customFormat="false" ht="15" hidden="false" customHeight="false" outlineLevel="0" collapsed="false">
      <c r="A8" s="3" t="s">
        <v>5</v>
      </c>
    </row>
    <row r="9" customFormat="false" ht="23.85" hidden="false" customHeight="false" outlineLevel="0" collapsed="false">
      <c r="A9" s="2" t="s">
        <v>6</v>
      </c>
    </row>
    <row r="10" customFormat="false" ht="23.85" hidden="false" customHeight="false" outlineLevel="0" collapsed="false">
      <c r="A10" s="2" t="s">
        <v>7</v>
      </c>
    </row>
    <row r="11" customFormat="false" ht="15" hidden="false" customHeight="false" outlineLevel="0" collapsed="false">
      <c r="A11" s="2"/>
    </row>
    <row r="12" customFormat="false" ht="15" hidden="false" customHeight="false" outlineLevel="0" collapsed="false">
      <c r="A12" s="3" t="s">
        <v>8</v>
      </c>
    </row>
    <row r="13" customFormat="false" ht="23.85" hidden="false" customHeight="false" outlineLevel="0" collapsed="false">
      <c r="A13" s="2" t="s">
        <v>9</v>
      </c>
    </row>
    <row r="14" customFormat="false" ht="15" hidden="false" customHeight="false" outlineLevel="0" collapsed="false">
      <c r="A14" s="4" t="s">
        <v>10</v>
      </c>
      <c r="B14" s="5" t="n">
        <v>6</v>
      </c>
    </row>
    <row r="15" customFormat="false" ht="15" hidden="false" customHeight="false" outlineLevel="0" collapsed="false">
      <c r="A15" s="4" t="s">
        <v>11</v>
      </c>
      <c r="B15" s="5" t="n">
        <v>2</v>
      </c>
    </row>
    <row r="16" customFormat="false" ht="15" hidden="false" customHeight="false" outlineLevel="0" collapsed="false">
      <c r="A16" s="4" t="s">
        <v>12</v>
      </c>
      <c r="B16" s="5" t="n">
        <v>4</v>
      </c>
    </row>
    <row r="17" customFormat="false" ht="15" hidden="false" customHeight="false" outlineLevel="0" collapsed="false">
      <c r="A17" s="4" t="s">
        <v>13</v>
      </c>
    </row>
    <row r="19" customFormat="false" ht="15" hidden="false" customHeight="false" outlineLevel="0" collapsed="false">
      <c r="A19" s="6" t="s">
        <v>14</v>
      </c>
    </row>
    <row r="20" customFormat="false" ht="15" hidden="false" customHeight="false" outlineLevel="0" collapsed="false">
      <c r="A20" s="2" t="s">
        <v>15</v>
      </c>
    </row>
    <row r="21" customFormat="false" ht="23.85" hidden="false" customHeight="false" outlineLevel="0" collapsed="false">
      <c r="A21" s="2" t="s">
        <v>16</v>
      </c>
    </row>
    <row r="22" customFormat="false" ht="15" hidden="false" customHeight="false" outlineLevel="0" collapsed="false">
      <c r="A22" s="2" t="s">
        <v>17</v>
      </c>
    </row>
    <row r="23" customFormat="false" ht="23.85" hidden="false" customHeight="false" outlineLevel="0" collapsed="false">
      <c r="A23" s="2" t="s">
        <v>18</v>
      </c>
    </row>
    <row r="24" customFormat="false" ht="15" hidden="false" customHeight="false" outlineLevel="0" collapsed="false">
      <c r="A24" s="2" t="s">
        <v>19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3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32"/>
    <col collapsed="false" customWidth="true" hidden="false" outlineLevel="0" max="3" min="2" style="0" width="10"/>
    <col collapsed="false" customWidth="true" hidden="false" outlineLevel="0" max="6" min="4" style="0" width="9"/>
    <col collapsed="false" customWidth="true" hidden="false" outlineLevel="0" max="7" min="7" style="0" width="8"/>
    <col collapsed="false" customWidth="true" hidden="false" outlineLevel="0" max="8" min="8" style="0" width="16"/>
  </cols>
  <sheetData>
    <row r="1" customFormat="false" ht="19.7" hidden="false" customHeight="false" outlineLevel="0" collapsed="false">
      <c r="A1" s="7" t="s">
        <v>20</v>
      </c>
    </row>
    <row r="3" customFormat="false" ht="17.35" hidden="false" customHeight="false" outlineLevel="0" collapsed="false">
      <c r="A3" s="6" t="s">
        <v>21</v>
      </c>
      <c r="B3" s="8" t="n">
        <f aca="false">COUNTIF(Coverage!$N$2:$N$156,"GAP")</f>
        <v>0</v>
      </c>
    </row>
    <row r="4" customFormat="false" ht="15" hidden="false" customHeight="false" outlineLevel="0" collapsed="false">
      <c r="A4" s="4" t="s">
        <v>22</v>
      </c>
      <c r="B4" s="4" t="n">
        <f aca="false">COUNTA('Use cases'!$C$2:$C$6000)</f>
        <v>2315</v>
      </c>
    </row>
    <row r="5" customFormat="false" ht="15" hidden="false" customHeight="false" outlineLevel="0" collapsed="false">
      <c r="A5" s="4" t="s">
        <v>23</v>
      </c>
      <c r="B5" s="4" t="n">
        <f aca="false">COUNTIF(Coverage!$N$2:$N$156,"Covered")+COUNTIF(Coverage!$N$2:$N$156,"GAP")</f>
        <v>105</v>
      </c>
    </row>
    <row r="6" customFormat="false" ht="15" hidden="false" customHeight="false" outlineLevel="0" collapsed="false">
      <c r="A6" s="4" t="s">
        <v>24</v>
      </c>
      <c r="B6" s="4" t="n">
        <f aca="false">COUNTA('Kit gaps'!$A$2:$A$500)</f>
        <v>106</v>
      </c>
    </row>
    <row r="8" customFormat="false" ht="15" hidden="false" customHeight="false" outlineLevel="0" collapsed="false">
      <c r="A8" s="9" t="s">
        <v>25</v>
      </c>
      <c r="B8" s="9" t="s">
        <v>26</v>
      </c>
      <c r="C8" s="9" t="s">
        <v>22</v>
      </c>
      <c r="D8" s="9" t="s">
        <v>27</v>
      </c>
      <c r="E8" s="9" t="s">
        <v>28</v>
      </c>
      <c r="F8" s="9" t="s">
        <v>29</v>
      </c>
      <c r="G8" s="9" t="s">
        <v>30</v>
      </c>
      <c r="H8" s="9" t="s">
        <v>31</v>
      </c>
    </row>
    <row r="9" customFormat="false" ht="15" hidden="false" customHeight="false" outlineLevel="0" collapsed="false">
      <c r="A9" s="4" t="s">
        <v>32</v>
      </c>
      <c r="B9" s="4" t="n">
        <f aca="false">COUNTIF(Coverage!$B$2:$B$156,A9)</f>
        <v>8</v>
      </c>
      <c r="C9" s="4" t="n">
        <f aca="false">COUNTIF('Use cases'!$B$2:$B$6000,A9)</f>
        <v>146</v>
      </c>
      <c r="D9" s="4" t="n">
        <f aca="false">COUNTIFS('Use cases'!$B$2:$B$6000,$A9,'Use cases'!$S$2:$S$6000,1)</f>
        <v>61</v>
      </c>
      <c r="E9" s="4" t="n">
        <f aca="false">COUNTIFS('Use cases'!$B$2:$B$6000,$A9,'Use cases'!$S$2:$S$6000,2)</f>
        <v>56</v>
      </c>
      <c r="F9" s="4" t="n">
        <f aca="false">COUNTIFS('Use cases'!$B$2:$B$6000,$A9,'Use cases'!$S$2:$S$6000,3)</f>
        <v>29</v>
      </c>
      <c r="G9" s="4" t="n">
        <f aca="false">COUNTIFS(Coverage!$B$2:$B$156,A9,Coverage!$N$2:$N$156,"GAP")</f>
        <v>0</v>
      </c>
      <c r="H9" s="4" t="n">
        <f aca="false">IFERROR(ROUND(AVERAGEIF('Use cases'!$B$2:$B$6000,A9,'Use cases'!$R$2:$R$6000),1),0)</f>
        <v>5.4</v>
      </c>
    </row>
    <row r="10" customFormat="false" ht="15" hidden="false" customHeight="false" outlineLevel="0" collapsed="false">
      <c r="A10" s="4" t="s">
        <v>33</v>
      </c>
      <c r="B10" s="4" t="n">
        <f aca="false">COUNTIF(Coverage!$B$2:$B$156,A10)</f>
        <v>6</v>
      </c>
      <c r="C10" s="4" t="n">
        <f aca="false">COUNTIF('Use cases'!$B$2:$B$6000,A10)</f>
        <v>119</v>
      </c>
      <c r="D10" s="4" t="n">
        <f aca="false">COUNTIFS('Use cases'!$B$2:$B$6000,$A10,'Use cases'!$S$2:$S$6000,1)</f>
        <v>31</v>
      </c>
      <c r="E10" s="4" t="n">
        <f aca="false">COUNTIFS('Use cases'!$B$2:$B$6000,$A10,'Use cases'!$S$2:$S$6000,2)</f>
        <v>57</v>
      </c>
      <c r="F10" s="4" t="n">
        <f aca="false">COUNTIFS('Use cases'!$B$2:$B$6000,$A10,'Use cases'!$S$2:$S$6000,3)</f>
        <v>31</v>
      </c>
      <c r="G10" s="4" t="n">
        <f aca="false">COUNTIFS(Coverage!$B$2:$B$156,A10,Coverage!$N$2:$N$156,"GAP")</f>
        <v>0</v>
      </c>
      <c r="H10" s="4" t="n">
        <f aca="false">IFERROR(ROUND(AVERAGEIF('Use cases'!$B$2:$B$6000,A10,'Use cases'!$R$2:$R$6000),1),0)</f>
        <v>4.4</v>
      </c>
    </row>
    <row r="11" customFormat="false" ht="15" hidden="false" customHeight="false" outlineLevel="0" collapsed="false">
      <c r="A11" s="4" t="s">
        <v>34</v>
      </c>
      <c r="B11" s="4" t="n">
        <f aca="false">COUNTIF(Coverage!$B$2:$B$156,A11)</f>
        <v>6</v>
      </c>
      <c r="C11" s="4" t="n">
        <f aca="false">COUNTIF('Use cases'!$B$2:$B$6000,A11)</f>
        <v>110</v>
      </c>
      <c r="D11" s="4" t="n">
        <f aca="false">COUNTIFS('Use cases'!$B$2:$B$6000,$A11,'Use cases'!$S$2:$S$6000,1)</f>
        <v>22</v>
      </c>
      <c r="E11" s="4" t="n">
        <f aca="false">COUNTIFS('Use cases'!$B$2:$B$6000,$A11,'Use cases'!$S$2:$S$6000,2)</f>
        <v>71</v>
      </c>
      <c r="F11" s="4" t="n">
        <f aca="false">COUNTIFS('Use cases'!$B$2:$B$6000,$A11,'Use cases'!$S$2:$S$6000,3)</f>
        <v>17</v>
      </c>
      <c r="G11" s="4" t="n">
        <f aca="false">COUNTIFS(Coverage!$B$2:$B$156,A11,Coverage!$N$2:$N$156,"GAP")</f>
        <v>0</v>
      </c>
      <c r="H11" s="4" t="n">
        <f aca="false">IFERROR(ROUND(AVERAGEIF('Use cases'!$B$2:$B$6000,A11,'Use cases'!$R$2:$R$6000),1),0)</f>
        <v>3.6</v>
      </c>
    </row>
    <row r="12" customFormat="false" ht="15" hidden="false" customHeight="false" outlineLevel="0" collapsed="false">
      <c r="A12" s="4" t="s">
        <v>35</v>
      </c>
      <c r="B12" s="4" t="n">
        <f aca="false">COUNTIF(Coverage!$B$2:$B$156,A12)</f>
        <v>5</v>
      </c>
      <c r="C12" s="4" t="n">
        <f aca="false">COUNTIF('Use cases'!$B$2:$B$6000,A12)</f>
        <v>94</v>
      </c>
      <c r="D12" s="4" t="n">
        <f aca="false">COUNTIFS('Use cases'!$B$2:$B$6000,$A12,'Use cases'!$S$2:$S$6000,1)</f>
        <v>17</v>
      </c>
      <c r="E12" s="4" t="n">
        <f aca="false">COUNTIFS('Use cases'!$B$2:$B$6000,$A12,'Use cases'!$S$2:$S$6000,2)</f>
        <v>64</v>
      </c>
      <c r="F12" s="4" t="n">
        <f aca="false">COUNTIFS('Use cases'!$B$2:$B$6000,$A12,'Use cases'!$S$2:$S$6000,3)</f>
        <v>13</v>
      </c>
      <c r="G12" s="4" t="n">
        <f aca="false">COUNTIFS(Coverage!$B$2:$B$156,A12,Coverage!$N$2:$N$156,"GAP")</f>
        <v>0</v>
      </c>
      <c r="H12" s="4" t="n">
        <f aca="false">IFERROR(ROUND(AVERAGEIF('Use cases'!$B$2:$B$6000,A12,'Use cases'!$R$2:$R$6000),1),0)</f>
        <v>3.4</v>
      </c>
    </row>
    <row r="13" customFormat="false" ht="15" hidden="false" customHeight="false" outlineLevel="0" collapsed="false">
      <c r="A13" s="4" t="s">
        <v>36</v>
      </c>
      <c r="B13" s="4" t="n">
        <f aca="false">COUNTIF(Coverage!$B$2:$B$156,A13)</f>
        <v>5</v>
      </c>
      <c r="C13" s="4" t="n">
        <f aca="false">COUNTIF('Use cases'!$B$2:$B$6000,A13)</f>
        <v>153</v>
      </c>
      <c r="D13" s="4" t="n">
        <f aca="false">COUNTIFS('Use cases'!$B$2:$B$6000,$A13,'Use cases'!$S$2:$S$6000,1)</f>
        <v>39</v>
      </c>
      <c r="E13" s="4" t="n">
        <f aca="false">COUNTIFS('Use cases'!$B$2:$B$6000,$A13,'Use cases'!$S$2:$S$6000,2)</f>
        <v>83</v>
      </c>
      <c r="F13" s="4" t="n">
        <f aca="false">COUNTIFS('Use cases'!$B$2:$B$6000,$A13,'Use cases'!$S$2:$S$6000,3)</f>
        <v>31</v>
      </c>
      <c r="G13" s="4" t="n">
        <f aca="false">COUNTIFS(Coverage!$B$2:$B$156,A13,Coverage!$N$2:$N$156,"GAP")</f>
        <v>0</v>
      </c>
      <c r="H13" s="4" t="n">
        <f aca="false">IFERROR(ROUND(AVERAGEIF('Use cases'!$B$2:$B$6000,A13,'Use cases'!$R$2:$R$6000),1),0)</f>
        <v>4.2</v>
      </c>
    </row>
    <row r="14" customFormat="false" ht="15" hidden="false" customHeight="false" outlineLevel="0" collapsed="false">
      <c r="A14" s="4" t="s">
        <v>37</v>
      </c>
      <c r="B14" s="4" t="n">
        <f aca="false">COUNTIF(Coverage!$B$2:$B$156,A14)</f>
        <v>4</v>
      </c>
      <c r="C14" s="4" t="n">
        <f aca="false">COUNTIF('Use cases'!$B$2:$B$6000,A14)</f>
        <v>102</v>
      </c>
      <c r="D14" s="4" t="n">
        <f aca="false">COUNTIFS('Use cases'!$B$2:$B$6000,$A14,'Use cases'!$S$2:$S$6000,1)</f>
        <v>37</v>
      </c>
      <c r="E14" s="4" t="n">
        <f aca="false">COUNTIFS('Use cases'!$B$2:$B$6000,$A14,'Use cases'!$S$2:$S$6000,2)</f>
        <v>61</v>
      </c>
      <c r="F14" s="4" t="n">
        <f aca="false">COUNTIFS('Use cases'!$B$2:$B$6000,$A14,'Use cases'!$S$2:$S$6000,3)</f>
        <v>4</v>
      </c>
      <c r="G14" s="4" t="n">
        <f aca="false">COUNTIFS(Coverage!$B$2:$B$156,A14,Coverage!$N$2:$N$156,"GAP")</f>
        <v>0</v>
      </c>
      <c r="H14" s="4" t="n">
        <f aca="false">IFERROR(ROUND(AVERAGEIF('Use cases'!$B$2:$B$6000,A14,'Use cases'!$R$2:$R$6000),1),0)</f>
        <v>5</v>
      </c>
    </row>
    <row r="15" customFormat="false" ht="15" hidden="false" customHeight="false" outlineLevel="0" collapsed="false">
      <c r="A15" s="4" t="s">
        <v>38</v>
      </c>
      <c r="B15" s="4" t="n">
        <f aca="false">COUNTIF(Coverage!$B$2:$B$156,A15)</f>
        <v>3</v>
      </c>
      <c r="C15" s="4" t="n">
        <f aca="false">COUNTIF('Use cases'!$B$2:$B$6000,A15)</f>
        <v>103</v>
      </c>
      <c r="D15" s="4" t="n">
        <f aca="false">COUNTIFS('Use cases'!$B$2:$B$6000,$A15,'Use cases'!$S$2:$S$6000,1)</f>
        <v>27</v>
      </c>
      <c r="E15" s="4" t="n">
        <f aca="false">COUNTIFS('Use cases'!$B$2:$B$6000,$A15,'Use cases'!$S$2:$S$6000,2)</f>
        <v>62</v>
      </c>
      <c r="F15" s="4" t="n">
        <f aca="false">COUNTIFS('Use cases'!$B$2:$B$6000,$A15,'Use cases'!$S$2:$S$6000,3)</f>
        <v>14</v>
      </c>
      <c r="G15" s="4" t="n">
        <f aca="false">COUNTIFS(Coverage!$B$2:$B$156,A15,Coverage!$N$2:$N$156,"GAP")</f>
        <v>0</v>
      </c>
      <c r="H15" s="4" t="n">
        <f aca="false">IFERROR(ROUND(AVERAGEIF('Use cases'!$B$2:$B$6000,A15,'Use cases'!$R$2:$R$6000),1),0)</f>
        <v>4.6</v>
      </c>
    </row>
    <row r="16" customFormat="false" ht="15" hidden="false" customHeight="false" outlineLevel="0" collapsed="false">
      <c r="A16" s="4" t="s">
        <v>39</v>
      </c>
      <c r="B16" s="4" t="n">
        <f aca="false">COUNTIF(Coverage!$B$2:$B$156,A16)</f>
        <v>7</v>
      </c>
      <c r="C16" s="4" t="n">
        <f aca="false">COUNTIF('Use cases'!$B$2:$B$6000,A16)</f>
        <v>204</v>
      </c>
      <c r="D16" s="4" t="n">
        <f aca="false">COUNTIFS('Use cases'!$B$2:$B$6000,$A16,'Use cases'!$S$2:$S$6000,1)</f>
        <v>65</v>
      </c>
      <c r="E16" s="4" t="n">
        <f aca="false">COUNTIFS('Use cases'!$B$2:$B$6000,$A16,'Use cases'!$S$2:$S$6000,2)</f>
        <v>109</v>
      </c>
      <c r="F16" s="4" t="n">
        <f aca="false">COUNTIFS('Use cases'!$B$2:$B$6000,$A16,'Use cases'!$S$2:$S$6000,3)</f>
        <v>30</v>
      </c>
      <c r="G16" s="4" t="n">
        <f aca="false">COUNTIFS(Coverage!$B$2:$B$156,A16,Coverage!$N$2:$N$156,"GAP")</f>
        <v>0</v>
      </c>
      <c r="H16" s="4" t="n">
        <f aca="false">IFERROR(ROUND(AVERAGEIF('Use cases'!$B$2:$B$6000,A16,'Use cases'!$R$2:$R$6000),1),0)</f>
        <v>4.9</v>
      </c>
    </row>
    <row r="17" customFormat="false" ht="15" hidden="false" customHeight="false" outlineLevel="0" collapsed="false">
      <c r="A17" s="4" t="s">
        <v>40</v>
      </c>
      <c r="B17" s="4" t="n">
        <f aca="false">COUNTIF(Coverage!$B$2:$B$156,A17)</f>
        <v>5</v>
      </c>
      <c r="C17" s="4" t="n">
        <f aca="false">COUNTIF('Use cases'!$B$2:$B$6000,A17)</f>
        <v>88</v>
      </c>
      <c r="D17" s="4" t="n">
        <f aca="false">COUNTIFS('Use cases'!$B$2:$B$6000,$A17,'Use cases'!$S$2:$S$6000,1)</f>
        <v>21</v>
      </c>
      <c r="E17" s="4" t="n">
        <f aca="false">COUNTIFS('Use cases'!$B$2:$B$6000,$A17,'Use cases'!$S$2:$S$6000,2)</f>
        <v>47</v>
      </c>
      <c r="F17" s="4" t="n">
        <f aca="false">COUNTIFS('Use cases'!$B$2:$B$6000,$A17,'Use cases'!$S$2:$S$6000,3)</f>
        <v>20</v>
      </c>
      <c r="G17" s="4" t="n">
        <f aca="false">COUNTIFS(Coverage!$B$2:$B$156,A17,Coverage!$N$2:$N$156,"GAP")</f>
        <v>0</v>
      </c>
      <c r="H17" s="4" t="n">
        <f aca="false">IFERROR(ROUND(AVERAGEIF('Use cases'!$B$2:$B$6000,A17,'Use cases'!$R$2:$R$6000),1),0)</f>
        <v>3.7</v>
      </c>
    </row>
    <row r="18" customFormat="false" ht="15" hidden="false" customHeight="false" outlineLevel="0" collapsed="false">
      <c r="A18" s="4" t="s">
        <v>41</v>
      </c>
      <c r="B18" s="4" t="n">
        <f aca="false">COUNTIF(Coverage!$B$2:$B$156,A18)</f>
        <v>6</v>
      </c>
      <c r="C18" s="4" t="n">
        <f aca="false">COUNTIF('Use cases'!$B$2:$B$6000,A18)</f>
        <v>88</v>
      </c>
      <c r="D18" s="4" t="n">
        <f aca="false">COUNTIFS('Use cases'!$B$2:$B$6000,$A18,'Use cases'!$S$2:$S$6000,1)</f>
        <v>18</v>
      </c>
      <c r="E18" s="4" t="n">
        <f aca="false">COUNTIFS('Use cases'!$B$2:$B$6000,$A18,'Use cases'!$S$2:$S$6000,2)</f>
        <v>65</v>
      </c>
      <c r="F18" s="4" t="n">
        <f aca="false">COUNTIFS('Use cases'!$B$2:$B$6000,$A18,'Use cases'!$S$2:$S$6000,3)</f>
        <v>5</v>
      </c>
      <c r="G18" s="4" t="n">
        <f aca="false">COUNTIFS(Coverage!$B$2:$B$156,A18,Coverage!$N$2:$N$156,"GAP")</f>
        <v>0</v>
      </c>
      <c r="H18" s="4" t="n">
        <f aca="false">IFERROR(ROUND(AVERAGEIF('Use cases'!$B$2:$B$6000,A18,'Use cases'!$R$2:$R$6000),1),0)</f>
        <v>3.6</v>
      </c>
    </row>
    <row r="19" customFormat="false" ht="15" hidden="false" customHeight="false" outlineLevel="0" collapsed="false">
      <c r="A19" s="4" t="s">
        <v>42</v>
      </c>
      <c r="B19" s="4" t="n">
        <f aca="false">COUNTIF(Coverage!$B$2:$B$156,A19)</f>
        <v>5</v>
      </c>
      <c r="C19" s="4" t="n">
        <f aca="false">COUNTIF('Use cases'!$B$2:$B$6000,A19)</f>
        <v>115</v>
      </c>
      <c r="D19" s="4" t="n">
        <f aca="false">COUNTIFS('Use cases'!$B$2:$B$6000,$A19,'Use cases'!$S$2:$S$6000,1)</f>
        <v>34</v>
      </c>
      <c r="E19" s="4" t="n">
        <f aca="false">COUNTIFS('Use cases'!$B$2:$B$6000,$A19,'Use cases'!$S$2:$S$6000,2)</f>
        <v>74</v>
      </c>
      <c r="F19" s="4" t="n">
        <f aca="false">COUNTIFS('Use cases'!$B$2:$B$6000,$A19,'Use cases'!$S$2:$S$6000,3)</f>
        <v>7</v>
      </c>
      <c r="G19" s="4" t="n">
        <f aca="false">COUNTIFS(Coverage!$B$2:$B$156,A19,Coverage!$N$2:$N$156,"GAP")</f>
        <v>0</v>
      </c>
      <c r="H19" s="4" t="n">
        <f aca="false">IFERROR(ROUND(AVERAGEIF('Use cases'!$B$2:$B$6000,A19,'Use cases'!$R$2:$R$6000),1),0)</f>
        <v>4.6</v>
      </c>
    </row>
    <row r="20" customFormat="false" ht="15" hidden="false" customHeight="false" outlineLevel="0" collapsed="false">
      <c r="A20" s="4" t="s">
        <v>43</v>
      </c>
      <c r="B20" s="4" t="n">
        <f aca="false">COUNTIF(Coverage!$B$2:$B$156,A20)</f>
        <v>7</v>
      </c>
      <c r="C20" s="4" t="n">
        <f aca="false">COUNTIF('Use cases'!$B$2:$B$6000,A20)</f>
        <v>106</v>
      </c>
      <c r="D20" s="4" t="n">
        <f aca="false">COUNTIFS('Use cases'!$B$2:$B$6000,$A20,'Use cases'!$S$2:$S$6000,1)</f>
        <v>29</v>
      </c>
      <c r="E20" s="4" t="n">
        <f aca="false">COUNTIFS('Use cases'!$B$2:$B$6000,$A20,'Use cases'!$S$2:$S$6000,2)</f>
        <v>57</v>
      </c>
      <c r="F20" s="4" t="n">
        <f aca="false">COUNTIFS('Use cases'!$B$2:$B$6000,$A20,'Use cases'!$S$2:$S$6000,3)</f>
        <v>20</v>
      </c>
      <c r="G20" s="4" t="n">
        <f aca="false">COUNTIFS(Coverage!$B$2:$B$156,A20,Coverage!$N$2:$N$156,"GAP")</f>
        <v>0</v>
      </c>
      <c r="H20" s="4" t="n">
        <f aca="false">IFERROR(ROUND(AVERAGEIF('Use cases'!$B$2:$B$6000,A20,'Use cases'!$R$2:$R$6000),1),0)</f>
        <v>4.1</v>
      </c>
    </row>
    <row r="21" customFormat="false" ht="15" hidden="false" customHeight="false" outlineLevel="0" collapsed="false">
      <c r="A21" s="4" t="s">
        <v>44</v>
      </c>
      <c r="B21" s="4" t="n">
        <f aca="false">COUNTIF(Coverage!$B$2:$B$156,A21)</f>
        <v>4</v>
      </c>
      <c r="C21" s="4" t="n">
        <f aca="false">COUNTIF('Use cases'!$B$2:$B$6000,A21)</f>
        <v>69</v>
      </c>
      <c r="D21" s="4" t="n">
        <f aca="false">COUNTIFS('Use cases'!$B$2:$B$6000,$A21,'Use cases'!$S$2:$S$6000,1)</f>
        <v>0</v>
      </c>
      <c r="E21" s="4" t="n">
        <f aca="false">COUNTIFS('Use cases'!$B$2:$B$6000,$A21,'Use cases'!$S$2:$S$6000,2)</f>
        <v>32</v>
      </c>
      <c r="F21" s="4" t="n">
        <f aca="false">COUNTIFS('Use cases'!$B$2:$B$6000,$A21,'Use cases'!$S$2:$S$6000,3)</f>
        <v>37</v>
      </c>
      <c r="G21" s="4" t="n">
        <f aca="false">COUNTIFS(Coverage!$B$2:$B$156,A21,Coverage!$N$2:$N$156,"GAP")</f>
        <v>0</v>
      </c>
      <c r="H21" s="4" t="n">
        <f aca="false">IFERROR(ROUND(AVERAGEIF('Use cases'!$B$2:$B$6000,A21,'Use cases'!$R$2:$R$6000),1),0)</f>
        <v>1.7</v>
      </c>
    </row>
    <row r="22" customFormat="false" ht="15" hidden="false" customHeight="false" outlineLevel="0" collapsed="false">
      <c r="A22" s="4" t="s">
        <v>45</v>
      </c>
      <c r="B22" s="4" t="n">
        <f aca="false">COUNTIF(Coverage!$B$2:$B$156,A22)</f>
        <v>3</v>
      </c>
      <c r="C22" s="4" t="n">
        <f aca="false">COUNTIF('Use cases'!$B$2:$B$6000,A22)</f>
        <v>44</v>
      </c>
      <c r="D22" s="4" t="n">
        <f aca="false">COUNTIFS('Use cases'!$B$2:$B$6000,$A22,'Use cases'!$S$2:$S$6000,1)</f>
        <v>0</v>
      </c>
      <c r="E22" s="4" t="n">
        <f aca="false">COUNTIFS('Use cases'!$B$2:$B$6000,$A22,'Use cases'!$S$2:$S$6000,2)</f>
        <v>36</v>
      </c>
      <c r="F22" s="4" t="n">
        <f aca="false">COUNTIFS('Use cases'!$B$2:$B$6000,$A22,'Use cases'!$S$2:$S$6000,3)</f>
        <v>8</v>
      </c>
      <c r="G22" s="4" t="n">
        <f aca="false">COUNTIFS(Coverage!$B$2:$B$156,A22,Coverage!$N$2:$N$156,"GAP")</f>
        <v>0</v>
      </c>
      <c r="H22" s="4" t="n">
        <f aca="false">IFERROR(ROUND(AVERAGEIF('Use cases'!$B$2:$B$6000,A22,'Use cases'!$R$2:$R$6000),1),0)</f>
        <v>2</v>
      </c>
    </row>
    <row r="23" customFormat="false" ht="15" hidden="false" customHeight="false" outlineLevel="0" collapsed="false">
      <c r="A23" s="4" t="s">
        <v>46</v>
      </c>
      <c r="B23" s="4" t="n">
        <f aca="false">COUNTIF(Coverage!$B$2:$B$156,A23)</f>
        <v>5</v>
      </c>
      <c r="C23" s="4" t="n">
        <f aca="false">COUNTIF('Use cases'!$B$2:$B$6000,A23)</f>
        <v>90</v>
      </c>
      <c r="D23" s="4" t="n">
        <f aca="false">COUNTIFS('Use cases'!$B$2:$B$6000,$A23,'Use cases'!$S$2:$S$6000,1)</f>
        <v>4</v>
      </c>
      <c r="E23" s="4" t="n">
        <f aca="false">COUNTIFS('Use cases'!$B$2:$B$6000,$A23,'Use cases'!$S$2:$S$6000,2)</f>
        <v>46</v>
      </c>
      <c r="F23" s="4" t="n">
        <f aca="false">COUNTIFS('Use cases'!$B$2:$B$6000,$A23,'Use cases'!$S$2:$S$6000,3)</f>
        <v>40</v>
      </c>
      <c r="G23" s="4" t="n">
        <f aca="false">COUNTIFS(Coverage!$B$2:$B$156,A23,Coverage!$N$2:$N$156,"GAP")</f>
        <v>0</v>
      </c>
      <c r="H23" s="4" t="n">
        <f aca="false">IFERROR(ROUND(AVERAGEIF('Use cases'!$B$2:$B$6000,A23,'Use cases'!$R$2:$R$6000),1),0)</f>
        <v>2.3</v>
      </c>
    </row>
    <row r="24" customFormat="false" ht="15" hidden="false" customHeight="false" outlineLevel="0" collapsed="false">
      <c r="A24" s="4" t="s">
        <v>47</v>
      </c>
      <c r="B24" s="4" t="n">
        <f aca="false">COUNTIF(Coverage!$B$2:$B$156,A24)</f>
        <v>5</v>
      </c>
      <c r="C24" s="4" t="n">
        <f aca="false">COUNTIF('Use cases'!$B$2:$B$6000,A24)</f>
        <v>92</v>
      </c>
      <c r="D24" s="4" t="n">
        <f aca="false">COUNTIFS('Use cases'!$B$2:$B$6000,$A24,'Use cases'!$S$2:$S$6000,1)</f>
        <v>17</v>
      </c>
      <c r="E24" s="4" t="n">
        <f aca="false">COUNTIFS('Use cases'!$B$2:$B$6000,$A24,'Use cases'!$S$2:$S$6000,2)</f>
        <v>50</v>
      </c>
      <c r="F24" s="4" t="n">
        <f aca="false">COUNTIFS('Use cases'!$B$2:$B$6000,$A24,'Use cases'!$S$2:$S$6000,3)</f>
        <v>25</v>
      </c>
      <c r="G24" s="4" t="n">
        <f aca="false">COUNTIFS(Coverage!$B$2:$B$156,A24,Coverage!$N$2:$N$156,"GAP")</f>
        <v>0</v>
      </c>
      <c r="H24" s="4" t="n">
        <f aca="false">IFERROR(ROUND(AVERAGEIF('Use cases'!$B$2:$B$6000,A24,'Use cases'!$R$2:$R$6000),1),0)</f>
        <v>3.3</v>
      </c>
    </row>
    <row r="25" customFormat="false" ht="15" hidden="false" customHeight="false" outlineLevel="0" collapsed="false">
      <c r="A25" s="4" t="s">
        <v>48</v>
      </c>
      <c r="B25" s="4" t="n">
        <f aca="false">COUNTIF(Coverage!$B$2:$B$156,A25)</f>
        <v>7</v>
      </c>
      <c r="C25" s="4" t="n">
        <f aca="false">COUNTIF('Use cases'!$B$2:$B$6000,A25)</f>
        <v>182</v>
      </c>
      <c r="D25" s="4" t="n">
        <f aca="false">COUNTIFS('Use cases'!$B$2:$B$6000,$A25,'Use cases'!$S$2:$S$6000,1)</f>
        <v>23</v>
      </c>
      <c r="E25" s="4" t="n">
        <f aca="false">COUNTIFS('Use cases'!$B$2:$B$6000,$A25,'Use cases'!$S$2:$S$6000,2)</f>
        <v>93</v>
      </c>
      <c r="F25" s="4" t="n">
        <f aca="false">COUNTIFS('Use cases'!$B$2:$B$6000,$A25,'Use cases'!$S$2:$S$6000,3)</f>
        <v>66</v>
      </c>
      <c r="G25" s="4" t="n">
        <f aca="false">COUNTIFS(Coverage!$B$2:$B$156,A25,Coverage!$N$2:$N$156,"GAP")</f>
        <v>0</v>
      </c>
      <c r="H25" s="4" t="n">
        <f aca="false">IFERROR(ROUND(AVERAGEIF('Use cases'!$B$2:$B$6000,A25,'Use cases'!$R$2:$R$6000),1),0)</f>
        <v>3.1</v>
      </c>
    </row>
    <row r="26" customFormat="false" ht="15" hidden="false" customHeight="false" outlineLevel="0" collapsed="false">
      <c r="A26" s="4" t="s">
        <v>49</v>
      </c>
      <c r="B26" s="4" t="n">
        <f aca="false">COUNTIF(Coverage!$B$2:$B$156,A26)</f>
        <v>8</v>
      </c>
      <c r="C26" s="4" t="n">
        <f aca="false">COUNTIF('Use cases'!$B$2:$B$6000,A26)</f>
        <v>279</v>
      </c>
      <c r="D26" s="4" t="n">
        <f aca="false">COUNTIFS('Use cases'!$B$2:$B$6000,$A26,'Use cases'!$S$2:$S$6000,1)</f>
        <v>37</v>
      </c>
      <c r="E26" s="4" t="n">
        <f aca="false">COUNTIFS('Use cases'!$B$2:$B$6000,$A26,'Use cases'!$S$2:$S$6000,2)</f>
        <v>138</v>
      </c>
      <c r="F26" s="4" t="n">
        <f aca="false">COUNTIFS('Use cases'!$B$2:$B$6000,$A26,'Use cases'!$S$2:$S$6000,3)</f>
        <v>104</v>
      </c>
      <c r="G26" s="4" t="n">
        <f aca="false">COUNTIFS(Coverage!$B$2:$B$156,A26,Coverage!$N$2:$N$156,"GAP")</f>
        <v>0</v>
      </c>
      <c r="H26" s="4" t="n">
        <f aca="false">IFERROR(ROUND(AVERAGEIF('Use cases'!$B$2:$B$6000,A26,'Use cases'!$R$2:$R$6000),1),0)</f>
        <v>3.1</v>
      </c>
    </row>
    <row r="27" customFormat="false" ht="15" hidden="false" customHeight="false" outlineLevel="0" collapsed="false">
      <c r="A27" s="4" t="s">
        <v>50</v>
      </c>
      <c r="B27" s="4" t="n">
        <f aca="false">COUNTIF(Coverage!$B$2:$B$156,A27)</f>
        <v>6</v>
      </c>
      <c r="C27" s="4" t="n">
        <f aca="false">COUNTIF('Use cases'!$B$2:$B$6000,A27)</f>
        <v>131</v>
      </c>
      <c r="D27" s="4" t="n">
        <f aca="false">COUNTIFS('Use cases'!$B$2:$B$6000,$A27,'Use cases'!$S$2:$S$6000,1)</f>
        <v>30</v>
      </c>
      <c r="E27" s="4" t="n">
        <f aca="false">COUNTIFS('Use cases'!$B$2:$B$6000,$A27,'Use cases'!$S$2:$S$6000,2)</f>
        <v>84</v>
      </c>
      <c r="F27" s="4" t="n">
        <f aca="false">COUNTIFS('Use cases'!$B$2:$B$6000,$A27,'Use cases'!$S$2:$S$6000,3)</f>
        <v>17</v>
      </c>
      <c r="G27" s="4" t="n">
        <f aca="false">COUNTIFS(Coverage!$B$2:$B$156,A27,Coverage!$N$2:$N$156,"GAP")</f>
        <v>0</v>
      </c>
      <c r="H27" s="4" t="n">
        <f aca="false">IFERROR(ROUND(AVERAGEIF('Use cases'!$B$2:$B$6000,A27,'Use cases'!$R$2:$R$6000),1),0)</f>
        <v>3.4</v>
      </c>
    </row>
    <row r="28" customFormat="false" ht="15" hidden="false" customHeight="false" outlineLevel="0" collapsed="false">
      <c r="A28" s="6" t="s">
        <v>51</v>
      </c>
      <c r="B28" s="6" t="n">
        <f aca="false">SUM(B9:B27)</f>
        <v>105</v>
      </c>
      <c r="C28" s="6" t="n">
        <f aca="false">SUM(C9:C27)</f>
        <v>2315</v>
      </c>
      <c r="D28" s="6" t="n">
        <f aca="false">SUM(D9:D27)</f>
        <v>512</v>
      </c>
      <c r="E28" s="6" t="n">
        <f aca="false">SUM(E9:E27)</f>
        <v>1285</v>
      </c>
      <c r="F28" s="6" t="n">
        <f aca="false">SUM(F9:F27)</f>
        <v>518</v>
      </c>
      <c r="G28" s="6" t="n">
        <f aca="false">SUM(G9:G27)</f>
        <v>0</v>
      </c>
      <c r="H28" s="6" t="n">
        <f aca="false">ROUND(AVERAGE('Use cases'!$R$2:$R$6000),1)</f>
        <v>3.8</v>
      </c>
    </row>
    <row r="30" customFormat="false" ht="15" hidden="false" customHeight="false" outlineLevel="0" collapsed="false">
      <c r="A30" s="4" t="s">
        <v>52</v>
      </c>
    </row>
  </sheetData>
  <conditionalFormatting sqref="B3">
    <cfRule type="cellIs" priority="2" operator="greaterThan" aboveAverage="0" equalAverage="0" bottom="0" percent="0" rank="0" text="" dxfId="0">
      <formula>0</formula>
    </cfRule>
    <cfRule type="cellIs" priority="3" operator="equal" aboveAverage="0" equalAverage="0" bottom="0" percent="0" rank="0" text="" dxfId="1">
      <formula>0</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10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8"/>
    <col collapsed="false" customWidth="true" hidden="false" outlineLevel="0" max="2" min="2" style="0" width="22"/>
    <col collapsed="false" customWidth="true" hidden="false" outlineLevel="0" max="3" min="3" style="0" width="28"/>
    <col collapsed="false" customWidth="true" hidden="false" outlineLevel="0" max="5" min="4" style="0" width="34"/>
    <col collapsed="false" customWidth="true" hidden="false" outlineLevel="0" max="6" min="6" style="0" width="20"/>
    <col collapsed="false" customWidth="true" hidden="false" outlineLevel="0" max="8" min="7" style="0" width="9"/>
    <col collapsed="false" customWidth="true" hidden="false" outlineLevel="0" max="9" min="9" style="0" width="10"/>
    <col collapsed="false" customWidth="true" hidden="false" outlineLevel="0" max="10" min="10" style="0" width="8"/>
    <col collapsed="false" customWidth="true" hidden="false" outlineLevel="0" max="11" min="11" style="0" width="10"/>
    <col collapsed="false" customWidth="true" hidden="false" outlineLevel="0" max="12" min="12" style="0" width="9"/>
    <col collapsed="false" customWidth="true" hidden="false" outlineLevel="0" max="14" min="13" style="0" width="10"/>
  </cols>
  <sheetData>
    <row r="1" customFormat="false" ht="35.05" hidden="false" customHeight="false" outlineLevel="0" collapsed="false">
      <c r="A1" s="10" t="s">
        <v>53</v>
      </c>
      <c r="B1" s="10" t="s">
        <v>25</v>
      </c>
      <c r="C1" s="10" t="s">
        <v>54</v>
      </c>
      <c r="D1" s="10" t="s">
        <v>55</v>
      </c>
      <c r="E1" s="10" t="s">
        <v>56</v>
      </c>
      <c r="F1" s="10" t="s">
        <v>57</v>
      </c>
      <c r="G1" s="10" t="s">
        <v>22</v>
      </c>
      <c r="H1" s="10" t="s">
        <v>58</v>
      </c>
      <c r="I1" s="10" t="s">
        <v>59</v>
      </c>
      <c r="J1" s="10" t="s">
        <v>60</v>
      </c>
      <c r="K1" s="10" t="s">
        <v>61</v>
      </c>
      <c r="L1" s="10" t="s">
        <v>62</v>
      </c>
      <c r="M1" s="10" t="s">
        <v>63</v>
      </c>
      <c r="N1" s="10" t="s">
        <v>64</v>
      </c>
    </row>
    <row r="2" customFormat="false" ht="23.85" hidden="false" customHeight="false" outlineLevel="0" collapsed="false">
      <c r="A2" s="11" t="s">
        <v>65</v>
      </c>
      <c r="B2" s="11" t="s">
        <v>32</v>
      </c>
      <c r="C2" s="11" t="s">
        <v>66</v>
      </c>
      <c r="D2" s="11" t="s">
        <v>67</v>
      </c>
      <c r="E2" s="11" t="s">
        <v>68</v>
      </c>
      <c r="F2" s="11" t="s">
        <v>69</v>
      </c>
      <c r="G2" s="12" t="n">
        <f aca="false">COUNTIF('Use cases'!$C$2:$C$6000,A2)</f>
        <v>34</v>
      </c>
      <c r="H2" s="12" t="n">
        <f aca="false">COUNTIFS('Use cases'!$C$2:$C$6000,A2,'Use cases'!$H$2:$H$6000,"")</f>
        <v>30</v>
      </c>
      <c r="I2" s="12" t="n">
        <f aca="false">G2-H2</f>
        <v>4</v>
      </c>
      <c r="J2" s="12" t="n">
        <f aca="false">COUNTIFS('Use cases'!$C$2:$C$6000,A2,'Use cases'!$E$2:$E$6000,"Pay")</f>
        <v>0</v>
      </c>
      <c r="K2" s="12" t="n">
        <f aca="false">COUNTIFS('Use cases'!$C$2:$C$6000,A2,'Use cases'!$K$2:$K$6000,"*Handoff*")</f>
        <v>1</v>
      </c>
      <c r="L2" s="12" t="n">
        <f aca="false">COUNTIFS('Use cases'!$C$2:$C$6000,A2,'Use cases'!$I$2:$I$6000,"(Gratifi starts it)*")</f>
        <v>1</v>
      </c>
      <c r="M2" s="12" t="n">
        <f aca="false">COUNTIFS('Use cases'!$C$2:$C$6000,A2,'Use cases'!$K$2:$K$6000,"*NEW:*")</f>
        <v>0</v>
      </c>
      <c r="N2" s="13" t="str">
        <f aca="false">IF(AND(G2&gt;=6,H2&gt;=2,I2&gt;=2),"Covered","GAP")</f>
        <v>Covered</v>
      </c>
    </row>
    <row r="3" customFormat="false" ht="15" hidden="false" customHeight="false" outlineLevel="0" collapsed="false">
      <c r="A3" s="11" t="s">
        <v>70</v>
      </c>
      <c r="B3" s="11" t="s">
        <v>32</v>
      </c>
      <c r="C3" s="11" t="s">
        <v>71</v>
      </c>
      <c r="D3" s="11" t="s">
        <v>72</v>
      </c>
      <c r="E3" s="11" t="s">
        <v>73</v>
      </c>
      <c r="F3" s="11" t="s">
        <v>69</v>
      </c>
      <c r="G3" s="12" t="n">
        <f aca="false">COUNTIF('Use cases'!$C$2:$C$6000,A3)</f>
        <v>10</v>
      </c>
      <c r="H3" s="12" t="n">
        <f aca="false">COUNTIFS('Use cases'!$C$2:$C$6000,A3,'Use cases'!$H$2:$H$6000,"")</f>
        <v>7</v>
      </c>
      <c r="I3" s="12" t="n">
        <f aca="false">G3-H3</f>
        <v>3</v>
      </c>
      <c r="J3" s="12" t="n">
        <f aca="false">COUNTIFS('Use cases'!$C$2:$C$6000,A3,'Use cases'!$E$2:$E$6000,"Pay")</f>
        <v>2</v>
      </c>
      <c r="K3" s="12" t="n">
        <f aca="false">COUNTIFS('Use cases'!$C$2:$C$6000,A3,'Use cases'!$K$2:$K$6000,"*Handoff*")</f>
        <v>3</v>
      </c>
      <c r="L3" s="12" t="n">
        <f aca="false">COUNTIFS('Use cases'!$C$2:$C$6000,A3,'Use cases'!$I$2:$I$6000,"(Gratifi starts it)*")</f>
        <v>0</v>
      </c>
      <c r="M3" s="12" t="n">
        <f aca="false">COUNTIFS('Use cases'!$C$2:$C$6000,A3,'Use cases'!$K$2:$K$6000,"*NEW:*")</f>
        <v>0</v>
      </c>
      <c r="N3" s="13" t="str">
        <f aca="false">IF(AND(G3&gt;=6,H3&gt;=2,I3&gt;=2),"Covered","GAP")</f>
        <v>Covered</v>
      </c>
    </row>
    <row r="4" customFormat="false" ht="15" hidden="false" customHeight="false" outlineLevel="0" collapsed="false">
      <c r="A4" s="11" t="s">
        <v>74</v>
      </c>
      <c r="B4" s="11" t="s">
        <v>32</v>
      </c>
      <c r="C4" s="11" t="s">
        <v>75</v>
      </c>
      <c r="D4" s="11" t="s">
        <v>76</v>
      </c>
      <c r="E4" s="11" t="s">
        <v>77</v>
      </c>
      <c r="F4" s="11" t="s">
        <v>78</v>
      </c>
      <c r="G4" s="12" t="n">
        <f aca="false">COUNTIF('Use cases'!$C$2:$C$6000,A4)</f>
        <v>9</v>
      </c>
      <c r="H4" s="12" t="n">
        <f aca="false">COUNTIFS('Use cases'!$C$2:$C$6000,A4,'Use cases'!$H$2:$H$6000,"")</f>
        <v>7</v>
      </c>
      <c r="I4" s="12" t="n">
        <f aca="false">G4-H4</f>
        <v>2</v>
      </c>
      <c r="J4" s="12" t="n">
        <f aca="false">COUNTIFS('Use cases'!$C$2:$C$6000,A4,'Use cases'!$E$2:$E$6000,"Pay")</f>
        <v>1</v>
      </c>
      <c r="K4" s="12" t="n">
        <f aca="false">COUNTIFS('Use cases'!$C$2:$C$6000,A4,'Use cases'!$K$2:$K$6000,"*Handoff*")</f>
        <v>1</v>
      </c>
      <c r="L4" s="12" t="n">
        <f aca="false">COUNTIFS('Use cases'!$C$2:$C$6000,A4,'Use cases'!$I$2:$I$6000,"(Gratifi starts it)*")</f>
        <v>1</v>
      </c>
      <c r="M4" s="12" t="n">
        <f aca="false">COUNTIFS('Use cases'!$C$2:$C$6000,A4,'Use cases'!$K$2:$K$6000,"*NEW:*")</f>
        <v>0</v>
      </c>
      <c r="N4" s="13" t="str">
        <f aca="false">IF(AND(G4&gt;=6,H4&gt;=2,I4&gt;=2),"Covered","GAP")</f>
        <v>Covered</v>
      </c>
    </row>
    <row r="5" customFormat="false" ht="15" hidden="false" customHeight="false" outlineLevel="0" collapsed="false">
      <c r="A5" s="11" t="s">
        <v>79</v>
      </c>
      <c r="B5" s="11" t="s">
        <v>32</v>
      </c>
      <c r="C5" s="11" t="s">
        <v>80</v>
      </c>
      <c r="D5" s="11" t="s">
        <v>81</v>
      </c>
      <c r="E5" s="11" t="s">
        <v>82</v>
      </c>
      <c r="F5" s="11" t="s">
        <v>69</v>
      </c>
      <c r="G5" s="12" t="n">
        <f aca="false">COUNTIF('Use cases'!$C$2:$C$6000,A5)</f>
        <v>18</v>
      </c>
      <c r="H5" s="12" t="n">
        <f aca="false">COUNTIFS('Use cases'!$C$2:$C$6000,A5,'Use cases'!$H$2:$H$6000,"")</f>
        <v>14</v>
      </c>
      <c r="I5" s="12" t="n">
        <f aca="false">G5-H5</f>
        <v>4</v>
      </c>
      <c r="J5" s="12" t="n">
        <f aca="false">COUNTIFS('Use cases'!$C$2:$C$6000,A5,'Use cases'!$E$2:$E$6000,"Pay")</f>
        <v>0</v>
      </c>
      <c r="K5" s="12" t="n">
        <f aca="false">COUNTIFS('Use cases'!$C$2:$C$6000,A5,'Use cases'!$K$2:$K$6000,"*Handoff*")</f>
        <v>3</v>
      </c>
      <c r="L5" s="12" t="n">
        <f aca="false">COUNTIFS('Use cases'!$C$2:$C$6000,A5,'Use cases'!$I$2:$I$6000,"(Gratifi starts it)*")</f>
        <v>0</v>
      </c>
      <c r="M5" s="12" t="n">
        <f aca="false">COUNTIFS('Use cases'!$C$2:$C$6000,A5,'Use cases'!$K$2:$K$6000,"*NEW:*")</f>
        <v>0</v>
      </c>
      <c r="N5" s="13" t="str">
        <f aca="false">IF(AND(G5&gt;=6,H5&gt;=2,I5&gt;=2),"Covered","GAP")</f>
        <v>Covered</v>
      </c>
    </row>
    <row r="6" customFormat="false" ht="15" hidden="false" customHeight="false" outlineLevel="0" collapsed="false">
      <c r="A6" s="11" t="s">
        <v>83</v>
      </c>
      <c r="B6" s="11" t="s">
        <v>32</v>
      </c>
      <c r="C6" s="11" t="s">
        <v>84</v>
      </c>
      <c r="D6" s="11" t="s">
        <v>85</v>
      </c>
      <c r="E6" s="11" t="s">
        <v>86</v>
      </c>
      <c r="F6" s="11" t="s">
        <v>69</v>
      </c>
      <c r="G6" s="12" t="n">
        <f aca="false">COUNTIF('Use cases'!$C$2:$C$6000,A6)</f>
        <v>11</v>
      </c>
      <c r="H6" s="12" t="n">
        <f aca="false">COUNTIFS('Use cases'!$C$2:$C$6000,A6,'Use cases'!$H$2:$H$6000,"")</f>
        <v>8</v>
      </c>
      <c r="I6" s="12" t="n">
        <f aca="false">G6-H6</f>
        <v>3</v>
      </c>
      <c r="J6" s="12" t="n">
        <f aca="false">COUNTIFS('Use cases'!$C$2:$C$6000,A6,'Use cases'!$E$2:$E$6000,"Pay")</f>
        <v>0</v>
      </c>
      <c r="K6" s="12" t="n">
        <f aca="false">COUNTIFS('Use cases'!$C$2:$C$6000,A6,'Use cases'!$K$2:$K$6000,"*Handoff*")</f>
        <v>1</v>
      </c>
      <c r="L6" s="12" t="n">
        <f aca="false">COUNTIFS('Use cases'!$C$2:$C$6000,A6,'Use cases'!$I$2:$I$6000,"(Gratifi starts it)*")</f>
        <v>0</v>
      </c>
      <c r="M6" s="12" t="n">
        <f aca="false">COUNTIFS('Use cases'!$C$2:$C$6000,A6,'Use cases'!$K$2:$K$6000,"*NEW:*")</f>
        <v>0</v>
      </c>
      <c r="N6" s="13" t="str">
        <f aca="false">IF(AND(G6&gt;=6,H6&gt;=2,I6&gt;=2),"Covered","GAP")</f>
        <v>Covered</v>
      </c>
    </row>
    <row r="7" customFormat="false" ht="15" hidden="false" customHeight="false" outlineLevel="0" collapsed="false">
      <c r="A7" s="11" t="s">
        <v>87</v>
      </c>
      <c r="B7" s="11" t="s">
        <v>32</v>
      </c>
      <c r="C7" s="11" t="s">
        <v>88</v>
      </c>
      <c r="D7" s="11" t="s">
        <v>89</v>
      </c>
      <c r="E7" s="11" t="s">
        <v>90</v>
      </c>
      <c r="F7" s="11" t="s">
        <v>69</v>
      </c>
      <c r="G7" s="12" t="n">
        <f aca="false">COUNTIF('Use cases'!$C$2:$C$6000,A7)</f>
        <v>23</v>
      </c>
      <c r="H7" s="12" t="n">
        <f aca="false">COUNTIFS('Use cases'!$C$2:$C$6000,A7,'Use cases'!$H$2:$H$6000,"")</f>
        <v>19</v>
      </c>
      <c r="I7" s="12" t="n">
        <f aca="false">G7-H7</f>
        <v>4</v>
      </c>
      <c r="J7" s="12" t="n">
        <f aca="false">COUNTIFS('Use cases'!$C$2:$C$6000,A7,'Use cases'!$E$2:$E$6000,"Pay")</f>
        <v>0</v>
      </c>
      <c r="K7" s="12" t="n">
        <f aca="false">COUNTIFS('Use cases'!$C$2:$C$6000,A7,'Use cases'!$K$2:$K$6000,"*Handoff*")</f>
        <v>3</v>
      </c>
      <c r="L7" s="12" t="n">
        <f aca="false">COUNTIFS('Use cases'!$C$2:$C$6000,A7,'Use cases'!$I$2:$I$6000,"(Gratifi starts it)*")</f>
        <v>2</v>
      </c>
      <c r="M7" s="12" t="n">
        <f aca="false">COUNTIFS('Use cases'!$C$2:$C$6000,A7,'Use cases'!$K$2:$K$6000,"*NEW:*")</f>
        <v>0</v>
      </c>
      <c r="N7" s="13" t="str">
        <f aca="false">IF(AND(G7&gt;=6,H7&gt;=2,I7&gt;=2),"Covered","GAP")</f>
        <v>Covered</v>
      </c>
    </row>
    <row r="8" customFormat="false" ht="15" hidden="false" customHeight="false" outlineLevel="0" collapsed="false">
      <c r="A8" s="11" t="s">
        <v>91</v>
      </c>
      <c r="B8" s="11" t="s">
        <v>32</v>
      </c>
      <c r="C8" s="11" t="s">
        <v>92</v>
      </c>
      <c r="D8" s="11" t="s">
        <v>93</v>
      </c>
      <c r="E8" s="11" t="s">
        <v>94</v>
      </c>
      <c r="F8" s="11" t="s">
        <v>69</v>
      </c>
      <c r="G8" s="12" t="n">
        <f aca="false">COUNTIF('Use cases'!$C$2:$C$6000,A8)</f>
        <v>15</v>
      </c>
      <c r="H8" s="12" t="n">
        <f aca="false">COUNTIFS('Use cases'!$C$2:$C$6000,A8,'Use cases'!$H$2:$H$6000,"")</f>
        <v>4</v>
      </c>
      <c r="I8" s="12" t="n">
        <f aca="false">G8-H8</f>
        <v>11</v>
      </c>
      <c r="J8" s="12" t="n">
        <f aca="false">COUNTIFS('Use cases'!$C$2:$C$6000,A8,'Use cases'!$E$2:$E$6000,"Pay")</f>
        <v>0</v>
      </c>
      <c r="K8" s="12" t="n">
        <f aca="false">COUNTIFS('Use cases'!$C$2:$C$6000,A8,'Use cases'!$K$2:$K$6000,"*Handoff*")</f>
        <v>7</v>
      </c>
      <c r="L8" s="12" t="n">
        <f aca="false">COUNTIFS('Use cases'!$C$2:$C$6000,A8,'Use cases'!$I$2:$I$6000,"(Gratifi starts it)*")</f>
        <v>9</v>
      </c>
      <c r="M8" s="12" t="n">
        <f aca="false">COUNTIFS('Use cases'!$C$2:$C$6000,A8,'Use cases'!$K$2:$K$6000,"*NEW:*")</f>
        <v>0</v>
      </c>
      <c r="N8" s="13" t="str">
        <f aca="false">IF(AND(G8&gt;=6,H8&gt;=2,I8&gt;=2),"Covered","GAP")</f>
        <v>Covered</v>
      </c>
    </row>
    <row r="9" customFormat="false" ht="15" hidden="false" customHeight="false" outlineLevel="0" collapsed="false">
      <c r="A9" s="11" t="s">
        <v>95</v>
      </c>
      <c r="B9" s="11" t="s">
        <v>32</v>
      </c>
      <c r="C9" s="11" t="s">
        <v>96</v>
      </c>
      <c r="D9" s="11" t="s">
        <v>97</v>
      </c>
      <c r="E9" s="11" t="s">
        <v>98</v>
      </c>
      <c r="F9" s="11" t="s">
        <v>69</v>
      </c>
      <c r="G9" s="12" t="n">
        <f aca="false">COUNTIF('Use cases'!$C$2:$C$6000,A9)</f>
        <v>26</v>
      </c>
      <c r="H9" s="12" t="n">
        <f aca="false">COUNTIFS('Use cases'!$C$2:$C$6000,A9,'Use cases'!$H$2:$H$6000,"")</f>
        <v>21</v>
      </c>
      <c r="I9" s="12" t="n">
        <f aca="false">G9-H9</f>
        <v>5</v>
      </c>
      <c r="J9" s="12" t="n">
        <f aca="false">COUNTIFS('Use cases'!$C$2:$C$6000,A9,'Use cases'!$E$2:$E$6000,"Pay")</f>
        <v>15</v>
      </c>
      <c r="K9" s="12" t="n">
        <f aca="false">COUNTIFS('Use cases'!$C$2:$C$6000,A9,'Use cases'!$K$2:$K$6000,"*Handoff*")</f>
        <v>3</v>
      </c>
      <c r="L9" s="12" t="n">
        <f aca="false">COUNTIFS('Use cases'!$C$2:$C$6000,A9,'Use cases'!$I$2:$I$6000,"(Gratifi starts it)*")</f>
        <v>1</v>
      </c>
      <c r="M9" s="12" t="n">
        <f aca="false">COUNTIFS('Use cases'!$C$2:$C$6000,A9,'Use cases'!$K$2:$K$6000,"*NEW:*")</f>
        <v>0</v>
      </c>
      <c r="N9" s="13" t="str">
        <f aca="false">IF(AND(G9&gt;=6,H9&gt;=2,I9&gt;=2),"Covered","GAP")</f>
        <v>Covered</v>
      </c>
    </row>
    <row r="10" customFormat="false" ht="23.85" hidden="false" customHeight="false" outlineLevel="0" collapsed="false">
      <c r="A10" s="11" t="s">
        <v>99</v>
      </c>
      <c r="B10" s="11" t="s">
        <v>33</v>
      </c>
      <c r="C10" s="11" t="s">
        <v>100</v>
      </c>
      <c r="D10" s="11" t="s">
        <v>101</v>
      </c>
      <c r="E10" s="11" t="s">
        <v>102</v>
      </c>
      <c r="F10" s="11" t="s">
        <v>103</v>
      </c>
      <c r="G10" s="12" t="n">
        <f aca="false">COUNTIF('Use cases'!$C$2:$C$6000,A10)</f>
        <v>36</v>
      </c>
      <c r="H10" s="12" t="n">
        <f aca="false">COUNTIFS('Use cases'!$C$2:$C$6000,A10,'Use cases'!$H$2:$H$6000,"")</f>
        <v>29</v>
      </c>
      <c r="I10" s="12" t="n">
        <f aca="false">G10-H10</f>
        <v>7</v>
      </c>
      <c r="J10" s="12" t="n">
        <f aca="false">COUNTIFS('Use cases'!$C$2:$C$6000,A10,'Use cases'!$E$2:$E$6000,"Pay")</f>
        <v>8</v>
      </c>
      <c r="K10" s="12" t="n">
        <f aca="false">COUNTIFS('Use cases'!$C$2:$C$6000,A10,'Use cases'!$K$2:$K$6000,"*Handoff*")</f>
        <v>3</v>
      </c>
      <c r="L10" s="12" t="n">
        <f aca="false">COUNTIFS('Use cases'!$C$2:$C$6000,A10,'Use cases'!$I$2:$I$6000,"(Gratifi starts it)*")</f>
        <v>2</v>
      </c>
      <c r="M10" s="12" t="n">
        <f aca="false">COUNTIFS('Use cases'!$C$2:$C$6000,A10,'Use cases'!$K$2:$K$6000,"*NEW:*")</f>
        <v>4</v>
      </c>
      <c r="N10" s="13" t="str">
        <f aca="false">IF(AND(G10&gt;=6,H10&gt;=2,I10&gt;=2),"Covered","GAP")</f>
        <v>Covered</v>
      </c>
    </row>
    <row r="11" customFormat="false" ht="15" hidden="false" customHeight="false" outlineLevel="0" collapsed="false">
      <c r="A11" s="11" t="s">
        <v>104</v>
      </c>
      <c r="B11" s="11" t="s">
        <v>33</v>
      </c>
      <c r="C11" s="11" t="s">
        <v>105</v>
      </c>
      <c r="D11" s="11" t="s">
        <v>106</v>
      </c>
      <c r="E11" s="11" t="s">
        <v>107</v>
      </c>
      <c r="F11" s="11" t="s">
        <v>78</v>
      </c>
      <c r="G11" s="12" t="n">
        <f aca="false">COUNTIF('Use cases'!$C$2:$C$6000,A11)</f>
        <v>17</v>
      </c>
      <c r="H11" s="12" t="n">
        <f aca="false">COUNTIFS('Use cases'!$C$2:$C$6000,A11,'Use cases'!$H$2:$H$6000,"")</f>
        <v>11</v>
      </c>
      <c r="I11" s="12" t="n">
        <f aca="false">G11-H11</f>
        <v>6</v>
      </c>
      <c r="J11" s="12" t="n">
        <f aca="false">COUNTIFS('Use cases'!$C$2:$C$6000,A11,'Use cases'!$E$2:$E$6000,"Pay")</f>
        <v>3</v>
      </c>
      <c r="K11" s="12" t="n">
        <f aca="false">COUNTIFS('Use cases'!$C$2:$C$6000,A11,'Use cases'!$K$2:$K$6000,"*Handoff*")</f>
        <v>6</v>
      </c>
      <c r="L11" s="12" t="n">
        <f aca="false">COUNTIFS('Use cases'!$C$2:$C$6000,A11,'Use cases'!$I$2:$I$6000,"(Gratifi starts it)*")</f>
        <v>2</v>
      </c>
      <c r="M11" s="12" t="n">
        <f aca="false">COUNTIFS('Use cases'!$C$2:$C$6000,A11,'Use cases'!$K$2:$K$6000,"*NEW:*")</f>
        <v>5</v>
      </c>
      <c r="N11" s="13" t="str">
        <f aca="false">IF(AND(G11&gt;=6,H11&gt;=2,I11&gt;=2),"Covered","GAP")</f>
        <v>Covered</v>
      </c>
    </row>
    <row r="12" customFormat="false" ht="15" hidden="false" customHeight="false" outlineLevel="0" collapsed="false">
      <c r="A12" s="11" t="s">
        <v>108</v>
      </c>
      <c r="B12" s="11" t="s">
        <v>33</v>
      </c>
      <c r="C12" s="11" t="s">
        <v>109</v>
      </c>
      <c r="D12" s="11" t="s">
        <v>110</v>
      </c>
      <c r="E12" s="11" t="s">
        <v>111</v>
      </c>
      <c r="F12" s="11" t="s">
        <v>78</v>
      </c>
      <c r="G12" s="12" t="n">
        <f aca="false">COUNTIF('Use cases'!$C$2:$C$6000,A12)</f>
        <v>15</v>
      </c>
      <c r="H12" s="12" t="n">
        <f aca="false">COUNTIFS('Use cases'!$C$2:$C$6000,A12,'Use cases'!$H$2:$H$6000,"")</f>
        <v>12</v>
      </c>
      <c r="I12" s="12" t="n">
        <f aca="false">G12-H12</f>
        <v>3</v>
      </c>
      <c r="J12" s="12" t="n">
        <f aca="false">COUNTIFS('Use cases'!$C$2:$C$6000,A12,'Use cases'!$E$2:$E$6000,"Pay")</f>
        <v>3</v>
      </c>
      <c r="K12" s="12" t="n">
        <f aca="false">COUNTIFS('Use cases'!$C$2:$C$6000,A12,'Use cases'!$K$2:$K$6000,"*Handoff*")</f>
        <v>4</v>
      </c>
      <c r="L12" s="12" t="n">
        <f aca="false">COUNTIFS('Use cases'!$C$2:$C$6000,A12,'Use cases'!$I$2:$I$6000,"(Gratifi starts it)*")</f>
        <v>2</v>
      </c>
      <c r="M12" s="12" t="n">
        <f aca="false">COUNTIFS('Use cases'!$C$2:$C$6000,A12,'Use cases'!$K$2:$K$6000,"*NEW:*")</f>
        <v>2</v>
      </c>
      <c r="N12" s="13" t="str">
        <f aca="false">IF(AND(G12&gt;=6,H12&gt;=2,I12&gt;=2),"Covered","GAP")</f>
        <v>Covered</v>
      </c>
    </row>
    <row r="13" customFormat="false" ht="15" hidden="false" customHeight="false" outlineLevel="0" collapsed="false">
      <c r="A13" s="11" t="s">
        <v>112</v>
      </c>
      <c r="B13" s="11" t="s">
        <v>33</v>
      </c>
      <c r="C13" s="11" t="s">
        <v>84</v>
      </c>
      <c r="D13" s="11" t="s">
        <v>113</v>
      </c>
      <c r="E13" s="11" t="s">
        <v>114</v>
      </c>
      <c r="F13" s="11" t="s">
        <v>69</v>
      </c>
      <c r="G13" s="12" t="n">
        <f aca="false">COUNTIF('Use cases'!$C$2:$C$6000,A13)</f>
        <v>18</v>
      </c>
      <c r="H13" s="12" t="n">
        <f aca="false">COUNTIFS('Use cases'!$C$2:$C$6000,A13,'Use cases'!$H$2:$H$6000,"")</f>
        <v>10</v>
      </c>
      <c r="I13" s="12" t="n">
        <f aca="false">G13-H13</f>
        <v>8</v>
      </c>
      <c r="J13" s="12" t="n">
        <f aca="false">COUNTIFS('Use cases'!$C$2:$C$6000,A13,'Use cases'!$E$2:$E$6000,"Pay")</f>
        <v>1</v>
      </c>
      <c r="K13" s="12" t="n">
        <f aca="false">COUNTIFS('Use cases'!$C$2:$C$6000,A13,'Use cases'!$K$2:$K$6000,"*Handoff*")</f>
        <v>8</v>
      </c>
      <c r="L13" s="12" t="n">
        <f aca="false">COUNTIFS('Use cases'!$C$2:$C$6000,A13,'Use cases'!$I$2:$I$6000,"(Gratifi starts it)*")</f>
        <v>2</v>
      </c>
      <c r="M13" s="12" t="n">
        <f aca="false">COUNTIFS('Use cases'!$C$2:$C$6000,A13,'Use cases'!$K$2:$K$6000,"*NEW:*")</f>
        <v>0</v>
      </c>
      <c r="N13" s="13" t="str">
        <f aca="false">IF(AND(G13&gt;=6,H13&gt;=2,I13&gt;=2),"Covered","GAP")</f>
        <v>Covered</v>
      </c>
    </row>
    <row r="14" customFormat="false" ht="23.85" hidden="false" customHeight="false" outlineLevel="0" collapsed="false">
      <c r="A14" s="11" t="s">
        <v>115</v>
      </c>
      <c r="B14" s="11" t="s">
        <v>33</v>
      </c>
      <c r="C14" s="11" t="s">
        <v>116</v>
      </c>
      <c r="D14" s="11" t="s">
        <v>117</v>
      </c>
      <c r="E14" s="11" t="s">
        <v>118</v>
      </c>
      <c r="F14" s="11" t="s">
        <v>119</v>
      </c>
      <c r="G14" s="12" t="n">
        <f aca="false">COUNTIF('Use cases'!$C$2:$C$6000,A14)</f>
        <v>21</v>
      </c>
      <c r="H14" s="12" t="n">
        <f aca="false">COUNTIFS('Use cases'!$C$2:$C$6000,A14,'Use cases'!$H$2:$H$6000,"")</f>
        <v>14</v>
      </c>
      <c r="I14" s="12" t="n">
        <f aca="false">G14-H14</f>
        <v>7</v>
      </c>
      <c r="J14" s="12" t="n">
        <f aca="false">COUNTIFS('Use cases'!$C$2:$C$6000,A14,'Use cases'!$E$2:$E$6000,"Pay")</f>
        <v>1</v>
      </c>
      <c r="K14" s="12" t="n">
        <f aca="false">COUNTIFS('Use cases'!$C$2:$C$6000,A14,'Use cases'!$K$2:$K$6000,"*Handoff*")</f>
        <v>7</v>
      </c>
      <c r="L14" s="12" t="n">
        <f aca="false">COUNTIFS('Use cases'!$C$2:$C$6000,A14,'Use cases'!$I$2:$I$6000,"(Gratifi starts it)*")</f>
        <v>1</v>
      </c>
      <c r="M14" s="12" t="n">
        <f aca="false">COUNTIFS('Use cases'!$C$2:$C$6000,A14,'Use cases'!$K$2:$K$6000,"*NEW:*")</f>
        <v>4</v>
      </c>
      <c r="N14" s="13" t="str">
        <f aca="false">IF(AND(G14&gt;=6,H14&gt;=2,I14&gt;=2),"Covered","GAP")</f>
        <v>Covered</v>
      </c>
    </row>
    <row r="15" customFormat="false" ht="15" hidden="false" customHeight="false" outlineLevel="0" collapsed="false">
      <c r="A15" s="11" t="s">
        <v>120</v>
      </c>
      <c r="B15" s="11" t="s">
        <v>33</v>
      </c>
      <c r="C15" s="11" t="s">
        <v>121</v>
      </c>
      <c r="D15" s="11" t="s">
        <v>122</v>
      </c>
      <c r="E15" s="11" t="s">
        <v>123</v>
      </c>
      <c r="F15" s="11" t="s">
        <v>78</v>
      </c>
      <c r="G15" s="12" t="n">
        <f aca="false">COUNTIF('Use cases'!$C$2:$C$6000,A15)</f>
        <v>12</v>
      </c>
      <c r="H15" s="12" t="n">
        <f aca="false">COUNTIFS('Use cases'!$C$2:$C$6000,A15,'Use cases'!$H$2:$H$6000,"")</f>
        <v>8</v>
      </c>
      <c r="I15" s="12" t="n">
        <f aca="false">G15-H15</f>
        <v>4</v>
      </c>
      <c r="J15" s="12" t="n">
        <f aca="false">COUNTIFS('Use cases'!$C$2:$C$6000,A15,'Use cases'!$E$2:$E$6000,"Pay")</f>
        <v>2</v>
      </c>
      <c r="K15" s="12" t="n">
        <f aca="false">COUNTIFS('Use cases'!$C$2:$C$6000,A15,'Use cases'!$K$2:$K$6000,"*Handoff*")</f>
        <v>1</v>
      </c>
      <c r="L15" s="12" t="n">
        <f aca="false">COUNTIFS('Use cases'!$C$2:$C$6000,A15,'Use cases'!$I$2:$I$6000,"(Gratifi starts it)*")</f>
        <v>1</v>
      </c>
      <c r="M15" s="12" t="n">
        <f aca="false">COUNTIFS('Use cases'!$C$2:$C$6000,A15,'Use cases'!$K$2:$K$6000,"*NEW:*")</f>
        <v>4</v>
      </c>
      <c r="N15" s="13" t="str">
        <f aca="false">IF(AND(G15&gt;=6,H15&gt;=2,I15&gt;=2),"Covered","GAP")</f>
        <v>Covered</v>
      </c>
    </row>
    <row r="16" customFormat="false" ht="23.85" hidden="false" customHeight="false" outlineLevel="0" collapsed="false">
      <c r="A16" s="11" t="s">
        <v>124</v>
      </c>
      <c r="B16" s="11" t="s">
        <v>34</v>
      </c>
      <c r="C16" s="11" t="s">
        <v>125</v>
      </c>
      <c r="D16" s="11" t="s">
        <v>126</v>
      </c>
      <c r="E16" s="11" t="s">
        <v>127</v>
      </c>
      <c r="F16" s="11" t="s">
        <v>128</v>
      </c>
      <c r="G16" s="12" t="n">
        <f aca="false">COUNTIF('Use cases'!$C$2:$C$6000,A16)</f>
        <v>25</v>
      </c>
      <c r="H16" s="12" t="n">
        <f aca="false">COUNTIFS('Use cases'!$C$2:$C$6000,A16,'Use cases'!$H$2:$H$6000,"")</f>
        <v>21</v>
      </c>
      <c r="I16" s="12" t="n">
        <f aca="false">G16-H16</f>
        <v>4</v>
      </c>
      <c r="J16" s="12" t="n">
        <f aca="false">COUNTIFS('Use cases'!$C$2:$C$6000,A16,'Use cases'!$E$2:$E$6000,"Pay")</f>
        <v>4</v>
      </c>
      <c r="K16" s="12" t="n">
        <f aca="false">COUNTIFS('Use cases'!$C$2:$C$6000,A16,'Use cases'!$K$2:$K$6000,"*Handoff*")</f>
        <v>2</v>
      </c>
      <c r="L16" s="12" t="n">
        <f aca="false">COUNTIFS('Use cases'!$C$2:$C$6000,A16,'Use cases'!$I$2:$I$6000,"(Gratifi starts it)*")</f>
        <v>4</v>
      </c>
      <c r="M16" s="12" t="n">
        <f aca="false">COUNTIFS('Use cases'!$C$2:$C$6000,A16,'Use cases'!$K$2:$K$6000,"*NEW:*")</f>
        <v>15</v>
      </c>
      <c r="N16" s="13" t="str">
        <f aca="false">IF(AND(G16&gt;=6,H16&gt;=2,I16&gt;=2),"Covered","GAP")</f>
        <v>Covered</v>
      </c>
    </row>
    <row r="17" customFormat="false" ht="23.85" hidden="false" customHeight="false" outlineLevel="0" collapsed="false">
      <c r="A17" s="11" t="s">
        <v>129</v>
      </c>
      <c r="B17" s="11" t="s">
        <v>34</v>
      </c>
      <c r="C17" s="11" t="s">
        <v>130</v>
      </c>
      <c r="D17" s="11" t="s">
        <v>131</v>
      </c>
      <c r="E17" s="11" t="s">
        <v>132</v>
      </c>
      <c r="F17" s="11" t="s">
        <v>128</v>
      </c>
      <c r="G17" s="12" t="n">
        <f aca="false">COUNTIF('Use cases'!$C$2:$C$6000,A17)</f>
        <v>12</v>
      </c>
      <c r="H17" s="12" t="n">
        <f aca="false">COUNTIFS('Use cases'!$C$2:$C$6000,A17,'Use cases'!$H$2:$H$6000,"")</f>
        <v>9</v>
      </c>
      <c r="I17" s="12" t="n">
        <f aca="false">G17-H17</f>
        <v>3</v>
      </c>
      <c r="J17" s="12" t="n">
        <f aca="false">COUNTIFS('Use cases'!$C$2:$C$6000,A17,'Use cases'!$E$2:$E$6000,"Pay")</f>
        <v>2</v>
      </c>
      <c r="K17" s="12" t="n">
        <f aca="false">COUNTIFS('Use cases'!$C$2:$C$6000,A17,'Use cases'!$K$2:$K$6000,"*Handoff*")</f>
        <v>1</v>
      </c>
      <c r="L17" s="12" t="n">
        <f aca="false">COUNTIFS('Use cases'!$C$2:$C$6000,A17,'Use cases'!$I$2:$I$6000,"(Gratifi starts it)*")</f>
        <v>1</v>
      </c>
      <c r="M17" s="12" t="n">
        <f aca="false">COUNTIFS('Use cases'!$C$2:$C$6000,A17,'Use cases'!$K$2:$K$6000,"*NEW:*")</f>
        <v>6</v>
      </c>
      <c r="N17" s="13" t="str">
        <f aca="false">IF(AND(G17&gt;=6,H17&gt;=2,I17&gt;=2),"Covered","GAP")</f>
        <v>Covered</v>
      </c>
    </row>
    <row r="18" customFormat="false" ht="23.85" hidden="false" customHeight="false" outlineLevel="0" collapsed="false">
      <c r="A18" s="11" t="s">
        <v>133</v>
      </c>
      <c r="B18" s="11" t="s">
        <v>34</v>
      </c>
      <c r="C18" s="11" t="s">
        <v>134</v>
      </c>
      <c r="D18" s="11" t="s">
        <v>135</v>
      </c>
      <c r="E18" s="11" t="s">
        <v>136</v>
      </c>
      <c r="F18" s="11" t="s">
        <v>128</v>
      </c>
      <c r="G18" s="12" t="n">
        <f aca="false">COUNTIF('Use cases'!$C$2:$C$6000,A18)</f>
        <v>21</v>
      </c>
      <c r="H18" s="12" t="n">
        <f aca="false">COUNTIFS('Use cases'!$C$2:$C$6000,A18,'Use cases'!$H$2:$H$6000,"")</f>
        <v>13</v>
      </c>
      <c r="I18" s="12" t="n">
        <f aca="false">G18-H18</f>
        <v>8</v>
      </c>
      <c r="J18" s="12" t="n">
        <f aca="false">COUNTIFS('Use cases'!$C$2:$C$6000,A18,'Use cases'!$E$2:$E$6000,"Pay")</f>
        <v>3</v>
      </c>
      <c r="K18" s="12" t="n">
        <f aca="false">COUNTIFS('Use cases'!$C$2:$C$6000,A18,'Use cases'!$K$2:$K$6000,"*Handoff*")</f>
        <v>3</v>
      </c>
      <c r="L18" s="12" t="n">
        <f aca="false">COUNTIFS('Use cases'!$C$2:$C$6000,A18,'Use cases'!$I$2:$I$6000,"(Gratifi starts it)*")</f>
        <v>2</v>
      </c>
      <c r="M18" s="12" t="n">
        <f aca="false">COUNTIFS('Use cases'!$C$2:$C$6000,A18,'Use cases'!$K$2:$K$6000,"*NEW:*")</f>
        <v>0</v>
      </c>
      <c r="N18" s="13" t="str">
        <f aca="false">IF(AND(G18&gt;=6,H18&gt;=2,I18&gt;=2),"Covered","GAP")</f>
        <v>Covered</v>
      </c>
    </row>
    <row r="19" customFormat="false" ht="23.85" hidden="false" customHeight="false" outlineLevel="0" collapsed="false">
      <c r="A19" s="11" t="s">
        <v>137</v>
      </c>
      <c r="B19" s="11" t="s">
        <v>34</v>
      </c>
      <c r="C19" s="11" t="s">
        <v>138</v>
      </c>
      <c r="D19" s="11" t="s">
        <v>139</v>
      </c>
      <c r="E19" s="11" t="s">
        <v>132</v>
      </c>
      <c r="F19" s="11" t="s">
        <v>128</v>
      </c>
      <c r="G19" s="12" t="n">
        <f aca="false">COUNTIF('Use cases'!$C$2:$C$6000,A19)</f>
        <v>13</v>
      </c>
      <c r="H19" s="12" t="n">
        <f aca="false">COUNTIFS('Use cases'!$C$2:$C$6000,A19,'Use cases'!$H$2:$H$6000,"")</f>
        <v>10</v>
      </c>
      <c r="I19" s="12" t="n">
        <f aca="false">G19-H19</f>
        <v>3</v>
      </c>
      <c r="J19" s="12" t="n">
        <f aca="false">COUNTIFS('Use cases'!$C$2:$C$6000,A19,'Use cases'!$E$2:$E$6000,"Pay")</f>
        <v>1</v>
      </c>
      <c r="K19" s="12" t="n">
        <f aca="false">COUNTIFS('Use cases'!$C$2:$C$6000,A19,'Use cases'!$K$2:$K$6000,"*Handoff*")</f>
        <v>2</v>
      </c>
      <c r="L19" s="12" t="n">
        <f aca="false">COUNTIFS('Use cases'!$C$2:$C$6000,A19,'Use cases'!$I$2:$I$6000,"(Gratifi starts it)*")</f>
        <v>1</v>
      </c>
      <c r="M19" s="12" t="n">
        <f aca="false">COUNTIFS('Use cases'!$C$2:$C$6000,A19,'Use cases'!$K$2:$K$6000,"*NEW:*")</f>
        <v>7</v>
      </c>
      <c r="N19" s="13" t="str">
        <f aca="false">IF(AND(G19&gt;=6,H19&gt;=2,I19&gt;=2),"Covered","GAP")</f>
        <v>Covered</v>
      </c>
    </row>
    <row r="20" customFormat="false" ht="23.85" hidden="false" customHeight="false" outlineLevel="0" collapsed="false">
      <c r="A20" s="11" t="s">
        <v>140</v>
      </c>
      <c r="B20" s="11" t="s">
        <v>34</v>
      </c>
      <c r="C20" s="11" t="s">
        <v>141</v>
      </c>
      <c r="D20" s="11" t="s">
        <v>142</v>
      </c>
      <c r="E20" s="11" t="s">
        <v>132</v>
      </c>
      <c r="F20" s="11" t="s">
        <v>128</v>
      </c>
      <c r="G20" s="12" t="n">
        <f aca="false">COUNTIF('Use cases'!$C$2:$C$6000,A20)</f>
        <v>16</v>
      </c>
      <c r="H20" s="12" t="n">
        <f aca="false">COUNTIFS('Use cases'!$C$2:$C$6000,A20,'Use cases'!$H$2:$H$6000,"")</f>
        <v>11</v>
      </c>
      <c r="I20" s="12" t="n">
        <f aca="false">G20-H20</f>
        <v>5</v>
      </c>
      <c r="J20" s="12" t="n">
        <f aca="false">COUNTIFS('Use cases'!$C$2:$C$6000,A20,'Use cases'!$E$2:$E$6000,"Pay")</f>
        <v>2</v>
      </c>
      <c r="K20" s="12" t="n">
        <f aca="false">COUNTIFS('Use cases'!$C$2:$C$6000,A20,'Use cases'!$K$2:$K$6000,"*Handoff*")</f>
        <v>2</v>
      </c>
      <c r="L20" s="12" t="n">
        <f aca="false">COUNTIFS('Use cases'!$C$2:$C$6000,A20,'Use cases'!$I$2:$I$6000,"(Gratifi starts it)*")</f>
        <v>1</v>
      </c>
      <c r="M20" s="12" t="n">
        <f aca="false">COUNTIFS('Use cases'!$C$2:$C$6000,A20,'Use cases'!$K$2:$K$6000,"*NEW:*")</f>
        <v>8</v>
      </c>
      <c r="N20" s="13" t="str">
        <f aca="false">IF(AND(G20&gt;=6,H20&gt;=2,I20&gt;=2),"Covered","GAP")</f>
        <v>Covered</v>
      </c>
    </row>
    <row r="21" customFormat="false" ht="23.85" hidden="false" customHeight="false" outlineLevel="0" collapsed="false">
      <c r="A21" s="11" t="s">
        <v>143</v>
      </c>
      <c r="B21" s="11" t="s">
        <v>34</v>
      </c>
      <c r="C21" s="11" t="s">
        <v>144</v>
      </c>
      <c r="D21" s="11" t="s">
        <v>145</v>
      </c>
      <c r="E21" s="11" t="s">
        <v>132</v>
      </c>
      <c r="F21" s="11" t="s">
        <v>128</v>
      </c>
      <c r="G21" s="12" t="n">
        <f aca="false">COUNTIF('Use cases'!$C$2:$C$6000,A21)</f>
        <v>23</v>
      </c>
      <c r="H21" s="12" t="n">
        <f aca="false">COUNTIFS('Use cases'!$C$2:$C$6000,A21,'Use cases'!$H$2:$H$6000,"")</f>
        <v>2</v>
      </c>
      <c r="I21" s="12" t="n">
        <f aca="false">G21-H21</f>
        <v>21</v>
      </c>
      <c r="J21" s="12" t="n">
        <f aca="false">COUNTIFS('Use cases'!$C$2:$C$6000,A21,'Use cases'!$E$2:$E$6000,"Pay")</f>
        <v>1</v>
      </c>
      <c r="K21" s="12" t="n">
        <f aca="false">COUNTIFS('Use cases'!$C$2:$C$6000,A21,'Use cases'!$K$2:$K$6000,"*Handoff*")</f>
        <v>8</v>
      </c>
      <c r="L21" s="12" t="n">
        <f aca="false">COUNTIFS('Use cases'!$C$2:$C$6000,A21,'Use cases'!$I$2:$I$6000,"(Gratifi starts it)*")</f>
        <v>8</v>
      </c>
      <c r="M21" s="12" t="n">
        <f aca="false">COUNTIFS('Use cases'!$C$2:$C$6000,A21,'Use cases'!$K$2:$K$6000,"*NEW:*")</f>
        <v>10</v>
      </c>
      <c r="N21" s="13" t="str">
        <f aca="false">IF(AND(G21&gt;=6,H21&gt;=2,I21&gt;=2),"Covered","GAP")</f>
        <v>Covered</v>
      </c>
    </row>
    <row r="22" customFormat="false" ht="15" hidden="false" customHeight="false" outlineLevel="0" collapsed="false">
      <c r="A22" s="11" t="s">
        <v>146</v>
      </c>
      <c r="B22" s="11" t="s">
        <v>35</v>
      </c>
      <c r="C22" s="11" t="s">
        <v>147</v>
      </c>
      <c r="D22" s="11" t="s">
        <v>148</v>
      </c>
      <c r="E22" s="11" t="s">
        <v>149</v>
      </c>
      <c r="F22" s="11" t="s">
        <v>150</v>
      </c>
      <c r="G22" s="12" t="n">
        <f aca="false">COUNTIF('Use cases'!$C$2:$C$6000,A22)</f>
        <v>21</v>
      </c>
      <c r="H22" s="12" t="n">
        <f aca="false">COUNTIFS('Use cases'!$C$2:$C$6000,A22,'Use cases'!$H$2:$H$6000,"")</f>
        <v>14</v>
      </c>
      <c r="I22" s="12" t="n">
        <f aca="false">G22-H22</f>
        <v>7</v>
      </c>
      <c r="J22" s="12" t="n">
        <f aca="false">COUNTIFS('Use cases'!$C$2:$C$6000,A22,'Use cases'!$E$2:$E$6000,"Pay")</f>
        <v>2</v>
      </c>
      <c r="K22" s="12" t="n">
        <f aca="false">COUNTIFS('Use cases'!$C$2:$C$6000,A22,'Use cases'!$K$2:$K$6000,"*Handoff*")</f>
        <v>5</v>
      </c>
      <c r="L22" s="12" t="n">
        <f aca="false">COUNTIFS('Use cases'!$C$2:$C$6000,A22,'Use cases'!$I$2:$I$6000,"(Gratifi starts it)*")</f>
        <v>1</v>
      </c>
      <c r="M22" s="12" t="n">
        <f aca="false">COUNTIFS('Use cases'!$C$2:$C$6000,A22,'Use cases'!$K$2:$K$6000,"*NEW:*")</f>
        <v>3</v>
      </c>
      <c r="N22" s="13" t="str">
        <f aca="false">IF(AND(G22&gt;=6,H22&gt;=2,I22&gt;=2),"Covered","GAP")</f>
        <v>Covered</v>
      </c>
    </row>
    <row r="23" customFormat="false" ht="15" hidden="false" customHeight="false" outlineLevel="0" collapsed="false">
      <c r="A23" s="11" t="s">
        <v>151</v>
      </c>
      <c r="B23" s="11" t="s">
        <v>35</v>
      </c>
      <c r="C23" s="11" t="s">
        <v>152</v>
      </c>
      <c r="D23" s="11" t="s">
        <v>153</v>
      </c>
      <c r="E23" s="11" t="s">
        <v>154</v>
      </c>
      <c r="F23" s="11" t="s">
        <v>150</v>
      </c>
      <c r="G23" s="12" t="n">
        <f aca="false">COUNTIF('Use cases'!$C$2:$C$6000,A23)</f>
        <v>14</v>
      </c>
      <c r="H23" s="12" t="n">
        <f aca="false">COUNTIFS('Use cases'!$C$2:$C$6000,A23,'Use cases'!$H$2:$H$6000,"")</f>
        <v>10</v>
      </c>
      <c r="I23" s="12" t="n">
        <f aca="false">G23-H23</f>
        <v>4</v>
      </c>
      <c r="J23" s="12" t="n">
        <f aca="false">COUNTIFS('Use cases'!$C$2:$C$6000,A23,'Use cases'!$E$2:$E$6000,"Pay")</f>
        <v>1</v>
      </c>
      <c r="K23" s="12" t="n">
        <f aca="false">COUNTIFS('Use cases'!$C$2:$C$6000,A23,'Use cases'!$K$2:$K$6000,"*Handoff*")</f>
        <v>2</v>
      </c>
      <c r="L23" s="12" t="n">
        <f aca="false">COUNTIFS('Use cases'!$C$2:$C$6000,A23,'Use cases'!$I$2:$I$6000,"(Gratifi starts it)*")</f>
        <v>2</v>
      </c>
      <c r="M23" s="12" t="n">
        <f aca="false">COUNTIFS('Use cases'!$C$2:$C$6000,A23,'Use cases'!$K$2:$K$6000,"*NEW:*")</f>
        <v>3</v>
      </c>
      <c r="N23" s="13" t="str">
        <f aca="false">IF(AND(G23&gt;=6,H23&gt;=2,I23&gt;=2),"Covered","GAP")</f>
        <v>Covered</v>
      </c>
    </row>
    <row r="24" customFormat="false" ht="15" hidden="false" customHeight="false" outlineLevel="0" collapsed="false">
      <c r="A24" s="11" t="s">
        <v>155</v>
      </c>
      <c r="B24" s="11" t="s">
        <v>35</v>
      </c>
      <c r="C24" s="11" t="s">
        <v>156</v>
      </c>
      <c r="D24" s="11" t="s">
        <v>157</v>
      </c>
      <c r="E24" s="11" t="s">
        <v>158</v>
      </c>
      <c r="F24" s="11" t="s">
        <v>78</v>
      </c>
      <c r="G24" s="12" t="n">
        <f aca="false">COUNTIF('Use cases'!$C$2:$C$6000,A24)</f>
        <v>22</v>
      </c>
      <c r="H24" s="12" t="n">
        <f aca="false">COUNTIFS('Use cases'!$C$2:$C$6000,A24,'Use cases'!$H$2:$H$6000,"")</f>
        <v>16</v>
      </c>
      <c r="I24" s="12" t="n">
        <f aca="false">G24-H24</f>
        <v>6</v>
      </c>
      <c r="J24" s="12" t="n">
        <f aca="false">COUNTIFS('Use cases'!$C$2:$C$6000,A24,'Use cases'!$E$2:$E$6000,"Pay")</f>
        <v>1</v>
      </c>
      <c r="K24" s="12" t="n">
        <f aca="false">COUNTIFS('Use cases'!$C$2:$C$6000,A24,'Use cases'!$K$2:$K$6000,"*Handoff*")</f>
        <v>1</v>
      </c>
      <c r="L24" s="12" t="n">
        <f aca="false">COUNTIFS('Use cases'!$C$2:$C$6000,A24,'Use cases'!$I$2:$I$6000,"(Gratifi starts it)*")</f>
        <v>1</v>
      </c>
      <c r="M24" s="12" t="n">
        <f aca="false">COUNTIFS('Use cases'!$C$2:$C$6000,A24,'Use cases'!$K$2:$K$6000,"*NEW:*")</f>
        <v>14</v>
      </c>
      <c r="N24" s="13" t="str">
        <f aca="false">IF(AND(G24&gt;=6,H24&gt;=2,I24&gt;=2),"Covered","GAP")</f>
        <v>Covered</v>
      </c>
    </row>
    <row r="25" customFormat="false" ht="15" hidden="false" customHeight="false" outlineLevel="0" collapsed="false">
      <c r="A25" s="11" t="s">
        <v>159</v>
      </c>
      <c r="B25" s="11" t="s">
        <v>35</v>
      </c>
      <c r="C25" s="11" t="s">
        <v>160</v>
      </c>
      <c r="D25" s="11" t="s">
        <v>161</v>
      </c>
      <c r="E25" s="11" t="s">
        <v>158</v>
      </c>
      <c r="F25" s="11" t="s">
        <v>78</v>
      </c>
      <c r="G25" s="12" t="n">
        <f aca="false">COUNTIF('Use cases'!$C$2:$C$6000,A25)</f>
        <v>23</v>
      </c>
      <c r="H25" s="12" t="n">
        <f aca="false">COUNTIFS('Use cases'!$C$2:$C$6000,A25,'Use cases'!$H$2:$H$6000,"")</f>
        <v>17</v>
      </c>
      <c r="I25" s="12" t="n">
        <f aca="false">G25-H25</f>
        <v>6</v>
      </c>
      <c r="J25" s="12" t="n">
        <f aca="false">COUNTIFS('Use cases'!$C$2:$C$6000,A25,'Use cases'!$E$2:$E$6000,"Pay")</f>
        <v>3</v>
      </c>
      <c r="K25" s="12" t="n">
        <f aca="false">COUNTIFS('Use cases'!$C$2:$C$6000,A25,'Use cases'!$K$2:$K$6000,"*Handoff*")</f>
        <v>5</v>
      </c>
      <c r="L25" s="12" t="n">
        <f aca="false">COUNTIFS('Use cases'!$C$2:$C$6000,A25,'Use cases'!$I$2:$I$6000,"(Gratifi starts it)*")</f>
        <v>1</v>
      </c>
      <c r="M25" s="12" t="n">
        <f aca="false">COUNTIFS('Use cases'!$C$2:$C$6000,A25,'Use cases'!$K$2:$K$6000,"*NEW:*")</f>
        <v>10</v>
      </c>
      <c r="N25" s="13" t="str">
        <f aca="false">IF(AND(G25&gt;=6,H25&gt;=2,I25&gt;=2),"Covered","GAP")</f>
        <v>Covered</v>
      </c>
    </row>
    <row r="26" customFormat="false" ht="15" hidden="false" customHeight="false" outlineLevel="0" collapsed="false">
      <c r="A26" s="11" t="s">
        <v>162</v>
      </c>
      <c r="B26" s="11" t="s">
        <v>35</v>
      </c>
      <c r="C26" s="11" t="s">
        <v>163</v>
      </c>
      <c r="D26" s="11" t="s">
        <v>164</v>
      </c>
      <c r="E26" s="11" t="s">
        <v>165</v>
      </c>
      <c r="F26" s="11" t="s">
        <v>78</v>
      </c>
      <c r="G26" s="12" t="n">
        <f aca="false">COUNTIF('Use cases'!$C$2:$C$6000,A26)</f>
        <v>14</v>
      </c>
      <c r="H26" s="12" t="n">
        <f aca="false">COUNTIFS('Use cases'!$C$2:$C$6000,A26,'Use cases'!$H$2:$H$6000,"")</f>
        <v>11</v>
      </c>
      <c r="I26" s="12" t="n">
        <f aca="false">G26-H26</f>
        <v>3</v>
      </c>
      <c r="J26" s="12" t="n">
        <f aca="false">COUNTIFS('Use cases'!$C$2:$C$6000,A26,'Use cases'!$E$2:$E$6000,"Pay")</f>
        <v>2</v>
      </c>
      <c r="K26" s="12" t="n">
        <f aca="false">COUNTIFS('Use cases'!$C$2:$C$6000,A26,'Use cases'!$K$2:$K$6000,"*Handoff*")</f>
        <v>4</v>
      </c>
      <c r="L26" s="12" t="n">
        <f aca="false">COUNTIFS('Use cases'!$C$2:$C$6000,A26,'Use cases'!$I$2:$I$6000,"(Gratifi starts it)*")</f>
        <v>1</v>
      </c>
      <c r="M26" s="12" t="n">
        <f aca="false">COUNTIFS('Use cases'!$C$2:$C$6000,A26,'Use cases'!$K$2:$K$6000,"*NEW:*")</f>
        <v>2</v>
      </c>
      <c r="N26" s="13" t="str">
        <f aca="false">IF(AND(G26&gt;=6,H26&gt;=2,I26&gt;=2),"Covered","GAP")</f>
        <v>Covered</v>
      </c>
    </row>
    <row r="27" customFormat="false" ht="15" hidden="false" customHeight="false" outlineLevel="0" collapsed="false">
      <c r="A27" s="11" t="s">
        <v>166</v>
      </c>
      <c r="B27" s="11" t="s">
        <v>36</v>
      </c>
      <c r="C27" s="11" t="s">
        <v>167</v>
      </c>
      <c r="D27" s="11" t="s">
        <v>168</v>
      </c>
      <c r="E27" s="11" t="s">
        <v>169</v>
      </c>
      <c r="F27" s="11" t="s">
        <v>150</v>
      </c>
      <c r="G27" s="12" t="n">
        <f aca="false">COUNTIF('Use cases'!$C$2:$C$6000,A27)</f>
        <v>45</v>
      </c>
      <c r="H27" s="12" t="n">
        <f aca="false">COUNTIFS('Use cases'!$C$2:$C$6000,A27,'Use cases'!$H$2:$H$6000,"")</f>
        <v>32</v>
      </c>
      <c r="I27" s="12" t="n">
        <f aca="false">G27-H27</f>
        <v>13</v>
      </c>
      <c r="J27" s="12" t="n">
        <f aca="false">COUNTIFS('Use cases'!$C$2:$C$6000,A27,'Use cases'!$E$2:$E$6000,"Pay")</f>
        <v>8</v>
      </c>
      <c r="K27" s="12" t="n">
        <f aca="false">COUNTIFS('Use cases'!$C$2:$C$6000,A27,'Use cases'!$K$2:$K$6000,"*Handoff*")</f>
        <v>7</v>
      </c>
      <c r="L27" s="12" t="n">
        <f aca="false">COUNTIFS('Use cases'!$C$2:$C$6000,A27,'Use cases'!$I$2:$I$6000,"(Gratifi starts it)*")</f>
        <v>3</v>
      </c>
      <c r="M27" s="12" t="n">
        <f aca="false">COUNTIFS('Use cases'!$C$2:$C$6000,A27,'Use cases'!$K$2:$K$6000,"*NEW:*")</f>
        <v>3</v>
      </c>
      <c r="N27" s="13" t="str">
        <f aca="false">IF(AND(G27&gt;=6,H27&gt;=2,I27&gt;=2),"Covered","GAP")</f>
        <v>Covered</v>
      </c>
    </row>
    <row r="28" customFormat="false" ht="15" hidden="false" customHeight="false" outlineLevel="0" collapsed="false">
      <c r="A28" s="11" t="s">
        <v>170</v>
      </c>
      <c r="B28" s="11" t="s">
        <v>36</v>
      </c>
      <c r="C28" s="11" t="s">
        <v>171</v>
      </c>
      <c r="D28" s="11" t="s">
        <v>172</v>
      </c>
      <c r="E28" s="11" t="s">
        <v>173</v>
      </c>
      <c r="F28" s="11" t="s">
        <v>150</v>
      </c>
      <c r="G28" s="12" t="n">
        <f aca="false">COUNTIF('Use cases'!$C$2:$C$6000,A28)</f>
        <v>35</v>
      </c>
      <c r="H28" s="12" t="n">
        <f aca="false">COUNTIFS('Use cases'!$C$2:$C$6000,A28,'Use cases'!$H$2:$H$6000,"")</f>
        <v>28</v>
      </c>
      <c r="I28" s="12" t="n">
        <f aca="false">G28-H28</f>
        <v>7</v>
      </c>
      <c r="J28" s="12" t="n">
        <f aca="false">COUNTIFS('Use cases'!$C$2:$C$6000,A28,'Use cases'!$E$2:$E$6000,"Pay")</f>
        <v>5</v>
      </c>
      <c r="K28" s="12" t="n">
        <f aca="false">COUNTIFS('Use cases'!$C$2:$C$6000,A28,'Use cases'!$K$2:$K$6000,"*Handoff*")</f>
        <v>5</v>
      </c>
      <c r="L28" s="12" t="n">
        <f aca="false">COUNTIFS('Use cases'!$C$2:$C$6000,A28,'Use cases'!$I$2:$I$6000,"(Gratifi starts it)*")</f>
        <v>4</v>
      </c>
      <c r="M28" s="12" t="n">
        <f aca="false">COUNTIFS('Use cases'!$C$2:$C$6000,A28,'Use cases'!$K$2:$K$6000,"*NEW:*")</f>
        <v>1</v>
      </c>
      <c r="N28" s="13" t="str">
        <f aca="false">IF(AND(G28&gt;=6,H28&gt;=2,I28&gt;=2),"Covered","GAP")</f>
        <v>Covered</v>
      </c>
    </row>
    <row r="29" customFormat="false" ht="15" hidden="false" customHeight="false" outlineLevel="0" collapsed="false">
      <c r="A29" s="11" t="s">
        <v>174</v>
      </c>
      <c r="B29" s="11" t="s">
        <v>36</v>
      </c>
      <c r="C29" s="11" t="s">
        <v>175</v>
      </c>
      <c r="D29" s="11" t="s">
        <v>176</v>
      </c>
      <c r="E29" s="11" t="s">
        <v>177</v>
      </c>
      <c r="F29" s="11" t="s">
        <v>178</v>
      </c>
      <c r="G29" s="12" t="n">
        <f aca="false">COUNTIF('Use cases'!$C$2:$C$6000,A29)</f>
        <v>23</v>
      </c>
      <c r="H29" s="12" t="n">
        <f aca="false">COUNTIFS('Use cases'!$C$2:$C$6000,A29,'Use cases'!$H$2:$H$6000,"")</f>
        <v>19</v>
      </c>
      <c r="I29" s="12" t="n">
        <f aca="false">G29-H29</f>
        <v>4</v>
      </c>
      <c r="J29" s="12" t="n">
        <f aca="false">COUNTIFS('Use cases'!$C$2:$C$6000,A29,'Use cases'!$E$2:$E$6000,"Pay")</f>
        <v>5</v>
      </c>
      <c r="K29" s="12" t="n">
        <f aca="false">COUNTIFS('Use cases'!$C$2:$C$6000,A29,'Use cases'!$K$2:$K$6000,"*Handoff*")</f>
        <v>2</v>
      </c>
      <c r="L29" s="12" t="n">
        <f aca="false">COUNTIFS('Use cases'!$C$2:$C$6000,A29,'Use cases'!$I$2:$I$6000,"(Gratifi starts it)*")</f>
        <v>3</v>
      </c>
      <c r="M29" s="12" t="n">
        <f aca="false">COUNTIFS('Use cases'!$C$2:$C$6000,A29,'Use cases'!$K$2:$K$6000,"*NEW:*")</f>
        <v>2</v>
      </c>
      <c r="N29" s="13" t="str">
        <f aca="false">IF(AND(G29&gt;=6,H29&gt;=2,I29&gt;=2),"Covered","GAP")</f>
        <v>Covered</v>
      </c>
    </row>
    <row r="30" customFormat="false" ht="15" hidden="false" customHeight="false" outlineLevel="0" collapsed="false">
      <c r="A30" s="11" t="s">
        <v>179</v>
      </c>
      <c r="B30" s="11" t="s">
        <v>36</v>
      </c>
      <c r="C30" s="11" t="s">
        <v>180</v>
      </c>
      <c r="D30" s="11" t="s">
        <v>181</v>
      </c>
      <c r="E30" s="11" t="s">
        <v>182</v>
      </c>
      <c r="F30" s="11" t="s">
        <v>78</v>
      </c>
      <c r="G30" s="12" t="n">
        <f aca="false">COUNTIF('Use cases'!$C$2:$C$6000,A30)</f>
        <v>25</v>
      </c>
      <c r="H30" s="12" t="n">
        <f aca="false">COUNTIFS('Use cases'!$C$2:$C$6000,A30,'Use cases'!$H$2:$H$6000,"")</f>
        <v>21</v>
      </c>
      <c r="I30" s="12" t="n">
        <f aca="false">G30-H30</f>
        <v>4</v>
      </c>
      <c r="J30" s="12" t="n">
        <f aca="false">COUNTIFS('Use cases'!$C$2:$C$6000,A30,'Use cases'!$E$2:$E$6000,"Pay")</f>
        <v>4</v>
      </c>
      <c r="K30" s="12" t="n">
        <f aca="false">COUNTIFS('Use cases'!$C$2:$C$6000,A30,'Use cases'!$K$2:$K$6000,"*Handoff*")</f>
        <v>3</v>
      </c>
      <c r="L30" s="12" t="n">
        <f aca="false">COUNTIFS('Use cases'!$C$2:$C$6000,A30,'Use cases'!$I$2:$I$6000,"(Gratifi starts it)*")</f>
        <v>1</v>
      </c>
      <c r="M30" s="12" t="n">
        <f aca="false">COUNTIFS('Use cases'!$C$2:$C$6000,A30,'Use cases'!$K$2:$K$6000,"*NEW:*")</f>
        <v>1</v>
      </c>
      <c r="N30" s="13" t="str">
        <f aca="false">IF(AND(G30&gt;=6,H30&gt;=2,I30&gt;=2),"Covered","GAP")</f>
        <v>Covered</v>
      </c>
    </row>
    <row r="31" customFormat="false" ht="15" hidden="false" customHeight="false" outlineLevel="0" collapsed="false">
      <c r="A31" s="11" t="s">
        <v>183</v>
      </c>
      <c r="B31" s="11" t="s">
        <v>36</v>
      </c>
      <c r="C31" s="11" t="s">
        <v>184</v>
      </c>
      <c r="D31" s="11" t="s">
        <v>185</v>
      </c>
      <c r="E31" s="11" t="s">
        <v>182</v>
      </c>
      <c r="F31" s="11" t="s">
        <v>78</v>
      </c>
      <c r="G31" s="12" t="n">
        <f aca="false">COUNTIF('Use cases'!$C$2:$C$6000,A31)</f>
        <v>25</v>
      </c>
      <c r="H31" s="12" t="n">
        <f aca="false">COUNTIFS('Use cases'!$C$2:$C$6000,A31,'Use cases'!$H$2:$H$6000,"")</f>
        <v>20</v>
      </c>
      <c r="I31" s="12" t="n">
        <f aca="false">G31-H31</f>
        <v>5</v>
      </c>
      <c r="J31" s="12" t="n">
        <f aca="false">COUNTIFS('Use cases'!$C$2:$C$6000,A31,'Use cases'!$E$2:$E$6000,"Pay")</f>
        <v>4</v>
      </c>
      <c r="K31" s="12" t="n">
        <f aca="false">COUNTIFS('Use cases'!$C$2:$C$6000,A31,'Use cases'!$K$2:$K$6000,"*Handoff*")</f>
        <v>2</v>
      </c>
      <c r="L31" s="12" t="n">
        <f aca="false">COUNTIFS('Use cases'!$C$2:$C$6000,A31,'Use cases'!$I$2:$I$6000,"(Gratifi starts it)*")</f>
        <v>2</v>
      </c>
      <c r="M31" s="12" t="n">
        <f aca="false">COUNTIFS('Use cases'!$C$2:$C$6000,A31,'Use cases'!$K$2:$K$6000,"*NEW:*")</f>
        <v>1</v>
      </c>
      <c r="N31" s="13" t="str">
        <f aca="false">IF(AND(G31&gt;=6,H31&gt;=2,I31&gt;=2),"Covered","GAP")</f>
        <v>Covered</v>
      </c>
    </row>
    <row r="32" customFormat="false" ht="15" hidden="false" customHeight="false" outlineLevel="0" collapsed="false">
      <c r="A32" s="11" t="s">
        <v>186</v>
      </c>
      <c r="B32" s="11" t="s">
        <v>37</v>
      </c>
      <c r="C32" s="11" t="s">
        <v>187</v>
      </c>
      <c r="D32" s="11" t="s">
        <v>188</v>
      </c>
      <c r="E32" s="11" t="s">
        <v>189</v>
      </c>
      <c r="F32" s="11" t="s">
        <v>150</v>
      </c>
      <c r="G32" s="12" t="n">
        <f aca="false">COUNTIF('Use cases'!$C$2:$C$6000,A32)</f>
        <v>43</v>
      </c>
      <c r="H32" s="12" t="n">
        <f aca="false">COUNTIFS('Use cases'!$C$2:$C$6000,A32,'Use cases'!$H$2:$H$6000,"")</f>
        <v>37</v>
      </c>
      <c r="I32" s="12" t="n">
        <f aca="false">G32-H32</f>
        <v>6</v>
      </c>
      <c r="J32" s="12" t="n">
        <f aca="false">COUNTIFS('Use cases'!$C$2:$C$6000,A32,'Use cases'!$E$2:$E$6000,"Pay")</f>
        <v>3</v>
      </c>
      <c r="K32" s="12" t="n">
        <f aca="false">COUNTIFS('Use cases'!$C$2:$C$6000,A32,'Use cases'!$K$2:$K$6000,"*Handoff*")</f>
        <v>4</v>
      </c>
      <c r="L32" s="12" t="n">
        <f aca="false">COUNTIFS('Use cases'!$C$2:$C$6000,A32,'Use cases'!$I$2:$I$6000,"(Gratifi starts it)*")</f>
        <v>4</v>
      </c>
      <c r="M32" s="12" t="n">
        <f aca="false">COUNTIFS('Use cases'!$C$2:$C$6000,A32,'Use cases'!$K$2:$K$6000,"*NEW:*")</f>
        <v>16</v>
      </c>
      <c r="N32" s="13" t="str">
        <f aca="false">IF(AND(G32&gt;=6,H32&gt;=2,I32&gt;=2),"Covered","GAP")</f>
        <v>Covered</v>
      </c>
    </row>
    <row r="33" customFormat="false" ht="15" hidden="false" customHeight="false" outlineLevel="0" collapsed="false">
      <c r="A33" s="11" t="s">
        <v>190</v>
      </c>
      <c r="B33" s="11" t="s">
        <v>37</v>
      </c>
      <c r="C33" s="11" t="s">
        <v>191</v>
      </c>
      <c r="D33" s="11" t="s">
        <v>192</v>
      </c>
      <c r="E33" s="11" t="s">
        <v>182</v>
      </c>
      <c r="F33" s="11" t="s">
        <v>78</v>
      </c>
      <c r="G33" s="12" t="n">
        <f aca="false">COUNTIF('Use cases'!$C$2:$C$6000,A33)</f>
        <v>21</v>
      </c>
      <c r="H33" s="12" t="n">
        <f aca="false">COUNTIFS('Use cases'!$C$2:$C$6000,A33,'Use cases'!$H$2:$H$6000,"")</f>
        <v>17</v>
      </c>
      <c r="I33" s="12" t="n">
        <f aca="false">G33-H33</f>
        <v>4</v>
      </c>
      <c r="J33" s="12" t="n">
        <f aca="false">COUNTIFS('Use cases'!$C$2:$C$6000,A33,'Use cases'!$E$2:$E$6000,"Pay")</f>
        <v>5</v>
      </c>
      <c r="K33" s="12" t="n">
        <f aca="false">COUNTIFS('Use cases'!$C$2:$C$6000,A33,'Use cases'!$K$2:$K$6000,"*Handoff*")</f>
        <v>4</v>
      </c>
      <c r="L33" s="12" t="n">
        <f aca="false">COUNTIFS('Use cases'!$C$2:$C$6000,A33,'Use cases'!$I$2:$I$6000,"(Gratifi starts it)*")</f>
        <v>2</v>
      </c>
      <c r="M33" s="12" t="n">
        <f aca="false">COUNTIFS('Use cases'!$C$2:$C$6000,A33,'Use cases'!$K$2:$K$6000,"*NEW:*")</f>
        <v>4</v>
      </c>
      <c r="N33" s="13" t="str">
        <f aca="false">IF(AND(G33&gt;=6,H33&gt;=2,I33&gt;=2),"Covered","GAP")</f>
        <v>Covered</v>
      </c>
    </row>
    <row r="34" customFormat="false" ht="23.85" hidden="false" customHeight="false" outlineLevel="0" collapsed="false">
      <c r="A34" s="11" t="s">
        <v>193</v>
      </c>
      <c r="B34" s="11" t="s">
        <v>37</v>
      </c>
      <c r="C34" s="11" t="s">
        <v>194</v>
      </c>
      <c r="D34" s="11" t="s">
        <v>195</v>
      </c>
      <c r="E34" s="11" t="s">
        <v>196</v>
      </c>
      <c r="F34" s="11" t="s">
        <v>197</v>
      </c>
      <c r="G34" s="12" t="n">
        <f aca="false">COUNTIF('Use cases'!$C$2:$C$6000,A34)</f>
        <v>22</v>
      </c>
      <c r="H34" s="12" t="n">
        <f aca="false">COUNTIFS('Use cases'!$C$2:$C$6000,A34,'Use cases'!$H$2:$H$6000,"")</f>
        <v>17</v>
      </c>
      <c r="I34" s="12" t="n">
        <f aca="false">G34-H34</f>
        <v>5</v>
      </c>
      <c r="J34" s="12" t="n">
        <f aca="false">COUNTIFS('Use cases'!$C$2:$C$6000,A34,'Use cases'!$E$2:$E$6000,"Pay")</f>
        <v>3</v>
      </c>
      <c r="K34" s="12" t="n">
        <f aca="false">COUNTIFS('Use cases'!$C$2:$C$6000,A34,'Use cases'!$K$2:$K$6000,"*Handoff*")</f>
        <v>1</v>
      </c>
      <c r="L34" s="12" t="n">
        <f aca="false">COUNTIFS('Use cases'!$C$2:$C$6000,A34,'Use cases'!$I$2:$I$6000,"(Gratifi starts it)*")</f>
        <v>3</v>
      </c>
      <c r="M34" s="12" t="n">
        <f aca="false">COUNTIFS('Use cases'!$C$2:$C$6000,A34,'Use cases'!$K$2:$K$6000,"*NEW:*")</f>
        <v>2</v>
      </c>
      <c r="N34" s="13" t="str">
        <f aca="false">IF(AND(G34&gt;=6,H34&gt;=2,I34&gt;=2),"Covered","GAP")</f>
        <v>Covered</v>
      </c>
    </row>
    <row r="35" customFormat="false" ht="15" hidden="false" customHeight="false" outlineLevel="0" collapsed="false">
      <c r="A35" s="11" t="s">
        <v>198</v>
      </c>
      <c r="B35" s="11" t="s">
        <v>37</v>
      </c>
      <c r="C35" s="11" t="s">
        <v>199</v>
      </c>
      <c r="D35" s="11" t="s">
        <v>200</v>
      </c>
      <c r="E35" s="11" t="s">
        <v>201</v>
      </c>
      <c r="F35" s="11" t="s">
        <v>119</v>
      </c>
      <c r="G35" s="12" t="n">
        <f aca="false">COUNTIF('Use cases'!$C$2:$C$6000,A35)</f>
        <v>16</v>
      </c>
      <c r="H35" s="12" t="n">
        <f aca="false">COUNTIFS('Use cases'!$C$2:$C$6000,A35,'Use cases'!$H$2:$H$6000,"")</f>
        <v>13</v>
      </c>
      <c r="I35" s="12" t="n">
        <f aca="false">G35-H35</f>
        <v>3</v>
      </c>
      <c r="J35" s="12" t="n">
        <f aca="false">COUNTIFS('Use cases'!$C$2:$C$6000,A35,'Use cases'!$E$2:$E$6000,"Pay")</f>
        <v>1</v>
      </c>
      <c r="K35" s="12" t="n">
        <f aca="false">COUNTIFS('Use cases'!$C$2:$C$6000,A35,'Use cases'!$K$2:$K$6000,"*Handoff*")</f>
        <v>1</v>
      </c>
      <c r="L35" s="12" t="n">
        <f aca="false">COUNTIFS('Use cases'!$C$2:$C$6000,A35,'Use cases'!$I$2:$I$6000,"(Gratifi starts it)*")</f>
        <v>2</v>
      </c>
      <c r="M35" s="12" t="n">
        <f aca="false">COUNTIFS('Use cases'!$C$2:$C$6000,A35,'Use cases'!$K$2:$K$6000,"*NEW:*")</f>
        <v>2</v>
      </c>
      <c r="N35" s="13" t="str">
        <f aca="false">IF(AND(G35&gt;=6,H35&gt;=2,I35&gt;=2),"Covered","GAP")</f>
        <v>Covered</v>
      </c>
    </row>
    <row r="36" customFormat="false" ht="23.85" hidden="false" customHeight="false" outlineLevel="0" collapsed="false">
      <c r="A36" s="11" t="s">
        <v>202</v>
      </c>
      <c r="B36" s="11" t="s">
        <v>38</v>
      </c>
      <c r="C36" s="11" t="s">
        <v>203</v>
      </c>
      <c r="D36" s="11" t="s">
        <v>204</v>
      </c>
      <c r="E36" s="11" t="s">
        <v>205</v>
      </c>
      <c r="F36" s="11" t="s">
        <v>178</v>
      </c>
      <c r="G36" s="12" t="n">
        <f aca="false">COUNTIF('Use cases'!$C$2:$C$6000,A36)</f>
        <v>39</v>
      </c>
      <c r="H36" s="12" t="n">
        <f aca="false">COUNTIFS('Use cases'!$C$2:$C$6000,A36,'Use cases'!$H$2:$H$6000,"")</f>
        <v>24</v>
      </c>
      <c r="I36" s="12" t="n">
        <f aca="false">G36-H36</f>
        <v>15</v>
      </c>
      <c r="J36" s="12" t="n">
        <f aca="false">COUNTIFS('Use cases'!$C$2:$C$6000,A36,'Use cases'!$E$2:$E$6000,"Pay")</f>
        <v>5</v>
      </c>
      <c r="K36" s="12" t="n">
        <f aca="false">COUNTIFS('Use cases'!$C$2:$C$6000,A36,'Use cases'!$K$2:$K$6000,"*Handoff*")</f>
        <v>2</v>
      </c>
      <c r="L36" s="12" t="n">
        <f aca="false">COUNTIFS('Use cases'!$C$2:$C$6000,A36,'Use cases'!$I$2:$I$6000,"(Gratifi starts it)*")</f>
        <v>4</v>
      </c>
      <c r="M36" s="12" t="n">
        <f aca="false">COUNTIFS('Use cases'!$C$2:$C$6000,A36,'Use cases'!$K$2:$K$6000,"*NEW:*")</f>
        <v>17</v>
      </c>
      <c r="N36" s="13" t="str">
        <f aca="false">IF(AND(G36&gt;=6,H36&gt;=2,I36&gt;=2),"Covered","GAP")</f>
        <v>Covered</v>
      </c>
    </row>
    <row r="37" customFormat="false" ht="23.85" hidden="false" customHeight="false" outlineLevel="0" collapsed="false">
      <c r="A37" s="11" t="s">
        <v>206</v>
      </c>
      <c r="B37" s="11" t="s">
        <v>38</v>
      </c>
      <c r="C37" s="11" t="s">
        <v>207</v>
      </c>
      <c r="D37" s="11" t="s">
        <v>208</v>
      </c>
      <c r="E37" s="11" t="s">
        <v>209</v>
      </c>
      <c r="F37" s="11" t="s">
        <v>150</v>
      </c>
      <c r="G37" s="12" t="n">
        <f aca="false">COUNTIF('Use cases'!$C$2:$C$6000,A37)</f>
        <v>39</v>
      </c>
      <c r="H37" s="12" t="n">
        <f aca="false">COUNTIFS('Use cases'!$C$2:$C$6000,A37,'Use cases'!$H$2:$H$6000,"")</f>
        <v>27</v>
      </c>
      <c r="I37" s="12" t="n">
        <f aca="false">G37-H37</f>
        <v>12</v>
      </c>
      <c r="J37" s="12" t="n">
        <f aca="false">COUNTIFS('Use cases'!$C$2:$C$6000,A37,'Use cases'!$E$2:$E$6000,"Pay")</f>
        <v>4</v>
      </c>
      <c r="K37" s="12" t="n">
        <f aca="false">COUNTIFS('Use cases'!$C$2:$C$6000,A37,'Use cases'!$K$2:$K$6000,"*Handoff*")</f>
        <v>2</v>
      </c>
      <c r="L37" s="12" t="n">
        <f aca="false">COUNTIFS('Use cases'!$C$2:$C$6000,A37,'Use cases'!$I$2:$I$6000,"(Gratifi starts it)*")</f>
        <v>4</v>
      </c>
      <c r="M37" s="12" t="n">
        <f aca="false">COUNTIFS('Use cases'!$C$2:$C$6000,A37,'Use cases'!$K$2:$K$6000,"*NEW:*")</f>
        <v>22</v>
      </c>
      <c r="N37" s="13" t="str">
        <f aca="false">IF(AND(G37&gt;=6,H37&gt;=2,I37&gt;=2),"Covered","GAP")</f>
        <v>Covered</v>
      </c>
    </row>
    <row r="38" customFormat="false" ht="23.85" hidden="false" customHeight="false" outlineLevel="0" collapsed="false">
      <c r="A38" s="11" t="s">
        <v>210</v>
      </c>
      <c r="B38" s="11" t="s">
        <v>38</v>
      </c>
      <c r="C38" s="11" t="s">
        <v>211</v>
      </c>
      <c r="D38" s="11" t="s">
        <v>212</v>
      </c>
      <c r="E38" s="11" t="s">
        <v>213</v>
      </c>
      <c r="F38" s="11" t="s">
        <v>214</v>
      </c>
      <c r="G38" s="12" t="n">
        <f aca="false">COUNTIF('Use cases'!$C$2:$C$6000,A38)</f>
        <v>25</v>
      </c>
      <c r="H38" s="12" t="n">
        <f aca="false">COUNTIFS('Use cases'!$C$2:$C$6000,A38,'Use cases'!$H$2:$H$6000,"")</f>
        <v>20</v>
      </c>
      <c r="I38" s="12" t="n">
        <f aca="false">G38-H38</f>
        <v>5</v>
      </c>
      <c r="J38" s="12" t="n">
        <f aca="false">COUNTIFS('Use cases'!$C$2:$C$6000,A38,'Use cases'!$E$2:$E$6000,"Pay")</f>
        <v>4</v>
      </c>
      <c r="K38" s="12" t="n">
        <f aca="false">COUNTIFS('Use cases'!$C$2:$C$6000,A38,'Use cases'!$K$2:$K$6000,"*Handoff*")</f>
        <v>2</v>
      </c>
      <c r="L38" s="12" t="n">
        <f aca="false">COUNTIFS('Use cases'!$C$2:$C$6000,A38,'Use cases'!$I$2:$I$6000,"(Gratifi starts it)*")</f>
        <v>3</v>
      </c>
      <c r="M38" s="12" t="n">
        <f aca="false">COUNTIFS('Use cases'!$C$2:$C$6000,A38,'Use cases'!$K$2:$K$6000,"*NEW:*")</f>
        <v>11</v>
      </c>
      <c r="N38" s="13" t="str">
        <f aca="false">IF(AND(G38&gt;=6,H38&gt;=2,I38&gt;=2),"Covered","GAP")</f>
        <v>Covered</v>
      </c>
    </row>
    <row r="39" customFormat="false" ht="15" hidden="false" customHeight="false" outlineLevel="0" collapsed="false">
      <c r="A39" s="11" t="s">
        <v>215</v>
      </c>
      <c r="B39" s="11" t="s">
        <v>39</v>
      </c>
      <c r="C39" s="11" t="s">
        <v>216</v>
      </c>
      <c r="D39" s="11" t="s">
        <v>217</v>
      </c>
      <c r="E39" s="11" t="s">
        <v>218</v>
      </c>
      <c r="F39" s="11" t="s">
        <v>219</v>
      </c>
      <c r="G39" s="12" t="n">
        <f aca="false">COUNTIF('Use cases'!$C$2:$C$6000,A39)</f>
        <v>36</v>
      </c>
      <c r="H39" s="12" t="n">
        <f aca="false">COUNTIFS('Use cases'!$C$2:$C$6000,A39,'Use cases'!$H$2:$H$6000,"")</f>
        <v>29</v>
      </c>
      <c r="I39" s="12" t="n">
        <f aca="false">G39-H39</f>
        <v>7</v>
      </c>
      <c r="J39" s="12" t="n">
        <f aca="false">COUNTIFS('Use cases'!$C$2:$C$6000,A39,'Use cases'!$E$2:$E$6000,"Pay")</f>
        <v>7</v>
      </c>
      <c r="K39" s="12" t="n">
        <f aca="false">COUNTIFS('Use cases'!$C$2:$C$6000,A39,'Use cases'!$K$2:$K$6000,"*Handoff*")</f>
        <v>1</v>
      </c>
      <c r="L39" s="12" t="n">
        <f aca="false">COUNTIFS('Use cases'!$C$2:$C$6000,A39,'Use cases'!$I$2:$I$6000,"(Gratifi starts it)*")</f>
        <v>2</v>
      </c>
      <c r="M39" s="12" t="n">
        <f aca="false">COUNTIFS('Use cases'!$C$2:$C$6000,A39,'Use cases'!$K$2:$K$6000,"*NEW:*")</f>
        <v>8</v>
      </c>
      <c r="N39" s="13" t="str">
        <f aca="false">IF(AND(G39&gt;=6,H39&gt;=2,I39&gt;=2),"Covered","GAP")</f>
        <v>Covered</v>
      </c>
    </row>
    <row r="40" customFormat="false" ht="15" hidden="false" customHeight="false" outlineLevel="0" collapsed="false">
      <c r="A40" s="11" t="s">
        <v>220</v>
      </c>
      <c r="B40" s="11" t="s">
        <v>39</v>
      </c>
      <c r="C40" s="11" t="s">
        <v>221</v>
      </c>
      <c r="D40" s="11" t="s">
        <v>222</v>
      </c>
      <c r="E40" s="11" t="s">
        <v>223</v>
      </c>
      <c r="F40" s="11" t="s">
        <v>219</v>
      </c>
      <c r="G40" s="12" t="n">
        <f aca="false">COUNTIF('Use cases'!$C$2:$C$6000,A40)</f>
        <v>27</v>
      </c>
      <c r="H40" s="12" t="n">
        <f aca="false">COUNTIFS('Use cases'!$C$2:$C$6000,A40,'Use cases'!$H$2:$H$6000,"")</f>
        <v>21</v>
      </c>
      <c r="I40" s="12" t="n">
        <f aca="false">G40-H40</f>
        <v>6</v>
      </c>
      <c r="J40" s="12" t="n">
        <f aca="false">COUNTIFS('Use cases'!$C$2:$C$6000,A40,'Use cases'!$E$2:$E$6000,"Pay")</f>
        <v>3</v>
      </c>
      <c r="K40" s="12" t="n">
        <f aca="false">COUNTIFS('Use cases'!$C$2:$C$6000,A40,'Use cases'!$K$2:$K$6000,"*Handoff*")</f>
        <v>3</v>
      </c>
      <c r="L40" s="12" t="n">
        <f aca="false">COUNTIFS('Use cases'!$C$2:$C$6000,A40,'Use cases'!$I$2:$I$6000,"(Gratifi starts it)*")</f>
        <v>1</v>
      </c>
      <c r="M40" s="12" t="n">
        <f aca="false">COUNTIFS('Use cases'!$C$2:$C$6000,A40,'Use cases'!$K$2:$K$6000,"*NEW:*")</f>
        <v>10</v>
      </c>
      <c r="N40" s="13" t="str">
        <f aca="false">IF(AND(G40&gt;=6,H40&gt;=2,I40&gt;=2),"Covered","GAP")</f>
        <v>Covered</v>
      </c>
    </row>
    <row r="41" customFormat="false" ht="15" hidden="false" customHeight="false" outlineLevel="0" collapsed="false">
      <c r="A41" s="11" t="s">
        <v>224</v>
      </c>
      <c r="B41" s="11" t="s">
        <v>39</v>
      </c>
      <c r="C41" s="11" t="s">
        <v>225</v>
      </c>
      <c r="D41" s="11" t="s">
        <v>226</v>
      </c>
      <c r="E41" s="11" t="s">
        <v>227</v>
      </c>
      <c r="F41" s="11" t="s">
        <v>219</v>
      </c>
      <c r="G41" s="12" t="n">
        <f aca="false">COUNTIF('Use cases'!$C$2:$C$6000,A41)</f>
        <v>24</v>
      </c>
      <c r="H41" s="12" t="n">
        <f aca="false">COUNTIFS('Use cases'!$C$2:$C$6000,A41,'Use cases'!$H$2:$H$6000,"")</f>
        <v>19</v>
      </c>
      <c r="I41" s="12" t="n">
        <f aca="false">G41-H41</f>
        <v>5</v>
      </c>
      <c r="J41" s="12" t="n">
        <f aca="false">COUNTIFS('Use cases'!$C$2:$C$6000,A41,'Use cases'!$E$2:$E$6000,"Pay")</f>
        <v>4</v>
      </c>
      <c r="K41" s="12" t="n">
        <f aca="false">COUNTIFS('Use cases'!$C$2:$C$6000,A41,'Use cases'!$K$2:$K$6000,"*Handoff*")</f>
        <v>2</v>
      </c>
      <c r="L41" s="12" t="n">
        <f aca="false">COUNTIFS('Use cases'!$C$2:$C$6000,A41,'Use cases'!$I$2:$I$6000,"(Gratifi starts it)*")</f>
        <v>2</v>
      </c>
      <c r="M41" s="12" t="n">
        <f aca="false">COUNTIFS('Use cases'!$C$2:$C$6000,A41,'Use cases'!$K$2:$K$6000,"*NEW:*")</f>
        <v>8</v>
      </c>
      <c r="N41" s="13" t="str">
        <f aca="false">IF(AND(G41&gt;=6,H41&gt;=2,I41&gt;=2),"Covered","GAP")</f>
        <v>Covered</v>
      </c>
    </row>
    <row r="42" customFormat="false" ht="23.85" hidden="false" customHeight="false" outlineLevel="0" collapsed="false">
      <c r="A42" s="11" t="s">
        <v>228</v>
      </c>
      <c r="B42" s="11" t="s">
        <v>39</v>
      </c>
      <c r="C42" s="11" t="s">
        <v>229</v>
      </c>
      <c r="D42" s="11" t="s">
        <v>230</v>
      </c>
      <c r="E42" s="11" t="s">
        <v>231</v>
      </c>
      <c r="F42" s="11" t="s">
        <v>219</v>
      </c>
      <c r="G42" s="12" t="n">
        <f aca="false">COUNTIF('Use cases'!$C$2:$C$6000,A42)</f>
        <v>28</v>
      </c>
      <c r="H42" s="12" t="n">
        <f aca="false">COUNTIFS('Use cases'!$C$2:$C$6000,A42,'Use cases'!$H$2:$H$6000,"")</f>
        <v>20</v>
      </c>
      <c r="I42" s="12" t="n">
        <f aca="false">G42-H42</f>
        <v>8</v>
      </c>
      <c r="J42" s="12" t="n">
        <f aca="false">COUNTIFS('Use cases'!$C$2:$C$6000,A42,'Use cases'!$E$2:$E$6000,"Pay")</f>
        <v>5</v>
      </c>
      <c r="K42" s="12" t="n">
        <f aca="false">COUNTIFS('Use cases'!$C$2:$C$6000,A42,'Use cases'!$K$2:$K$6000,"*Handoff*")</f>
        <v>4</v>
      </c>
      <c r="L42" s="12" t="n">
        <f aca="false">COUNTIFS('Use cases'!$C$2:$C$6000,A42,'Use cases'!$I$2:$I$6000,"(Gratifi starts it)*")</f>
        <v>2</v>
      </c>
      <c r="M42" s="12" t="n">
        <f aca="false">COUNTIFS('Use cases'!$C$2:$C$6000,A42,'Use cases'!$K$2:$K$6000,"*NEW:*")</f>
        <v>1</v>
      </c>
      <c r="N42" s="13" t="str">
        <f aca="false">IF(AND(G42&gt;=6,H42&gt;=2,I42&gt;=2),"Covered","GAP")</f>
        <v>Covered</v>
      </c>
    </row>
    <row r="43" customFormat="false" ht="23.85" hidden="false" customHeight="false" outlineLevel="0" collapsed="false">
      <c r="A43" s="11" t="s">
        <v>232</v>
      </c>
      <c r="B43" s="11" t="s">
        <v>39</v>
      </c>
      <c r="C43" s="11" t="s">
        <v>233</v>
      </c>
      <c r="D43" s="11" t="s">
        <v>234</v>
      </c>
      <c r="E43" s="11" t="s">
        <v>235</v>
      </c>
      <c r="F43" s="11" t="s">
        <v>219</v>
      </c>
      <c r="G43" s="12" t="n">
        <f aca="false">COUNTIF('Use cases'!$C$2:$C$6000,A43)</f>
        <v>27</v>
      </c>
      <c r="H43" s="12" t="n">
        <f aca="false">COUNTIFS('Use cases'!$C$2:$C$6000,A43,'Use cases'!$H$2:$H$6000,"")</f>
        <v>16</v>
      </c>
      <c r="I43" s="12" t="n">
        <f aca="false">G43-H43</f>
        <v>11</v>
      </c>
      <c r="J43" s="12" t="n">
        <f aca="false">COUNTIFS('Use cases'!$C$2:$C$6000,A43,'Use cases'!$E$2:$E$6000,"Pay")</f>
        <v>3</v>
      </c>
      <c r="K43" s="12" t="n">
        <f aca="false">COUNTIFS('Use cases'!$C$2:$C$6000,A43,'Use cases'!$K$2:$K$6000,"*Handoff*")</f>
        <v>2</v>
      </c>
      <c r="L43" s="12" t="n">
        <f aca="false">COUNTIFS('Use cases'!$C$2:$C$6000,A43,'Use cases'!$I$2:$I$6000,"(Gratifi starts it)*")</f>
        <v>4</v>
      </c>
      <c r="M43" s="12" t="n">
        <f aca="false">COUNTIFS('Use cases'!$C$2:$C$6000,A43,'Use cases'!$K$2:$K$6000,"*NEW:*")</f>
        <v>11</v>
      </c>
      <c r="N43" s="13" t="str">
        <f aca="false">IF(AND(G43&gt;=6,H43&gt;=2,I43&gt;=2),"Covered","GAP")</f>
        <v>Covered</v>
      </c>
    </row>
    <row r="44" customFormat="false" ht="23.85" hidden="false" customHeight="false" outlineLevel="0" collapsed="false">
      <c r="A44" s="11" t="s">
        <v>236</v>
      </c>
      <c r="B44" s="11" t="s">
        <v>39</v>
      </c>
      <c r="C44" s="11" t="s">
        <v>237</v>
      </c>
      <c r="D44" s="11" t="s">
        <v>238</v>
      </c>
      <c r="E44" s="11" t="s">
        <v>239</v>
      </c>
      <c r="F44" s="11" t="s">
        <v>240</v>
      </c>
      <c r="G44" s="12" t="n">
        <f aca="false">COUNTIF('Use cases'!$C$2:$C$6000,A44)</f>
        <v>26</v>
      </c>
      <c r="H44" s="12" t="n">
        <f aca="false">COUNTIFS('Use cases'!$C$2:$C$6000,A44,'Use cases'!$H$2:$H$6000,"")</f>
        <v>16</v>
      </c>
      <c r="I44" s="12" t="n">
        <f aca="false">G44-H44</f>
        <v>10</v>
      </c>
      <c r="J44" s="12" t="n">
        <f aca="false">COUNTIFS('Use cases'!$C$2:$C$6000,A44,'Use cases'!$E$2:$E$6000,"Pay")</f>
        <v>6</v>
      </c>
      <c r="K44" s="12" t="n">
        <f aca="false">COUNTIFS('Use cases'!$C$2:$C$6000,A44,'Use cases'!$K$2:$K$6000,"*Handoff*")</f>
        <v>3</v>
      </c>
      <c r="L44" s="12" t="n">
        <f aca="false">COUNTIFS('Use cases'!$C$2:$C$6000,A44,'Use cases'!$I$2:$I$6000,"(Gratifi starts it)*")</f>
        <v>3</v>
      </c>
      <c r="M44" s="12" t="n">
        <f aca="false">COUNTIFS('Use cases'!$C$2:$C$6000,A44,'Use cases'!$K$2:$K$6000,"*NEW:*")</f>
        <v>6</v>
      </c>
      <c r="N44" s="13" t="str">
        <f aca="false">IF(AND(G44&gt;=6,H44&gt;=2,I44&gt;=2),"Covered","GAP")</f>
        <v>Covered</v>
      </c>
    </row>
    <row r="45" customFormat="false" ht="15" hidden="false" customHeight="false" outlineLevel="0" collapsed="false">
      <c r="A45" s="11" t="s">
        <v>241</v>
      </c>
      <c r="B45" s="11" t="s">
        <v>39</v>
      </c>
      <c r="C45" s="11" t="s">
        <v>242</v>
      </c>
      <c r="D45" s="11" t="s">
        <v>243</v>
      </c>
      <c r="E45" s="11" t="s">
        <v>244</v>
      </c>
      <c r="F45" s="11" t="s">
        <v>219</v>
      </c>
      <c r="G45" s="12" t="n">
        <f aca="false">COUNTIF('Use cases'!$C$2:$C$6000,A45)</f>
        <v>36</v>
      </c>
      <c r="H45" s="12" t="n">
        <f aca="false">COUNTIFS('Use cases'!$C$2:$C$6000,A45,'Use cases'!$H$2:$H$6000,"")</f>
        <v>24</v>
      </c>
      <c r="I45" s="12" t="n">
        <f aca="false">G45-H45</f>
        <v>12</v>
      </c>
      <c r="J45" s="12" t="n">
        <f aca="false">COUNTIFS('Use cases'!$C$2:$C$6000,A45,'Use cases'!$E$2:$E$6000,"Pay")</f>
        <v>2</v>
      </c>
      <c r="K45" s="12" t="n">
        <f aca="false">COUNTIFS('Use cases'!$C$2:$C$6000,A45,'Use cases'!$K$2:$K$6000,"*Handoff*")</f>
        <v>10</v>
      </c>
      <c r="L45" s="12" t="n">
        <f aca="false">COUNTIFS('Use cases'!$C$2:$C$6000,A45,'Use cases'!$I$2:$I$6000,"(Gratifi starts it)*")</f>
        <v>2</v>
      </c>
      <c r="M45" s="12" t="n">
        <f aca="false">COUNTIFS('Use cases'!$C$2:$C$6000,A45,'Use cases'!$K$2:$K$6000,"*NEW:*")</f>
        <v>16</v>
      </c>
      <c r="N45" s="13" t="str">
        <f aca="false">IF(AND(G45&gt;=6,H45&gt;=2,I45&gt;=2),"Covered","GAP")</f>
        <v>Covered</v>
      </c>
    </row>
    <row r="46" customFormat="false" ht="15" hidden="false" customHeight="false" outlineLevel="0" collapsed="false">
      <c r="A46" s="11" t="s">
        <v>245</v>
      </c>
      <c r="B46" s="11" t="s">
        <v>40</v>
      </c>
      <c r="C46" s="11" t="s">
        <v>246</v>
      </c>
      <c r="D46" s="11" t="s">
        <v>247</v>
      </c>
      <c r="E46" s="11" t="s">
        <v>248</v>
      </c>
      <c r="F46" s="11" t="s">
        <v>219</v>
      </c>
      <c r="G46" s="12" t="n">
        <f aca="false">COUNTIF('Use cases'!$C$2:$C$6000,A46)</f>
        <v>19</v>
      </c>
      <c r="H46" s="12" t="n">
        <f aca="false">COUNTIFS('Use cases'!$C$2:$C$6000,A46,'Use cases'!$H$2:$H$6000,"")</f>
        <v>11</v>
      </c>
      <c r="I46" s="12" t="n">
        <f aca="false">G46-H46</f>
        <v>8</v>
      </c>
      <c r="J46" s="12" t="n">
        <f aca="false">COUNTIFS('Use cases'!$C$2:$C$6000,A46,'Use cases'!$E$2:$E$6000,"Pay")</f>
        <v>6</v>
      </c>
      <c r="K46" s="12" t="n">
        <f aca="false">COUNTIFS('Use cases'!$C$2:$C$6000,A46,'Use cases'!$K$2:$K$6000,"*Handoff*")</f>
        <v>3</v>
      </c>
      <c r="L46" s="12" t="n">
        <f aca="false">COUNTIFS('Use cases'!$C$2:$C$6000,A46,'Use cases'!$I$2:$I$6000,"(Gratifi starts it)*")</f>
        <v>1</v>
      </c>
      <c r="M46" s="12" t="n">
        <f aca="false">COUNTIFS('Use cases'!$C$2:$C$6000,A46,'Use cases'!$K$2:$K$6000,"*NEW:*")</f>
        <v>3</v>
      </c>
      <c r="N46" s="13" t="str">
        <f aca="false">IF(AND(G46&gt;=6,H46&gt;=2,I46&gt;=2),"Covered","GAP")</f>
        <v>Covered</v>
      </c>
    </row>
    <row r="47" customFormat="false" ht="15" hidden="false" customHeight="false" outlineLevel="0" collapsed="false">
      <c r="A47" s="11" t="s">
        <v>249</v>
      </c>
      <c r="B47" s="11" t="s">
        <v>40</v>
      </c>
      <c r="C47" s="11" t="s">
        <v>250</v>
      </c>
      <c r="D47" s="11" t="s">
        <v>251</v>
      </c>
      <c r="E47" s="11" t="s">
        <v>227</v>
      </c>
      <c r="F47" s="11" t="s">
        <v>219</v>
      </c>
      <c r="G47" s="12" t="n">
        <f aca="false">COUNTIF('Use cases'!$C$2:$C$6000,A47)</f>
        <v>16</v>
      </c>
      <c r="H47" s="12" t="n">
        <f aca="false">COUNTIFS('Use cases'!$C$2:$C$6000,A47,'Use cases'!$H$2:$H$6000,"")</f>
        <v>10</v>
      </c>
      <c r="I47" s="12" t="n">
        <f aca="false">G47-H47</f>
        <v>6</v>
      </c>
      <c r="J47" s="12" t="n">
        <f aca="false">COUNTIFS('Use cases'!$C$2:$C$6000,A47,'Use cases'!$E$2:$E$6000,"Pay")</f>
        <v>5</v>
      </c>
      <c r="K47" s="12" t="n">
        <f aca="false">COUNTIFS('Use cases'!$C$2:$C$6000,A47,'Use cases'!$K$2:$K$6000,"*Handoff*")</f>
        <v>4</v>
      </c>
      <c r="L47" s="12" t="n">
        <f aca="false">COUNTIFS('Use cases'!$C$2:$C$6000,A47,'Use cases'!$I$2:$I$6000,"(Gratifi starts it)*")</f>
        <v>1</v>
      </c>
      <c r="M47" s="12" t="n">
        <f aca="false">COUNTIFS('Use cases'!$C$2:$C$6000,A47,'Use cases'!$K$2:$K$6000,"*NEW:*")</f>
        <v>3</v>
      </c>
      <c r="N47" s="13" t="str">
        <f aca="false">IF(AND(G47&gt;=6,H47&gt;=2,I47&gt;=2),"Covered","GAP")</f>
        <v>Covered</v>
      </c>
    </row>
    <row r="48" customFormat="false" ht="15" hidden="false" customHeight="false" outlineLevel="0" collapsed="false">
      <c r="A48" s="11" t="s">
        <v>252</v>
      </c>
      <c r="B48" s="11" t="s">
        <v>40</v>
      </c>
      <c r="C48" s="11" t="s">
        <v>253</v>
      </c>
      <c r="D48" s="11" t="s">
        <v>254</v>
      </c>
      <c r="E48" s="11" t="s">
        <v>255</v>
      </c>
      <c r="F48" s="11" t="s">
        <v>256</v>
      </c>
      <c r="G48" s="12" t="n">
        <f aca="false">COUNTIF('Use cases'!$C$2:$C$6000,A48)</f>
        <v>19</v>
      </c>
      <c r="H48" s="12" t="n">
        <f aca="false">COUNTIFS('Use cases'!$C$2:$C$6000,A48,'Use cases'!$H$2:$H$6000,"")</f>
        <v>14</v>
      </c>
      <c r="I48" s="12" t="n">
        <f aca="false">G48-H48</f>
        <v>5</v>
      </c>
      <c r="J48" s="12" t="n">
        <f aca="false">COUNTIFS('Use cases'!$C$2:$C$6000,A48,'Use cases'!$E$2:$E$6000,"Pay")</f>
        <v>2</v>
      </c>
      <c r="K48" s="12" t="n">
        <f aca="false">COUNTIFS('Use cases'!$C$2:$C$6000,A48,'Use cases'!$K$2:$K$6000,"*Handoff*")</f>
        <v>3</v>
      </c>
      <c r="L48" s="12" t="n">
        <f aca="false">COUNTIFS('Use cases'!$C$2:$C$6000,A48,'Use cases'!$I$2:$I$6000,"(Gratifi starts it)*")</f>
        <v>1</v>
      </c>
      <c r="M48" s="12" t="n">
        <f aca="false">COUNTIFS('Use cases'!$C$2:$C$6000,A48,'Use cases'!$K$2:$K$6000,"*NEW:*")</f>
        <v>5</v>
      </c>
      <c r="N48" s="13" t="str">
        <f aca="false">IF(AND(G48&gt;=6,H48&gt;=2,I48&gt;=2),"Covered","GAP")</f>
        <v>Covered</v>
      </c>
    </row>
    <row r="49" customFormat="false" ht="15" hidden="false" customHeight="false" outlineLevel="0" collapsed="false">
      <c r="A49" s="11" t="s">
        <v>257</v>
      </c>
      <c r="B49" s="11" t="s">
        <v>40</v>
      </c>
      <c r="C49" s="11" t="s">
        <v>258</v>
      </c>
      <c r="D49" s="11" t="s">
        <v>259</v>
      </c>
      <c r="E49" s="11" t="s">
        <v>260</v>
      </c>
      <c r="F49" s="11" t="s">
        <v>256</v>
      </c>
      <c r="G49" s="12" t="n">
        <f aca="false">COUNTIF('Use cases'!$C$2:$C$6000,A49)</f>
        <v>17</v>
      </c>
      <c r="H49" s="12" t="n">
        <f aca="false">COUNTIFS('Use cases'!$C$2:$C$6000,A49,'Use cases'!$H$2:$H$6000,"")</f>
        <v>13</v>
      </c>
      <c r="I49" s="12" t="n">
        <f aca="false">G49-H49</f>
        <v>4</v>
      </c>
      <c r="J49" s="12" t="n">
        <f aca="false">COUNTIFS('Use cases'!$C$2:$C$6000,A49,'Use cases'!$E$2:$E$6000,"Pay")</f>
        <v>1</v>
      </c>
      <c r="K49" s="12" t="n">
        <f aca="false">COUNTIFS('Use cases'!$C$2:$C$6000,A49,'Use cases'!$K$2:$K$6000,"*Handoff*")</f>
        <v>5</v>
      </c>
      <c r="L49" s="12" t="n">
        <f aca="false">COUNTIFS('Use cases'!$C$2:$C$6000,A49,'Use cases'!$I$2:$I$6000,"(Gratifi starts it)*")</f>
        <v>1</v>
      </c>
      <c r="M49" s="12" t="n">
        <f aca="false">COUNTIFS('Use cases'!$C$2:$C$6000,A49,'Use cases'!$K$2:$K$6000,"*NEW:*")</f>
        <v>5</v>
      </c>
      <c r="N49" s="13" t="str">
        <f aca="false">IF(AND(G49&gt;=6,H49&gt;=2,I49&gt;=2),"Covered","GAP")</f>
        <v>Covered</v>
      </c>
    </row>
    <row r="50" customFormat="false" ht="23.85" hidden="false" customHeight="false" outlineLevel="0" collapsed="false">
      <c r="A50" s="11" t="s">
        <v>261</v>
      </c>
      <c r="B50" s="11" t="s">
        <v>40</v>
      </c>
      <c r="C50" s="11" t="s">
        <v>262</v>
      </c>
      <c r="D50" s="11" t="s">
        <v>263</v>
      </c>
      <c r="E50" s="11" t="s">
        <v>255</v>
      </c>
      <c r="F50" s="11" t="s">
        <v>264</v>
      </c>
      <c r="G50" s="12" t="n">
        <f aca="false">COUNTIF('Use cases'!$C$2:$C$6000,A50)</f>
        <v>17</v>
      </c>
      <c r="H50" s="12" t="n">
        <f aca="false">COUNTIFS('Use cases'!$C$2:$C$6000,A50,'Use cases'!$H$2:$H$6000,"")</f>
        <v>13</v>
      </c>
      <c r="I50" s="12" t="n">
        <f aca="false">G50-H50</f>
        <v>4</v>
      </c>
      <c r="J50" s="12" t="n">
        <f aca="false">COUNTIFS('Use cases'!$C$2:$C$6000,A50,'Use cases'!$E$2:$E$6000,"Pay")</f>
        <v>3</v>
      </c>
      <c r="K50" s="12" t="n">
        <f aca="false">COUNTIFS('Use cases'!$C$2:$C$6000,A50,'Use cases'!$K$2:$K$6000,"*Handoff*")</f>
        <v>5</v>
      </c>
      <c r="L50" s="12" t="n">
        <f aca="false">COUNTIFS('Use cases'!$C$2:$C$6000,A50,'Use cases'!$I$2:$I$6000,"(Gratifi starts it)*")</f>
        <v>2</v>
      </c>
      <c r="M50" s="12" t="n">
        <f aca="false">COUNTIFS('Use cases'!$C$2:$C$6000,A50,'Use cases'!$K$2:$K$6000,"*NEW:*")</f>
        <v>8</v>
      </c>
      <c r="N50" s="13" t="str">
        <f aca="false">IF(AND(G50&gt;=6,H50&gt;=2,I50&gt;=2),"Covered","GAP")</f>
        <v>Covered</v>
      </c>
    </row>
    <row r="51" customFormat="false" ht="15" hidden="false" customHeight="false" outlineLevel="0" collapsed="false">
      <c r="A51" s="11" t="s">
        <v>265</v>
      </c>
      <c r="B51" s="11" t="s">
        <v>41</v>
      </c>
      <c r="C51" s="11" t="s">
        <v>266</v>
      </c>
      <c r="D51" s="11" t="s">
        <v>267</v>
      </c>
      <c r="E51" s="11" t="s">
        <v>268</v>
      </c>
      <c r="F51" s="11" t="s">
        <v>178</v>
      </c>
      <c r="G51" s="12" t="n">
        <f aca="false">COUNTIF('Use cases'!$C$2:$C$6000,A51)</f>
        <v>17</v>
      </c>
      <c r="H51" s="12" t="n">
        <f aca="false">COUNTIFS('Use cases'!$C$2:$C$6000,A51,'Use cases'!$H$2:$H$6000,"")</f>
        <v>13</v>
      </c>
      <c r="I51" s="12" t="n">
        <f aca="false">G51-H51</f>
        <v>4</v>
      </c>
      <c r="J51" s="12" t="n">
        <f aca="false">COUNTIFS('Use cases'!$C$2:$C$6000,A51,'Use cases'!$E$2:$E$6000,"Pay")</f>
        <v>3</v>
      </c>
      <c r="K51" s="12" t="n">
        <f aca="false">COUNTIFS('Use cases'!$C$2:$C$6000,A51,'Use cases'!$K$2:$K$6000,"*Handoff*")</f>
        <v>2</v>
      </c>
      <c r="L51" s="12" t="n">
        <f aca="false">COUNTIFS('Use cases'!$C$2:$C$6000,A51,'Use cases'!$I$2:$I$6000,"(Gratifi starts it)*")</f>
        <v>1</v>
      </c>
      <c r="M51" s="12" t="n">
        <f aca="false">COUNTIFS('Use cases'!$C$2:$C$6000,A51,'Use cases'!$K$2:$K$6000,"*NEW:*")</f>
        <v>7</v>
      </c>
      <c r="N51" s="13" t="str">
        <f aca="false">IF(AND(G51&gt;=6,H51&gt;=2,I51&gt;=2),"Covered","GAP")</f>
        <v>Covered</v>
      </c>
    </row>
    <row r="52" customFormat="false" ht="15" hidden="false" customHeight="false" outlineLevel="0" collapsed="false">
      <c r="A52" s="11" t="s">
        <v>269</v>
      </c>
      <c r="B52" s="11" t="s">
        <v>41</v>
      </c>
      <c r="C52" s="11" t="s">
        <v>270</v>
      </c>
      <c r="D52" s="11" t="s">
        <v>271</v>
      </c>
      <c r="E52" s="11" t="s">
        <v>268</v>
      </c>
      <c r="F52" s="11" t="s">
        <v>178</v>
      </c>
      <c r="G52" s="12" t="n">
        <f aca="false">COUNTIF('Use cases'!$C$2:$C$6000,A52)</f>
        <v>12</v>
      </c>
      <c r="H52" s="12" t="n">
        <f aca="false">COUNTIFS('Use cases'!$C$2:$C$6000,A52,'Use cases'!$H$2:$H$6000,"")</f>
        <v>9</v>
      </c>
      <c r="I52" s="12" t="n">
        <f aca="false">G52-H52</f>
        <v>3</v>
      </c>
      <c r="J52" s="12" t="n">
        <f aca="false">COUNTIFS('Use cases'!$C$2:$C$6000,A52,'Use cases'!$E$2:$E$6000,"Pay")</f>
        <v>2</v>
      </c>
      <c r="K52" s="12" t="n">
        <f aca="false">COUNTIFS('Use cases'!$C$2:$C$6000,A52,'Use cases'!$K$2:$K$6000,"*Handoff*")</f>
        <v>1</v>
      </c>
      <c r="L52" s="12" t="n">
        <f aca="false">COUNTIFS('Use cases'!$C$2:$C$6000,A52,'Use cases'!$I$2:$I$6000,"(Gratifi starts it)*")</f>
        <v>1</v>
      </c>
      <c r="M52" s="12" t="n">
        <f aca="false">COUNTIFS('Use cases'!$C$2:$C$6000,A52,'Use cases'!$K$2:$K$6000,"*NEW:*")</f>
        <v>7</v>
      </c>
      <c r="N52" s="13" t="str">
        <f aca="false">IF(AND(G52&gt;=6,H52&gt;=2,I52&gt;=2),"Covered","GAP")</f>
        <v>Covered</v>
      </c>
    </row>
    <row r="53" customFormat="false" ht="15" hidden="false" customHeight="false" outlineLevel="0" collapsed="false">
      <c r="A53" s="11" t="s">
        <v>272</v>
      </c>
      <c r="B53" s="11" t="s">
        <v>41</v>
      </c>
      <c r="C53" s="11" t="s">
        <v>273</v>
      </c>
      <c r="D53" s="11" t="s">
        <v>274</v>
      </c>
      <c r="E53" s="11" t="s">
        <v>182</v>
      </c>
      <c r="F53" s="11" t="s">
        <v>78</v>
      </c>
      <c r="G53" s="12" t="n">
        <f aca="false">COUNTIF('Use cases'!$C$2:$C$6000,A53)</f>
        <v>14</v>
      </c>
      <c r="H53" s="12" t="n">
        <f aca="false">COUNTIFS('Use cases'!$C$2:$C$6000,A53,'Use cases'!$H$2:$H$6000,"")</f>
        <v>11</v>
      </c>
      <c r="I53" s="12" t="n">
        <f aca="false">G53-H53</f>
        <v>3</v>
      </c>
      <c r="J53" s="12" t="n">
        <f aca="false">COUNTIFS('Use cases'!$C$2:$C$6000,A53,'Use cases'!$E$2:$E$6000,"Pay")</f>
        <v>3</v>
      </c>
      <c r="K53" s="12" t="n">
        <f aca="false">COUNTIFS('Use cases'!$C$2:$C$6000,A53,'Use cases'!$K$2:$K$6000,"*Handoff*")</f>
        <v>1</v>
      </c>
      <c r="L53" s="12" t="n">
        <f aca="false">COUNTIFS('Use cases'!$C$2:$C$6000,A53,'Use cases'!$I$2:$I$6000,"(Gratifi starts it)*")</f>
        <v>1</v>
      </c>
      <c r="M53" s="12" t="n">
        <f aca="false">COUNTIFS('Use cases'!$C$2:$C$6000,A53,'Use cases'!$K$2:$K$6000,"*NEW:*")</f>
        <v>8</v>
      </c>
      <c r="N53" s="13" t="str">
        <f aca="false">IF(AND(G53&gt;=6,H53&gt;=2,I53&gt;=2),"Covered","GAP")</f>
        <v>Covered</v>
      </c>
    </row>
    <row r="54" customFormat="false" ht="15" hidden="false" customHeight="false" outlineLevel="0" collapsed="false">
      <c r="A54" s="11" t="s">
        <v>275</v>
      </c>
      <c r="B54" s="11" t="s">
        <v>41</v>
      </c>
      <c r="C54" s="11" t="s">
        <v>276</v>
      </c>
      <c r="D54" s="11" t="s">
        <v>277</v>
      </c>
      <c r="E54" s="11" t="s">
        <v>182</v>
      </c>
      <c r="F54" s="11" t="s">
        <v>78</v>
      </c>
      <c r="G54" s="12" t="n">
        <f aca="false">COUNTIF('Use cases'!$C$2:$C$6000,A54)</f>
        <v>13</v>
      </c>
      <c r="H54" s="12" t="n">
        <f aca="false">COUNTIFS('Use cases'!$C$2:$C$6000,A54,'Use cases'!$H$2:$H$6000,"")</f>
        <v>11</v>
      </c>
      <c r="I54" s="12" t="n">
        <f aca="false">G54-H54</f>
        <v>2</v>
      </c>
      <c r="J54" s="12" t="n">
        <f aca="false">COUNTIFS('Use cases'!$C$2:$C$6000,A54,'Use cases'!$E$2:$E$6000,"Pay")</f>
        <v>2</v>
      </c>
      <c r="K54" s="12" t="n">
        <f aca="false">COUNTIFS('Use cases'!$C$2:$C$6000,A54,'Use cases'!$K$2:$K$6000,"*Handoff*")</f>
        <v>2</v>
      </c>
      <c r="L54" s="12" t="n">
        <f aca="false">COUNTIFS('Use cases'!$C$2:$C$6000,A54,'Use cases'!$I$2:$I$6000,"(Gratifi starts it)*")</f>
        <v>1</v>
      </c>
      <c r="M54" s="12" t="n">
        <f aca="false">COUNTIFS('Use cases'!$C$2:$C$6000,A54,'Use cases'!$K$2:$K$6000,"*NEW:*")</f>
        <v>7</v>
      </c>
      <c r="N54" s="13" t="str">
        <f aca="false">IF(AND(G54&gt;=6,H54&gt;=2,I54&gt;=2),"Covered","GAP")</f>
        <v>Covered</v>
      </c>
    </row>
    <row r="55" customFormat="false" ht="15" hidden="false" customHeight="false" outlineLevel="0" collapsed="false">
      <c r="A55" s="11" t="s">
        <v>278</v>
      </c>
      <c r="B55" s="11" t="s">
        <v>41</v>
      </c>
      <c r="C55" s="11" t="s">
        <v>279</v>
      </c>
      <c r="D55" s="11" t="s">
        <v>280</v>
      </c>
      <c r="E55" s="11" t="s">
        <v>281</v>
      </c>
      <c r="F55" s="11" t="s">
        <v>282</v>
      </c>
      <c r="G55" s="12" t="n">
        <f aca="false">COUNTIF('Use cases'!$C$2:$C$6000,A55)</f>
        <v>13</v>
      </c>
      <c r="H55" s="12" t="n">
        <f aca="false">COUNTIFS('Use cases'!$C$2:$C$6000,A55,'Use cases'!$H$2:$H$6000,"")</f>
        <v>9</v>
      </c>
      <c r="I55" s="12" t="n">
        <f aca="false">G55-H55</f>
        <v>4</v>
      </c>
      <c r="J55" s="12" t="n">
        <f aca="false">COUNTIFS('Use cases'!$C$2:$C$6000,A55,'Use cases'!$E$2:$E$6000,"Pay")</f>
        <v>1</v>
      </c>
      <c r="K55" s="12" t="n">
        <f aca="false">COUNTIFS('Use cases'!$C$2:$C$6000,A55,'Use cases'!$K$2:$K$6000,"*Handoff*")</f>
        <v>2</v>
      </c>
      <c r="L55" s="12" t="n">
        <f aca="false">COUNTIFS('Use cases'!$C$2:$C$6000,A55,'Use cases'!$I$2:$I$6000,"(Gratifi starts it)*")</f>
        <v>3</v>
      </c>
      <c r="M55" s="12" t="n">
        <f aca="false">COUNTIFS('Use cases'!$C$2:$C$6000,A55,'Use cases'!$K$2:$K$6000,"*NEW:*")</f>
        <v>2</v>
      </c>
      <c r="N55" s="13" t="str">
        <f aca="false">IF(AND(G55&gt;=6,H55&gt;=2,I55&gt;=2),"Covered","GAP")</f>
        <v>Covered</v>
      </c>
    </row>
    <row r="56" customFormat="false" ht="23.85" hidden="false" customHeight="false" outlineLevel="0" collapsed="false">
      <c r="A56" s="11" t="s">
        <v>283</v>
      </c>
      <c r="B56" s="11" t="s">
        <v>41</v>
      </c>
      <c r="C56" s="11" t="s">
        <v>284</v>
      </c>
      <c r="D56" s="11" t="s">
        <v>285</v>
      </c>
      <c r="E56" s="11" t="s">
        <v>182</v>
      </c>
      <c r="F56" s="11" t="s">
        <v>119</v>
      </c>
      <c r="G56" s="12" t="n">
        <f aca="false">COUNTIF('Use cases'!$C$2:$C$6000,A56)</f>
        <v>19</v>
      </c>
      <c r="H56" s="12" t="n">
        <f aca="false">COUNTIFS('Use cases'!$C$2:$C$6000,A56,'Use cases'!$H$2:$H$6000,"")</f>
        <v>16</v>
      </c>
      <c r="I56" s="12" t="n">
        <f aca="false">G56-H56</f>
        <v>3</v>
      </c>
      <c r="J56" s="12" t="n">
        <f aca="false">COUNTIFS('Use cases'!$C$2:$C$6000,A56,'Use cases'!$E$2:$E$6000,"Pay")</f>
        <v>4</v>
      </c>
      <c r="K56" s="12" t="n">
        <f aca="false">COUNTIFS('Use cases'!$C$2:$C$6000,A56,'Use cases'!$K$2:$K$6000,"*Handoff*")</f>
        <v>4</v>
      </c>
      <c r="L56" s="12" t="n">
        <f aca="false">COUNTIFS('Use cases'!$C$2:$C$6000,A56,'Use cases'!$I$2:$I$6000,"(Gratifi starts it)*")</f>
        <v>4</v>
      </c>
      <c r="M56" s="12" t="n">
        <f aca="false">COUNTIFS('Use cases'!$C$2:$C$6000,A56,'Use cases'!$K$2:$K$6000,"*NEW:*")</f>
        <v>6</v>
      </c>
      <c r="N56" s="13" t="str">
        <f aca="false">IF(AND(G56&gt;=6,H56&gt;=2,I56&gt;=2),"Covered","GAP")</f>
        <v>Covered</v>
      </c>
    </row>
    <row r="57" customFormat="false" ht="15" hidden="false" customHeight="false" outlineLevel="0" collapsed="false">
      <c r="A57" s="11" t="s">
        <v>286</v>
      </c>
      <c r="B57" s="11" t="s">
        <v>42</v>
      </c>
      <c r="C57" s="11" t="s">
        <v>287</v>
      </c>
      <c r="D57" s="11" t="s">
        <v>288</v>
      </c>
      <c r="E57" s="11" t="s">
        <v>182</v>
      </c>
      <c r="F57" s="11" t="s">
        <v>78</v>
      </c>
      <c r="G57" s="12" t="n">
        <f aca="false">COUNTIF('Use cases'!$C$2:$C$6000,A57)</f>
        <v>25</v>
      </c>
      <c r="H57" s="12" t="n">
        <f aca="false">COUNTIFS('Use cases'!$C$2:$C$6000,A57,'Use cases'!$H$2:$H$6000,"")</f>
        <v>19</v>
      </c>
      <c r="I57" s="12" t="n">
        <f aca="false">G57-H57</f>
        <v>6</v>
      </c>
      <c r="J57" s="12" t="n">
        <f aca="false">COUNTIFS('Use cases'!$C$2:$C$6000,A57,'Use cases'!$E$2:$E$6000,"Pay")</f>
        <v>4</v>
      </c>
      <c r="K57" s="12" t="n">
        <f aca="false">COUNTIFS('Use cases'!$C$2:$C$6000,A57,'Use cases'!$K$2:$K$6000,"*Handoff*")</f>
        <v>2</v>
      </c>
      <c r="L57" s="12" t="n">
        <f aca="false">COUNTIFS('Use cases'!$C$2:$C$6000,A57,'Use cases'!$I$2:$I$6000,"(Gratifi starts it)*")</f>
        <v>2</v>
      </c>
      <c r="M57" s="12" t="n">
        <f aca="false">COUNTIFS('Use cases'!$C$2:$C$6000,A57,'Use cases'!$K$2:$K$6000,"*NEW:*")</f>
        <v>6</v>
      </c>
      <c r="N57" s="13" t="str">
        <f aca="false">IF(AND(G57&gt;=6,H57&gt;=2,I57&gt;=2),"Covered","GAP")</f>
        <v>Covered</v>
      </c>
    </row>
    <row r="58" customFormat="false" ht="15" hidden="false" customHeight="false" outlineLevel="0" collapsed="false">
      <c r="A58" s="11" t="s">
        <v>289</v>
      </c>
      <c r="B58" s="11" t="s">
        <v>42</v>
      </c>
      <c r="C58" s="11" t="s">
        <v>290</v>
      </c>
      <c r="D58" s="11" t="s">
        <v>291</v>
      </c>
      <c r="E58" s="11" t="s">
        <v>292</v>
      </c>
      <c r="F58" s="11" t="s">
        <v>78</v>
      </c>
      <c r="G58" s="12" t="n">
        <f aca="false">COUNTIF('Use cases'!$C$2:$C$6000,A58)</f>
        <v>28</v>
      </c>
      <c r="H58" s="12" t="n">
        <f aca="false">COUNTIFS('Use cases'!$C$2:$C$6000,A58,'Use cases'!$H$2:$H$6000,"")</f>
        <v>19</v>
      </c>
      <c r="I58" s="12" t="n">
        <f aca="false">G58-H58</f>
        <v>9</v>
      </c>
      <c r="J58" s="12" t="n">
        <f aca="false">COUNTIFS('Use cases'!$C$2:$C$6000,A58,'Use cases'!$E$2:$E$6000,"Pay")</f>
        <v>4</v>
      </c>
      <c r="K58" s="12" t="n">
        <f aca="false">COUNTIFS('Use cases'!$C$2:$C$6000,A58,'Use cases'!$K$2:$K$6000,"*Handoff*")</f>
        <v>3</v>
      </c>
      <c r="L58" s="12" t="n">
        <f aca="false">COUNTIFS('Use cases'!$C$2:$C$6000,A58,'Use cases'!$I$2:$I$6000,"(Gratifi starts it)*")</f>
        <v>3</v>
      </c>
      <c r="M58" s="12" t="n">
        <f aca="false">COUNTIFS('Use cases'!$C$2:$C$6000,A58,'Use cases'!$K$2:$K$6000,"*NEW:*")</f>
        <v>4</v>
      </c>
      <c r="N58" s="13" t="str">
        <f aca="false">IF(AND(G58&gt;=6,H58&gt;=2,I58&gt;=2),"Covered","GAP")</f>
        <v>Covered</v>
      </c>
    </row>
    <row r="59" customFormat="false" ht="15" hidden="false" customHeight="false" outlineLevel="0" collapsed="false">
      <c r="A59" s="11" t="s">
        <v>293</v>
      </c>
      <c r="B59" s="11" t="s">
        <v>42</v>
      </c>
      <c r="C59" s="11" t="s">
        <v>294</v>
      </c>
      <c r="D59" s="11" t="s">
        <v>295</v>
      </c>
      <c r="E59" s="11" t="s">
        <v>182</v>
      </c>
      <c r="F59" s="11" t="s">
        <v>78</v>
      </c>
      <c r="G59" s="12" t="n">
        <f aca="false">COUNTIF('Use cases'!$C$2:$C$6000,A59)</f>
        <v>23</v>
      </c>
      <c r="H59" s="12" t="n">
        <f aca="false">COUNTIFS('Use cases'!$C$2:$C$6000,A59,'Use cases'!$H$2:$H$6000,"")</f>
        <v>19</v>
      </c>
      <c r="I59" s="12" t="n">
        <f aca="false">G59-H59</f>
        <v>4</v>
      </c>
      <c r="J59" s="12" t="n">
        <f aca="false">COUNTIFS('Use cases'!$C$2:$C$6000,A59,'Use cases'!$E$2:$E$6000,"Pay")</f>
        <v>3</v>
      </c>
      <c r="K59" s="12" t="n">
        <f aca="false">COUNTIFS('Use cases'!$C$2:$C$6000,A59,'Use cases'!$K$2:$K$6000,"*Handoff*")</f>
        <v>3</v>
      </c>
      <c r="L59" s="12" t="n">
        <f aca="false">COUNTIFS('Use cases'!$C$2:$C$6000,A59,'Use cases'!$I$2:$I$6000,"(Gratifi starts it)*")</f>
        <v>2</v>
      </c>
      <c r="M59" s="12" t="n">
        <f aca="false">COUNTIFS('Use cases'!$C$2:$C$6000,A59,'Use cases'!$K$2:$K$6000,"*NEW:*")</f>
        <v>3</v>
      </c>
      <c r="N59" s="13" t="str">
        <f aca="false">IF(AND(G59&gt;=6,H59&gt;=2,I59&gt;=2),"Covered","GAP")</f>
        <v>Covered</v>
      </c>
    </row>
    <row r="60" customFormat="false" ht="15" hidden="false" customHeight="false" outlineLevel="0" collapsed="false">
      <c r="A60" s="11" t="s">
        <v>296</v>
      </c>
      <c r="B60" s="11" t="s">
        <v>42</v>
      </c>
      <c r="C60" s="11" t="s">
        <v>297</v>
      </c>
      <c r="D60" s="11" t="s">
        <v>298</v>
      </c>
      <c r="E60" s="11" t="s">
        <v>182</v>
      </c>
      <c r="F60" s="11" t="s">
        <v>78</v>
      </c>
      <c r="G60" s="12" t="n">
        <f aca="false">COUNTIF('Use cases'!$C$2:$C$6000,A60)</f>
        <v>23</v>
      </c>
      <c r="H60" s="12" t="n">
        <f aca="false">COUNTIFS('Use cases'!$C$2:$C$6000,A60,'Use cases'!$H$2:$H$6000,"")</f>
        <v>19</v>
      </c>
      <c r="I60" s="12" t="n">
        <f aca="false">G60-H60</f>
        <v>4</v>
      </c>
      <c r="J60" s="12" t="n">
        <f aca="false">COUNTIFS('Use cases'!$C$2:$C$6000,A60,'Use cases'!$E$2:$E$6000,"Pay")</f>
        <v>3</v>
      </c>
      <c r="K60" s="12" t="n">
        <f aca="false">COUNTIFS('Use cases'!$C$2:$C$6000,A60,'Use cases'!$K$2:$K$6000,"*Handoff*")</f>
        <v>2</v>
      </c>
      <c r="L60" s="12" t="n">
        <f aca="false">COUNTIFS('Use cases'!$C$2:$C$6000,A60,'Use cases'!$I$2:$I$6000,"(Gratifi starts it)*")</f>
        <v>2</v>
      </c>
      <c r="M60" s="12" t="n">
        <f aca="false">COUNTIFS('Use cases'!$C$2:$C$6000,A60,'Use cases'!$K$2:$K$6000,"*NEW:*")</f>
        <v>3</v>
      </c>
      <c r="N60" s="13" t="str">
        <f aca="false">IF(AND(G60&gt;=6,H60&gt;=2,I60&gt;=2),"Covered","GAP")</f>
        <v>Covered</v>
      </c>
    </row>
    <row r="61" customFormat="false" ht="23.85" hidden="false" customHeight="false" outlineLevel="0" collapsed="false">
      <c r="A61" s="11" t="s">
        <v>299</v>
      </c>
      <c r="B61" s="11" t="s">
        <v>42</v>
      </c>
      <c r="C61" s="11" t="s">
        <v>300</v>
      </c>
      <c r="D61" s="11" t="s">
        <v>301</v>
      </c>
      <c r="E61" s="11" t="s">
        <v>281</v>
      </c>
      <c r="F61" s="11" t="s">
        <v>302</v>
      </c>
      <c r="G61" s="12" t="n">
        <f aca="false">COUNTIF('Use cases'!$C$2:$C$6000,A61)</f>
        <v>16</v>
      </c>
      <c r="H61" s="12" t="n">
        <f aca="false">COUNTIFS('Use cases'!$C$2:$C$6000,A61,'Use cases'!$H$2:$H$6000,"")</f>
        <v>11</v>
      </c>
      <c r="I61" s="12" t="n">
        <f aca="false">G61-H61</f>
        <v>5</v>
      </c>
      <c r="J61" s="12" t="n">
        <f aca="false">COUNTIFS('Use cases'!$C$2:$C$6000,A61,'Use cases'!$E$2:$E$6000,"Pay")</f>
        <v>3</v>
      </c>
      <c r="K61" s="12" t="n">
        <f aca="false">COUNTIFS('Use cases'!$C$2:$C$6000,A61,'Use cases'!$K$2:$K$6000,"*Handoff*")</f>
        <v>2</v>
      </c>
      <c r="L61" s="12" t="n">
        <f aca="false">COUNTIFS('Use cases'!$C$2:$C$6000,A61,'Use cases'!$I$2:$I$6000,"(Gratifi starts it)*")</f>
        <v>3</v>
      </c>
      <c r="M61" s="12" t="n">
        <f aca="false">COUNTIFS('Use cases'!$C$2:$C$6000,A61,'Use cases'!$K$2:$K$6000,"*NEW:*")</f>
        <v>2</v>
      </c>
      <c r="N61" s="13" t="str">
        <f aca="false">IF(AND(G61&gt;=6,H61&gt;=2,I61&gt;=2),"Covered","GAP")</f>
        <v>Covered</v>
      </c>
    </row>
    <row r="62" customFormat="false" ht="15" hidden="false" customHeight="false" outlineLevel="0" collapsed="false">
      <c r="A62" s="11" t="s">
        <v>303</v>
      </c>
      <c r="B62" s="11" t="s">
        <v>43</v>
      </c>
      <c r="C62" s="11" t="s">
        <v>304</v>
      </c>
      <c r="D62" s="11" t="s">
        <v>305</v>
      </c>
      <c r="E62" s="11" t="s">
        <v>306</v>
      </c>
      <c r="F62" s="11" t="s">
        <v>302</v>
      </c>
      <c r="G62" s="12" t="n">
        <f aca="false">COUNTIF('Use cases'!$C$2:$C$6000,A62)</f>
        <v>22</v>
      </c>
      <c r="H62" s="12" t="n">
        <f aca="false">COUNTIFS('Use cases'!$C$2:$C$6000,A62,'Use cases'!$H$2:$H$6000,"")</f>
        <v>13</v>
      </c>
      <c r="I62" s="12" t="n">
        <f aca="false">G62-H62</f>
        <v>9</v>
      </c>
      <c r="J62" s="12" t="n">
        <f aca="false">COUNTIFS('Use cases'!$C$2:$C$6000,A62,'Use cases'!$E$2:$E$6000,"Pay")</f>
        <v>4</v>
      </c>
      <c r="K62" s="12" t="n">
        <f aca="false">COUNTIFS('Use cases'!$C$2:$C$6000,A62,'Use cases'!$K$2:$K$6000,"*Handoff*")</f>
        <v>5</v>
      </c>
      <c r="L62" s="12" t="n">
        <f aca="false">COUNTIFS('Use cases'!$C$2:$C$6000,A62,'Use cases'!$I$2:$I$6000,"(Gratifi starts it)*")</f>
        <v>3</v>
      </c>
      <c r="M62" s="12" t="n">
        <f aca="false">COUNTIFS('Use cases'!$C$2:$C$6000,A62,'Use cases'!$K$2:$K$6000,"*NEW:*")</f>
        <v>2</v>
      </c>
      <c r="N62" s="13" t="str">
        <f aca="false">IF(AND(G62&gt;=6,H62&gt;=2,I62&gt;=2),"Covered","GAP")</f>
        <v>Covered</v>
      </c>
    </row>
    <row r="63" customFormat="false" ht="15" hidden="false" customHeight="false" outlineLevel="0" collapsed="false">
      <c r="A63" s="11" t="s">
        <v>307</v>
      </c>
      <c r="B63" s="11" t="s">
        <v>43</v>
      </c>
      <c r="C63" s="11" t="s">
        <v>308</v>
      </c>
      <c r="D63" s="11" t="s">
        <v>309</v>
      </c>
      <c r="E63" s="11" t="s">
        <v>306</v>
      </c>
      <c r="F63" s="11" t="s">
        <v>302</v>
      </c>
      <c r="G63" s="12" t="n">
        <f aca="false">COUNTIF('Use cases'!$C$2:$C$6000,A63)</f>
        <v>14</v>
      </c>
      <c r="H63" s="12" t="n">
        <f aca="false">COUNTIFS('Use cases'!$C$2:$C$6000,A63,'Use cases'!$H$2:$H$6000,"")</f>
        <v>9</v>
      </c>
      <c r="I63" s="12" t="n">
        <f aca="false">G63-H63</f>
        <v>5</v>
      </c>
      <c r="J63" s="12" t="n">
        <f aca="false">COUNTIFS('Use cases'!$C$2:$C$6000,A63,'Use cases'!$E$2:$E$6000,"Pay")</f>
        <v>2</v>
      </c>
      <c r="K63" s="12" t="n">
        <f aca="false">COUNTIFS('Use cases'!$C$2:$C$6000,A63,'Use cases'!$K$2:$K$6000,"*Handoff*")</f>
        <v>4</v>
      </c>
      <c r="L63" s="12" t="n">
        <f aca="false">COUNTIFS('Use cases'!$C$2:$C$6000,A63,'Use cases'!$I$2:$I$6000,"(Gratifi starts it)*")</f>
        <v>1</v>
      </c>
      <c r="M63" s="12" t="n">
        <f aca="false">COUNTIFS('Use cases'!$C$2:$C$6000,A63,'Use cases'!$K$2:$K$6000,"*NEW:*")</f>
        <v>2</v>
      </c>
      <c r="N63" s="13" t="str">
        <f aca="false">IF(AND(G63&gt;=6,H63&gt;=2,I63&gt;=2),"Covered","GAP")</f>
        <v>Covered</v>
      </c>
    </row>
    <row r="64" customFormat="false" ht="15" hidden="false" customHeight="false" outlineLevel="0" collapsed="false">
      <c r="A64" s="11" t="s">
        <v>310</v>
      </c>
      <c r="B64" s="11" t="s">
        <v>43</v>
      </c>
      <c r="C64" s="11" t="s">
        <v>311</v>
      </c>
      <c r="D64" s="11" t="s">
        <v>312</v>
      </c>
      <c r="E64" s="11" t="s">
        <v>313</v>
      </c>
      <c r="F64" s="11" t="s">
        <v>219</v>
      </c>
      <c r="G64" s="12" t="n">
        <f aca="false">COUNTIF('Use cases'!$C$2:$C$6000,A64)</f>
        <v>17</v>
      </c>
      <c r="H64" s="12" t="n">
        <f aca="false">COUNTIFS('Use cases'!$C$2:$C$6000,A64,'Use cases'!$H$2:$H$6000,"")</f>
        <v>14</v>
      </c>
      <c r="I64" s="12" t="n">
        <f aca="false">G64-H64</f>
        <v>3</v>
      </c>
      <c r="J64" s="12" t="n">
        <f aca="false">COUNTIFS('Use cases'!$C$2:$C$6000,A64,'Use cases'!$E$2:$E$6000,"Pay")</f>
        <v>0</v>
      </c>
      <c r="K64" s="12" t="n">
        <f aca="false">COUNTIFS('Use cases'!$C$2:$C$6000,A64,'Use cases'!$K$2:$K$6000,"*Handoff*")</f>
        <v>4</v>
      </c>
      <c r="L64" s="12" t="n">
        <f aca="false">COUNTIFS('Use cases'!$C$2:$C$6000,A64,'Use cases'!$I$2:$I$6000,"(Gratifi starts it)*")</f>
        <v>1</v>
      </c>
      <c r="M64" s="12" t="n">
        <f aca="false">COUNTIFS('Use cases'!$C$2:$C$6000,A64,'Use cases'!$K$2:$K$6000,"*NEW:*")</f>
        <v>1</v>
      </c>
      <c r="N64" s="13" t="str">
        <f aca="false">IF(AND(G64&gt;=6,H64&gt;=2,I64&gt;=2),"Covered","GAP")</f>
        <v>Covered</v>
      </c>
    </row>
    <row r="65" customFormat="false" ht="15" hidden="false" customHeight="false" outlineLevel="0" collapsed="false">
      <c r="A65" s="11" t="s">
        <v>314</v>
      </c>
      <c r="B65" s="11" t="s">
        <v>43</v>
      </c>
      <c r="C65" s="11" t="s">
        <v>315</v>
      </c>
      <c r="D65" s="11" t="s">
        <v>316</v>
      </c>
      <c r="E65" s="11" t="s">
        <v>281</v>
      </c>
      <c r="F65" s="11" t="s">
        <v>219</v>
      </c>
      <c r="G65" s="12" t="n">
        <f aca="false">COUNTIF('Use cases'!$C$2:$C$6000,A65)</f>
        <v>14</v>
      </c>
      <c r="H65" s="12" t="n">
        <f aca="false">COUNTIFS('Use cases'!$C$2:$C$6000,A65,'Use cases'!$H$2:$H$6000,"")</f>
        <v>8</v>
      </c>
      <c r="I65" s="12" t="n">
        <f aca="false">G65-H65</f>
        <v>6</v>
      </c>
      <c r="J65" s="12" t="n">
        <f aca="false">COUNTIFS('Use cases'!$C$2:$C$6000,A65,'Use cases'!$E$2:$E$6000,"Pay")</f>
        <v>1</v>
      </c>
      <c r="K65" s="12" t="n">
        <f aca="false">COUNTIFS('Use cases'!$C$2:$C$6000,A65,'Use cases'!$K$2:$K$6000,"*Handoff*")</f>
        <v>4</v>
      </c>
      <c r="L65" s="12" t="n">
        <f aca="false">COUNTIFS('Use cases'!$C$2:$C$6000,A65,'Use cases'!$I$2:$I$6000,"(Gratifi starts it)*")</f>
        <v>4</v>
      </c>
      <c r="M65" s="12" t="n">
        <f aca="false">COUNTIFS('Use cases'!$C$2:$C$6000,A65,'Use cases'!$K$2:$K$6000,"*NEW:*")</f>
        <v>2</v>
      </c>
      <c r="N65" s="13" t="str">
        <f aca="false">IF(AND(G65&gt;=6,H65&gt;=2,I65&gt;=2),"Covered","GAP")</f>
        <v>Covered</v>
      </c>
    </row>
    <row r="66" customFormat="false" ht="15" hidden="false" customHeight="false" outlineLevel="0" collapsed="false">
      <c r="A66" s="11" t="s">
        <v>317</v>
      </c>
      <c r="B66" s="11" t="s">
        <v>43</v>
      </c>
      <c r="C66" s="11" t="s">
        <v>318</v>
      </c>
      <c r="D66" s="11" t="s">
        <v>319</v>
      </c>
      <c r="E66" s="11" t="s">
        <v>281</v>
      </c>
      <c r="F66" s="11" t="s">
        <v>302</v>
      </c>
      <c r="G66" s="12" t="n">
        <f aca="false">COUNTIF('Use cases'!$C$2:$C$6000,A66)</f>
        <v>14</v>
      </c>
      <c r="H66" s="12" t="n">
        <f aca="false">COUNTIFS('Use cases'!$C$2:$C$6000,A66,'Use cases'!$H$2:$H$6000,"")</f>
        <v>8</v>
      </c>
      <c r="I66" s="12" t="n">
        <f aca="false">G66-H66</f>
        <v>6</v>
      </c>
      <c r="J66" s="12" t="n">
        <f aca="false">COUNTIFS('Use cases'!$C$2:$C$6000,A66,'Use cases'!$E$2:$E$6000,"Pay")</f>
        <v>3</v>
      </c>
      <c r="K66" s="12" t="n">
        <f aca="false">COUNTIFS('Use cases'!$C$2:$C$6000,A66,'Use cases'!$K$2:$K$6000,"*Handoff*")</f>
        <v>3</v>
      </c>
      <c r="L66" s="12" t="n">
        <f aca="false">COUNTIFS('Use cases'!$C$2:$C$6000,A66,'Use cases'!$I$2:$I$6000,"(Gratifi starts it)*")</f>
        <v>1</v>
      </c>
      <c r="M66" s="12" t="n">
        <f aca="false">COUNTIFS('Use cases'!$C$2:$C$6000,A66,'Use cases'!$K$2:$K$6000,"*NEW:*")</f>
        <v>0</v>
      </c>
      <c r="N66" s="13" t="str">
        <f aca="false">IF(AND(G66&gt;=6,H66&gt;=2,I66&gt;=2),"Covered","GAP")</f>
        <v>Covered</v>
      </c>
    </row>
    <row r="67" customFormat="false" ht="15" hidden="false" customHeight="false" outlineLevel="0" collapsed="false">
      <c r="A67" s="11" t="s">
        <v>320</v>
      </c>
      <c r="B67" s="11" t="s">
        <v>43</v>
      </c>
      <c r="C67" s="11" t="s">
        <v>321</v>
      </c>
      <c r="D67" s="11" t="s">
        <v>322</v>
      </c>
      <c r="E67" s="11" t="s">
        <v>323</v>
      </c>
      <c r="F67" s="11" t="s">
        <v>178</v>
      </c>
      <c r="G67" s="12" t="n">
        <f aca="false">COUNTIF('Use cases'!$C$2:$C$6000,A67)</f>
        <v>13</v>
      </c>
      <c r="H67" s="12" t="n">
        <f aca="false">COUNTIFS('Use cases'!$C$2:$C$6000,A67,'Use cases'!$H$2:$H$6000,"")</f>
        <v>9</v>
      </c>
      <c r="I67" s="12" t="n">
        <f aca="false">G67-H67</f>
        <v>4</v>
      </c>
      <c r="J67" s="12" t="n">
        <f aca="false">COUNTIFS('Use cases'!$C$2:$C$6000,A67,'Use cases'!$E$2:$E$6000,"Pay")</f>
        <v>1</v>
      </c>
      <c r="K67" s="12" t="n">
        <f aca="false">COUNTIFS('Use cases'!$C$2:$C$6000,A67,'Use cases'!$K$2:$K$6000,"*Handoff*")</f>
        <v>2</v>
      </c>
      <c r="L67" s="12" t="n">
        <f aca="false">COUNTIFS('Use cases'!$C$2:$C$6000,A67,'Use cases'!$I$2:$I$6000,"(Gratifi starts it)*")</f>
        <v>2</v>
      </c>
      <c r="M67" s="12" t="n">
        <f aca="false">COUNTIFS('Use cases'!$C$2:$C$6000,A67,'Use cases'!$K$2:$K$6000,"*NEW:*")</f>
        <v>5</v>
      </c>
      <c r="N67" s="13" t="str">
        <f aca="false">IF(AND(G67&gt;=6,H67&gt;=2,I67&gt;=2),"Covered","GAP")</f>
        <v>Covered</v>
      </c>
    </row>
    <row r="68" customFormat="false" ht="15" hidden="false" customHeight="false" outlineLevel="0" collapsed="false">
      <c r="A68" s="11" t="s">
        <v>324</v>
      </c>
      <c r="B68" s="11" t="s">
        <v>43</v>
      </c>
      <c r="C68" s="11" t="s">
        <v>325</v>
      </c>
      <c r="D68" s="11" t="s">
        <v>326</v>
      </c>
      <c r="E68" s="11" t="s">
        <v>281</v>
      </c>
      <c r="F68" s="11" t="s">
        <v>302</v>
      </c>
      <c r="G68" s="12" t="n">
        <f aca="false">COUNTIF('Use cases'!$C$2:$C$6000,A68)</f>
        <v>12</v>
      </c>
      <c r="H68" s="12" t="n">
        <f aca="false">COUNTIFS('Use cases'!$C$2:$C$6000,A68,'Use cases'!$H$2:$H$6000,"")</f>
        <v>8</v>
      </c>
      <c r="I68" s="12" t="n">
        <f aca="false">G68-H68</f>
        <v>4</v>
      </c>
      <c r="J68" s="12" t="n">
        <f aca="false">COUNTIFS('Use cases'!$C$2:$C$6000,A68,'Use cases'!$E$2:$E$6000,"Pay")</f>
        <v>7</v>
      </c>
      <c r="K68" s="12" t="n">
        <f aca="false">COUNTIFS('Use cases'!$C$2:$C$6000,A68,'Use cases'!$K$2:$K$6000,"*Handoff*")</f>
        <v>4</v>
      </c>
      <c r="L68" s="12" t="n">
        <f aca="false">COUNTIFS('Use cases'!$C$2:$C$6000,A68,'Use cases'!$I$2:$I$6000,"(Gratifi starts it)*")</f>
        <v>1</v>
      </c>
      <c r="M68" s="12" t="n">
        <f aca="false">COUNTIFS('Use cases'!$C$2:$C$6000,A68,'Use cases'!$K$2:$K$6000,"*NEW:*")</f>
        <v>0</v>
      </c>
      <c r="N68" s="13" t="str">
        <f aca="false">IF(AND(G68&gt;=6,H68&gt;=2,I68&gt;=2),"Covered","GAP")</f>
        <v>Covered</v>
      </c>
    </row>
    <row r="69" customFormat="false" ht="15" hidden="false" customHeight="false" outlineLevel="0" collapsed="false">
      <c r="A69" s="11" t="s">
        <v>327</v>
      </c>
      <c r="B69" s="11" t="s">
        <v>44</v>
      </c>
      <c r="C69" s="11" t="s">
        <v>328</v>
      </c>
      <c r="D69" s="11" t="s">
        <v>329</v>
      </c>
      <c r="E69" s="11" t="s">
        <v>330</v>
      </c>
      <c r="F69" s="11" t="s">
        <v>331</v>
      </c>
      <c r="G69" s="12" t="n">
        <f aca="false">COUNTIF('Use cases'!$C$2:$C$6000,A69)</f>
        <v>18</v>
      </c>
      <c r="H69" s="12" t="n">
        <f aca="false">COUNTIFS('Use cases'!$C$2:$C$6000,A69,'Use cases'!$H$2:$H$6000,"")</f>
        <v>13</v>
      </c>
      <c r="I69" s="12" t="n">
        <f aca="false">G69-H69</f>
        <v>5</v>
      </c>
      <c r="J69" s="12" t="n">
        <f aca="false">COUNTIFS('Use cases'!$C$2:$C$6000,A69,'Use cases'!$E$2:$E$6000,"Pay")</f>
        <v>4</v>
      </c>
      <c r="K69" s="12" t="n">
        <f aca="false">COUNTIFS('Use cases'!$C$2:$C$6000,A69,'Use cases'!$K$2:$K$6000,"*Handoff*")</f>
        <v>4</v>
      </c>
      <c r="L69" s="12" t="n">
        <f aca="false">COUNTIFS('Use cases'!$C$2:$C$6000,A69,'Use cases'!$I$2:$I$6000,"(Gratifi starts it)*")</f>
        <v>1</v>
      </c>
      <c r="M69" s="12" t="n">
        <f aca="false">COUNTIFS('Use cases'!$C$2:$C$6000,A69,'Use cases'!$K$2:$K$6000,"*NEW:*")</f>
        <v>8</v>
      </c>
      <c r="N69" s="13" t="str">
        <f aca="false">IF(AND(G69&gt;=6,H69&gt;=2,I69&gt;=2),"Covered","GAP")</f>
        <v>Covered</v>
      </c>
    </row>
    <row r="70" customFormat="false" ht="15" hidden="false" customHeight="false" outlineLevel="0" collapsed="false">
      <c r="A70" s="11" t="s">
        <v>332</v>
      </c>
      <c r="B70" s="11" t="s">
        <v>44</v>
      </c>
      <c r="C70" s="11" t="s">
        <v>333</v>
      </c>
      <c r="D70" s="11" t="s">
        <v>334</v>
      </c>
      <c r="E70" s="11" t="s">
        <v>330</v>
      </c>
      <c r="F70" s="11" t="s">
        <v>331</v>
      </c>
      <c r="G70" s="12" t="n">
        <f aca="false">COUNTIF('Use cases'!$C$2:$C$6000,A70)</f>
        <v>20</v>
      </c>
      <c r="H70" s="12" t="n">
        <f aca="false">COUNTIFS('Use cases'!$C$2:$C$6000,A70,'Use cases'!$H$2:$H$6000,"")</f>
        <v>15</v>
      </c>
      <c r="I70" s="12" t="n">
        <f aca="false">G70-H70</f>
        <v>5</v>
      </c>
      <c r="J70" s="12" t="n">
        <f aca="false">COUNTIFS('Use cases'!$C$2:$C$6000,A70,'Use cases'!$E$2:$E$6000,"Pay")</f>
        <v>5</v>
      </c>
      <c r="K70" s="12" t="n">
        <f aca="false">COUNTIFS('Use cases'!$C$2:$C$6000,A70,'Use cases'!$K$2:$K$6000,"*Handoff*")</f>
        <v>4</v>
      </c>
      <c r="L70" s="12" t="n">
        <f aca="false">COUNTIFS('Use cases'!$C$2:$C$6000,A70,'Use cases'!$I$2:$I$6000,"(Gratifi starts it)*")</f>
        <v>1</v>
      </c>
      <c r="M70" s="12" t="n">
        <f aca="false">COUNTIFS('Use cases'!$C$2:$C$6000,A70,'Use cases'!$K$2:$K$6000,"*NEW:*")</f>
        <v>8</v>
      </c>
      <c r="N70" s="13" t="str">
        <f aca="false">IF(AND(G70&gt;=6,H70&gt;=2,I70&gt;=2),"Covered","GAP")</f>
        <v>Covered</v>
      </c>
    </row>
    <row r="71" customFormat="false" ht="15" hidden="false" customHeight="false" outlineLevel="0" collapsed="false">
      <c r="A71" s="11" t="s">
        <v>335</v>
      </c>
      <c r="B71" s="11" t="s">
        <v>44</v>
      </c>
      <c r="C71" s="11" t="s">
        <v>336</v>
      </c>
      <c r="D71" s="11" t="s">
        <v>337</v>
      </c>
      <c r="E71" s="11" t="s">
        <v>330</v>
      </c>
      <c r="F71" s="11" t="s">
        <v>331</v>
      </c>
      <c r="G71" s="12" t="n">
        <f aca="false">COUNTIF('Use cases'!$C$2:$C$6000,A71)</f>
        <v>16</v>
      </c>
      <c r="H71" s="12" t="n">
        <f aca="false">COUNTIFS('Use cases'!$C$2:$C$6000,A71,'Use cases'!$H$2:$H$6000,"")</f>
        <v>13</v>
      </c>
      <c r="I71" s="12" t="n">
        <f aca="false">G71-H71</f>
        <v>3</v>
      </c>
      <c r="J71" s="12" t="n">
        <f aca="false">COUNTIFS('Use cases'!$C$2:$C$6000,A71,'Use cases'!$E$2:$E$6000,"Pay")</f>
        <v>3</v>
      </c>
      <c r="K71" s="12" t="n">
        <f aca="false">COUNTIFS('Use cases'!$C$2:$C$6000,A71,'Use cases'!$K$2:$K$6000,"*Handoff*")</f>
        <v>3</v>
      </c>
      <c r="L71" s="12" t="n">
        <f aca="false">COUNTIFS('Use cases'!$C$2:$C$6000,A71,'Use cases'!$I$2:$I$6000,"(Gratifi starts it)*")</f>
        <v>1</v>
      </c>
      <c r="M71" s="12" t="n">
        <f aca="false">COUNTIFS('Use cases'!$C$2:$C$6000,A71,'Use cases'!$K$2:$K$6000,"*NEW:*")</f>
        <v>7</v>
      </c>
      <c r="N71" s="13" t="str">
        <f aca="false">IF(AND(G71&gt;=6,H71&gt;=2,I71&gt;=2),"Covered","GAP")</f>
        <v>Covered</v>
      </c>
    </row>
    <row r="72" customFormat="false" ht="15" hidden="false" customHeight="false" outlineLevel="0" collapsed="false">
      <c r="A72" s="11" t="s">
        <v>338</v>
      </c>
      <c r="B72" s="11" t="s">
        <v>44</v>
      </c>
      <c r="C72" s="11" t="s">
        <v>339</v>
      </c>
      <c r="D72" s="11" t="s">
        <v>340</v>
      </c>
      <c r="E72" s="11" t="s">
        <v>281</v>
      </c>
      <c r="F72" s="11" t="s">
        <v>341</v>
      </c>
      <c r="G72" s="12" t="n">
        <f aca="false">COUNTIF('Use cases'!$C$2:$C$6000,A72)</f>
        <v>15</v>
      </c>
      <c r="H72" s="12" t="n">
        <f aca="false">COUNTIFS('Use cases'!$C$2:$C$6000,A72,'Use cases'!$H$2:$H$6000,"")</f>
        <v>12</v>
      </c>
      <c r="I72" s="12" t="n">
        <f aca="false">G72-H72</f>
        <v>3</v>
      </c>
      <c r="J72" s="12" t="n">
        <f aca="false">COUNTIFS('Use cases'!$C$2:$C$6000,A72,'Use cases'!$E$2:$E$6000,"Pay")</f>
        <v>5</v>
      </c>
      <c r="K72" s="12" t="n">
        <f aca="false">COUNTIFS('Use cases'!$C$2:$C$6000,A72,'Use cases'!$K$2:$K$6000,"*Handoff*")</f>
        <v>3</v>
      </c>
      <c r="L72" s="12" t="n">
        <f aca="false">COUNTIFS('Use cases'!$C$2:$C$6000,A72,'Use cases'!$I$2:$I$6000,"(Gratifi starts it)*")</f>
        <v>1</v>
      </c>
      <c r="M72" s="12" t="n">
        <f aca="false">COUNTIFS('Use cases'!$C$2:$C$6000,A72,'Use cases'!$K$2:$K$6000,"*NEW:*")</f>
        <v>0</v>
      </c>
      <c r="N72" s="13" t="str">
        <f aca="false">IF(AND(G72&gt;=6,H72&gt;=2,I72&gt;=2),"Covered","GAP")</f>
        <v>Covered</v>
      </c>
    </row>
    <row r="73" customFormat="false" ht="15" hidden="false" customHeight="false" outlineLevel="0" collapsed="false">
      <c r="A73" s="11" t="s">
        <v>342</v>
      </c>
      <c r="B73" s="11" t="s">
        <v>45</v>
      </c>
      <c r="C73" s="11" t="s">
        <v>343</v>
      </c>
      <c r="D73" s="11" t="s">
        <v>344</v>
      </c>
      <c r="E73" s="11" t="s">
        <v>182</v>
      </c>
      <c r="F73" s="11" t="s">
        <v>78</v>
      </c>
      <c r="G73" s="12" t="n">
        <f aca="false">COUNTIF('Use cases'!$C$2:$C$6000,A73)</f>
        <v>15</v>
      </c>
      <c r="H73" s="12" t="n">
        <f aca="false">COUNTIFS('Use cases'!$C$2:$C$6000,A73,'Use cases'!$H$2:$H$6000,"")</f>
        <v>10</v>
      </c>
      <c r="I73" s="12" t="n">
        <f aca="false">G73-H73</f>
        <v>5</v>
      </c>
      <c r="J73" s="12" t="n">
        <f aca="false">COUNTIFS('Use cases'!$C$2:$C$6000,A73,'Use cases'!$E$2:$E$6000,"Pay")</f>
        <v>4</v>
      </c>
      <c r="K73" s="12" t="n">
        <f aca="false">COUNTIFS('Use cases'!$C$2:$C$6000,A73,'Use cases'!$K$2:$K$6000,"*Handoff*")</f>
        <v>3</v>
      </c>
      <c r="L73" s="12" t="n">
        <f aca="false">COUNTIFS('Use cases'!$C$2:$C$6000,A73,'Use cases'!$I$2:$I$6000,"(Gratifi starts it)*")</f>
        <v>3</v>
      </c>
      <c r="M73" s="12" t="n">
        <f aca="false">COUNTIFS('Use cases'!$C$2:$C$6000,A73,'Use cases'!$K$2:$K$6000,"*NEW:*")</f>
        <v>7</v>
      </c>
      <c r="N73" s="13" t="str">
        <f aca="false">IF(AND(G73&gt;=6,H73&gt;=2,I73&gt;=2),"Covered","GAP")</f>
        <v>Covered</v>
      </c>
    </row>
    <row r="74" customFormat="false" ht="15" hidden="false" customHeight="false" outlineLevel="0" collapsed="false">
      <c r="A74" s="11" t="s">
        <v>345</v>
      </c>
      <c r="B74" s="11" t="s">
        <v>45</v>
      </c>
      <c r="C74" s="11" t="s">
        <v>346</v>
      </c>
      <c r="D74" s="11" t="s">
        <v>347</v>
      </c>
      <c r="E74" s="11" t="s">
        <v>348</v>
      </c>
      <c r="F74" s="11" t="s">
        <v>78</v>
      </c>
      <c r="G74" s="12" t="n">
        <f aca="false">COUNTIF('Use cases'!$C$2:$C$6000,A74)</f>
        <v>15</v>
      </c>
      <c r="H74" s="12" t="n">
        <f aca="false">COUNTIFS('Use cases'!$C$2:$C$6000,A74,'Use cases'!$H$2:$H$6000,"")</f>
        <v>13</v>
      </c>
      <c r="I74" s="12" t="n">
        <f aca="false">G74-H74</f>
        <v>2</v>
      </c>
      <c r="J74" s="12" t="n">
        <f aca="false">COUNTIFS('Use cases'!$C$2:$C$6000,A74,'Use cases'!$E$2:$E$6000,"Pay")</f>
        <v>4</v>
      </c>
      <c r="K74" s="12" t="n">
        <f aca="false">COUNTIFS('Use cases'!$C$2:$C$6000,A74,'Use cases'!$K$2:$K$6000,"*Handoff*")</f>
        <v>3</v>
      </c>
      <c r="L74" s="12" t="n">
        <f aca="false">COUNTIFS('Use cases'!$C$2:$C$6000,A74,'Use cases'!$I$2:$I$6000,"(Gratifi starts it)*")</f>
        <v>1</v>
      </c>
      <c r="M74" s="12" t="n">
        <f aca="false">COUNTIFS('Use cases'!$C$2:$C$6000,A74,'Use cases'!$K$2:$K$6000,"*NEW:*")</f>
        <v>6</v>
      </c>
      <c r="N74" s="13" t="str">
        <f aca="false">IF(AND(G74&gt;=6,H74&gt;=2,I74&gt;=2),"Covered","GAP")</f>
        <v>Covered</v>
      </c>
    </row>
    <row r="75" customFormat="false" ht="23.85" hidden="false" customHeight="false" outlineLevel="0" collapsed="false">
      <c r="A75" s="11" t="s">
        <v>349</v>
      </c>
      <c r="B75" s="11" t="s">
        <v>45</v>
      </c>
      <c r="C75" s="11" t="s">
        <v>350</v>
      </c>
      <c r="D75" s="11" t="s">
        <v>351</v>
      </c>
      <c r="E75" s="11" t="s">
        <v>182</v>
      </c>
      <c r="F75" s="11" t="s">
        <v>78</v>
      </c>
      <c r="G75" s="12" t="n">
        <f aca="false">COUNTIF('Use cases'!$C$2:$C$6000,A75)</f>
        <v>14</v>
      </c>
      <c r="H75" s="12" t="n">
        <f aca="false">COUNTIFS('Use cases'!$C$2:$C$6000,A75,'Use cases'!$H$2:$H$6000,"")</f>
        <v>12</v>
      </c>
      <c r="I75" s="12" t="n">
        <f aca="false">G75-H75</f>
        <v>2</v>
      </c>
      <c r="J75" s="12" t="n">
        <f aca="false">COUNTIFS('Use cases'!$C$2:$C$6000,A75,'Use cases'!$E$2:$E$6000,"Pay")</f>
        <v>1</v>
      </c>
      <c r="K75" s="12" t="n">
        <f aca="false">COUNTIFS('Use cases'!$C$2:$C$6000,A75,'Use cases'!$K$2:$K$6000,"*Handoff*")</f>
        <v>1</v>
      </c>
      <c r="L75" s="12" t="n">
        <f aca="false">COUNTIFS('Use cases'!$C$2:$C$6000,A75,'Use cases'!$I$2:$I$6000,"(Gratifi starts it)*")</f>
        <v>1</v>
      </c>
      <c r="M75" s="12" t="n">
        <f aca="false">COUNTIFS('Use cases'!$C$2:$C$6000,A75,'Use cases'!$K$2:$K$6000,"*NEW:*")</f>
        <v>6</v>
      </c>
      <c r="N75" s="13" t="str">
        <f aca="false">IF(AND(G75&gt;=6,H75&gt;=2,I75&gt;=2),"Covered","GAP")</f>
        <v>Covered</v>
      </c>
    </row>
    <row r="76" customFormat="false" ht="15" hidden="false" customHeight="false" outlineLevel="0" collapsed="false">
      <c r="A76" s="11" t="s">
        <v>352</v>
      </c>
      <c r="B76" s="11" t="s">
        <v>46</v>
      </c>
      <c r="C76" s="11" t="s">
        <v>353</v>
      </c>
      <c r="D76" s="11" t="s">
        <v>354</v>
      </c>
      <c r="E76" s="11" t="s">
        <v>355</v>
      </c>
      <c r="F76" s="11" t="s">
        <v>356</v>
      </c>
      <c r="G76" s="12" t="n">
        <f aca="false">COUNTIF('Use cases'!$C$2:$C$6000,A76)</f>
        <v>20</v>
      </c>
      <c r="H76" s="12" t="n">
        <f aca="false">COUNTIFS('Use cases'!$C$2:$C$6000,A76,'Use cases'!$H$2:$H$6000,"")</f>
        <v>15</v>
      </c>
      <c r="I76" s="12" t="n">
        <f aca="false">G76-H76</f>
        <v>5</v>
      </c>
      <c r="J76" s="12" t="n">
        <f aca="false">COUNTIFS('Use cases'!$C$2:$C$6000,A76,'Use cases'!$E$2:$E$6000,"Pay")</f>
        <v>1</v>
      </c>
      <c r="K76" s="12" t="n">
        <f aca="false">COUNTIFS('Use cases'!$C$2:$C$6000,A76,'Use cases'!$K$2:$K$6000,"*Handoff*")</f>
        <v>7</v>
      </c>
      <c r="L76" s="12" t="n">
        <f aca="false">COUNTIFS('Use cases'!$C$2:$C$6000,A76,'Use cases'!$I$2:$I$6000,"(Gratifi starts it)*")</f>
        <v>3</v>
      </c>
      <c r="M76" s="12" t="n">
        <f aca="false">COUNTIFS('Use cases'!$C$2:$C$6000,A76,'Use cases'!$K$2:$K$6000,"*NEW:*")</f>
        <v>4</v>
      </c>
      <c r="N76" s="13" t="str">
        <f aca="false">IF(AND(G76&gt;=6,H76&gt;=2,I76&gt;=2),"Covered","GAP")</f>
        <v>Covered</v>
      </c>
    </row>
    <row r="77" customFormat="false" ht="15" hidden="false" customHeight="false" outlineLevel="0" collapsed="false">
      <c r="A77" s="11" t="s">
        <v>357</v>
      </c>
      <c r="B77" s="11" t="s">
        <v>46</v>
      </c>
      <c r="C77" s="11" t="s">
        <v>358</v>
      </c>
      <c r="D77" s="11" t="s">
        <v>359</v>
      </c>
      <c r="E77" s="11" t="s">
        <v>348</v>
      </c>
      <c r="F77" s="11" t="s">
        <v>78</v>
      </c>
      <c r="G77" s="12" t="n">
        <f aca="false">COUNTIF('Use cases'!$C$2:$C$6000,A77)</f>
        <v>17</v>
      </c>
      <c r="H77" s="12" t="n">
        <f aca="false">COUNTIFS('Use cases'!$C$2:$C$6000,A77,'Use cases'!$H$2:$H$6000,"")</f>
        <v>12</v>
      </c>
      <c r="I77" s="12" t="n">
        <f aca="false">G77-H77</f>
        <v>5</v>
      </c>
      <c r="J77" s="12" t="n">
        <f aca="false">COUNTIFS('Use cases'!$C$2:$C$6000,A77,'Use cases'!$E$2:$E$6000,"Pay")</f>
        <v>4</v>
      </c>
      <c r="K77" s="12" t="n">
        <f aca="false">COUNTIFS('Use cases'!$C$2:$C$6000,A77,'Use cases'!$K$2:$K$6000,"*Handoff*")</f>
        <v>3</v>
      </c>
      <c r="L77" s="12" t="n">
        <f aca="false">COUNTIFS('Use cases'!$C$2:$C$6000,A77,'Use cases'!$I$2:$I$6000,"(Gratifi starts it)*")</f>
        <v>1</v>
      </c>
      <c r="M77" s="12" t="n">
        <f aca="false">COUNTIFS('Use cases'!$C$2:$C$6000,A77,'Use cases'!$K$2:$K$6000,"*NEW:*")</f>
        <v>7</v>
      </c>
      <c r="N77" s="13" t="str">
        <f aca="false">IF(AND(G77&gt;=6,H77&gt;=2,I77&gt;=2),"Covered","GAP")</f>
        <v>Covered</v>
      </c>
    </row>
    <row r="78" customFormat="false" ht="15" hidden="false" customHeight="false" outlineLevel="0" collapsed="false">
      <c r="A78" s="11" t="s">
        <v>360</v>
      </c>
      <c r="B78" s="11" t="s">
        <v>46</v>
      </c>
      <c r="C78" s="11" t="s">
        <v>361</v>
      </c>
      <c r="D78" s="11" t="s">
        <v>362</v>
      </c>
      <c r="E78" s="11" t="s">
        <v>363</v>
      </c>
      <c r="F78" s="11" t="s">
        <v>78</v>
      </c>
      <c r="G78" s="12" t="n">
        <f aca="false">COUNTIF('Use cases'!$C$2:$C$6000,A78)</f>
        <v>23</v>
      </c>
      <c r="H78" s="12" t="n">
        <f aca="false">COUNTIFS('Use cases'!$C$2:$C$6000,A78,'Use cases'!$H$2:$H$6000,"")</f>
        <v>19</v>
      </c>
      <c r="I78" s="12" t="n">
        <f aca="false">G78-H78</f>
        <v>4</v>
      </c>
      <c r="J78" s="12" t="n">
        <f aca="false">COUNTIFS('Use cases'!$C$2:$C$6000,A78,'Use cases'!$E$2:$E$6000,"Pay")</f>
        <v>1</v>
      </c>
      <c r="K78" s="12" t="n">
        <f aca="false">COUNTIFS('Use cases'!$C$2:$C$6000,A78,'Use cases'!$K$2:$K$6000,"*Handoff*")</f>
        <v>3</v>
      </c>
      <c r="L78" s="12" t="n">
        <f aca="false">COUNTIFS('Use cases'!$C$2:$C$6000,A78,'Use cases'!$I$2:$I$6000,"(Gratifi starts it)*")</f>
        <v>1</v>
      </c>
      <c r="M78" s="12" t="n">
        <f aca="false">COUNTIFS('Use cases'!$C$2:$C$6000,A78,'Use cases'!$K$2:$K$6000,"*NEW:*")</f>
        <v>16</v>
      </c>
      <c r="N78" s="13" t="str">
        <f aca="false">IF(AND(G78&gt;=6,H78&gt;=2,I78&gt;=2),"Covered","GAP")</f>
        <v>Covered</v>
      </c>
    </row>
    <row r="79" customFormat="false" ht="15" hidden="false" customHeight="false" outlineLevel="0" collapsed="false">
      <c r="A79" s="11" t="s">
        <v>364</v>
      </c>
      <c r="B79" s="11" t="s">
        <v>46</v>
      </c>
      <c r="C79" s="11" t="s">
        <v>365</v>
      </c>
      <c r="D79" s="11" t="s">
        <v>366</v>
      </c>
      <c r="E79" s="11" t="s">
        <v>182</v>
      </c>
      <c r="F79" s="11" t="s">
        <v>78</v>
      </c>
      <c r="G79" s="12" t="n">
        <f aca="false">COUNTIF('Use cases'!$C$2:$C$6000,A79)</f>
        <v>15</v>
      </c>
      <c r="H79" s="12" t="n">
        <f aca="false">COUNTIFS('Use cases'!$C$2:$C$6000,A79,'Use cases'!$H$2:$H$6000,"")</f>
        <v>12</v>
      </c>
      <c r="I79" s="12" t="n">
        <f aca="false">G79-H79</f>
        <v>3</v>
      </c>
      <c r="J79" s="12" t="n">
        <f aca="false">COUNTIFS('Use cases'!$C$2:$C$6000,A79,'Use cases'!$E$2:$E$6000,"Pay")</f>
        <v>1</v>
      </c>
      <c r="K79" s="12" t="n">
        <f aca="false">COUNTIFS('Use cases'!$C$2:$C$6000,A79,'Use cases'!$K$2:$K$6000,"*Handoff*")</f>
        <v>2</v>
      </c>
      <c r="L79" s="12" t="n">
        <f aca="false">COUNTIFS('Use cases'!$C$2:$C$6000,A79,'Use cases'!$I$2:$I$6000,"(Gratifi starts it)*")</f>
        <v>2</v>
      </c>
      <c r="M79" s="12" t="n">
        <f aca="false">COUNTIFS('Use cases'!$C$2:$C$6000,A79,'Use cases'!$K$2:$K$6000,"*NEW:*")</f>
        <v>9</v>
      </c>
      <c r="N79" s="13" t="str">
        <f aca="false">IF(AND(G79&gt;=6,H79&gt;=2,I79&gt;=2),"Covered","GAP")</f>
        <v>Covered</v>
      </c>
    </row>
    <row r="80" customFormat="false" ht="23.85" hidden="false" customHeight="false" outlineLevel="0" collapsed="false">
      <c r="A80" s="11" t="s">
        <v>367</v>
      </c>
      <c r="B80" s="11" t="s">
        <v>46</v>
      </c>
      <c r="C80" s="11" t="s">
        <v>368</v>
      </c>
      <c r="D80" s="11" t="s">
        <v>369</v>
      </c>
      <c r="E80" s="11" t="s">
        <v>370</v>
      </c>
      <c r="F80" s="11" t="s">
        <v>119</v>
      </c>
      <c r="G80" s="12" t="n">
        <f aca="false">COUNTIF('Use cases'!$C$2:$C$6000,A80)</f>
        <v>15</v>
      </c>
      <c r="H80" s="12" t="n">
        <f aca="false">COUNTIFS('Use cases'!$C$2:$C$6000,A80,'Use cases'!$H$2:$H$6000,"")</f>
        <v>12</v>
      </c>
      <c r="I80" s="12" t="n">
        <f aca="false">G80-H80</f>
        <v>3</v>
      </c>
      <c r="J80" s="12" t="n">
        <f aca="false">COUNTIFS('Use cases'!$C$2:$C$6000,A80,'Use cases'!$E$2:$E$6000,"Pay")</f>
        <v>0</v>
      </c>
      <c r="K80" s="12" t="n">
        <f aca="false">COUNTIFS('Use cases'!$C$2:$C$6000,A80,'Use cases'!$K$2:$K$6000,"*Handoff*")</f>
        <v>3</v>
      </c>
      <c r="L80" s="12" t="n">
        <f aca="false">COUNTIFS('Use cases'!$C$2:$C$6000,A80,'Use cases'!$I$2:$I$6000,"(Gratifi starts it)*")</f>
        <v>3</v>
      </c>
      <c r="M80" s="12" t="n">
        <f aca="false">COUNTIFS('Use cases'!$C$2:$C$6000,A80,'Use cases'!$K$2:$K$6000,"*NEW:*")</f>
        <v>6</v>
      </c>
      <c r="N80" s="13" t="str">
        <f aca="false">IF(AND(G80&gt;=6,H80&gt;=2,I80&gt;=2),"Covered","GAP")</f>
        <v>Covered</v>
      </c>
    </row>
    <row r="81" customFormat="false" ht="15" hidden="false" customHeight="false" outlineLevel="0" collapsed="false">
      <c r="A81" s="11" t="s">
        <v>371</v>
      </c>
      <c r="B81" s="11" t="s">
        <v>47</v>
      </c>
      <c r="C81" s="11" t="s">
        <v>372</v>
      </c>
      <c r="D81" s="11" t="s">
        <v>373</v>
      </c>
      <c r="E81" s="11" t="s">
        <v>374</v>
      </c>
      <c r="F81" s="11" t="s">
        <v>375</v>
      </c>
      <c r="G81" s="12" t="n">
        <f aca="false">COUNTIF('Use cases'!$C$2:$C$6000,A81)</f>
        <v>18</v>
      </c>
      <c r="H81" s="12" t="n">
        <f aca="false">COUNTIFS('Use cases'!$C$2:$C$6000,A81,'Use cases'!$H$2:$H$6000,"")</f>
        <v>14</v>
      </c>
      <c r="I81" s="12" t="n">
        <f aca="false">G81-H81</f>
        <v>4</v>
      </c>
      <c r="J81" s="12" t="n">
        <f aca="false">COUNTIFS('Use cases'!$C$2:$C$6000,A81,'Use cases'!$E$2:$E$6000,"Pay")</f>
        <v>2</v>
      </c>
      <c r="K81" s="12" t="n">
        <f aca="false">COUNTIFS('Use cases'!$C$2:$C$6000,A81,'Use cases'!$K$2:$K$6000,"*Handoff*")</f>
        <v>5</v>
      </c>
      <c r="L81" s="12" t="n">
        <f aca="false">COUNTIFS('Use cases'!$C$2:$C$6000,A81,'Use cases'!$I$2:$I$6000,"(Gratifi starts it)*")</f>
        <v>3</v>
      </c>
      <c r="M81" s="12" t="n">
        <f aca="false">COUNTIFS('Use cases'!$C$2:$C$6000,A81,'Use cases'!$K$2:$K$6000,"*NEW:*")</f>
        <v>8</v>
      </c>
      <c r="N81" s="13" t="str">
        <f aca="false">IF(AND(G81&gt;=6,H81&gt;=2,I81&gt;=2),"Covered","GAP")</f>
        <v>Covered</v>
      </c>
    </row>
    <row r="82" customFormat="false" ht="15" hidden="false" customHeight="false" outlineLevel="0" collapsed="false">
      <c r="A82" s="11" t="s">
        <v>376</v>
      </c>
      <c r="B82" s="11" t="s">
        <v>47</v>
      </c>
      <c r="C82" s="11" t="s">
        <v>377</v>
      </c>
      <c r="D82" s="11" t="s">
        <v>378</v>
      </c>
      <c r="E82" s="11" t="s">
        <v>374</v>
      </c>
      <c r="F82" s="11" t="s">
        <v>375</v>
      </c>
      <c r="G82" s="12" t="n">
        <f aca="false">COUNTIF('Use cases'!$C$2:$C$6000,A82)</f>
        <v>20</v>
      </c>
      <c r="H82" s="12" t="n">
        <f aca="false">COUNTIFS('Use cases'!$C$2:$C$6000,A82,'Use cases'!$H$2:$H$6000,"")</f>
        <v>15</v>
      </c>
      <c r="I82" s="12" t="n">
        <f aca="false">G82-H82</f>
        <v>5</v>
      </c>
      <c r="J82" s="12" t="n">
        <f aca="false">COUNTIFS('Use cases'!$C$2:$C$6000,A82,'Use cases'!$E$2:$E$6000,"Pay")</f>
        <v>3</v>
      </c>
      <c r="K82" s="12" t="n">
        <f aca="false">COUNTIFS('Use cases'!$C$2:$C$6000,A82,'Use cases'!$K$2:$K$6000,"*Handoff*")</f>
        <v>5</v>
      </c>
      <c r="L82" s="12" t="n">
        <f aca="false">COUNTIFS('Use cases'!$C$2:$C$6000,A82,'Use cases'!$I$2:$I$6000,"(Gratifi starts it)*")</f>
        <v>4</v>
      </c>
      <c r="M82" s="12" t="n">
        <f aca="false">COUNTIFS('Use cases'!$C$2:$C$6000,A82,'Use cases'!$K$2:$K$6000,"*NEW:*")</f>
        <v>5</v>
      </c>
      <c r="N82" s="13" t="str">
        <f aca="false">IF(AND(G82&gt;=6,H82&gt;=2,I82&gt;=2),"Covered","GAP")</f>
        <v>Covered</v>
      </c>
    </row>
    <row r="83" customFormat="false" ht="15" hidden="false" customHeight="false" outlineLevel="0" collapsed="false">
      <c r="A83" s="11" t="s">
        <v>379</v>
      </c>
      <c r="B83" s="11" t="s">
        <v>47</v>
      </c>
      <c r="C83" s="11" t="s">
        <v>380</v>
      </c>
      <c r="D83" s="11" t="s">
        <v>381</v>
      </c>
      <c r="E83" s="11" t="s">
        <v>374</v>
      </c>
      <c r="F83" s="11" t="s">
        <v>375</v>
      </c>
      <c r="G83" s="12" t="n">
        <f aca="false">COUNTIF('Use cases'!$C$2:$C$6000,A83)</f>
        <v>16</v>
      </c>
      <c r="H83" s="12" t="n">
        <f aca="false">COUNTIFS('Use cases'!$C$2:$C$6000,A83,'Use cases'!$H$2:$H$6000,"")</f>
        <v>12</v>
      </c>
      <c r="I83" s="12" t="n">
        <f aca="false">G83-H83</f>
        <v>4</v>
      </c>
      <c r="J83" s="12" t="n">
        <f aca="false">COUNTIFS('Use cases'!$C$2:$C$6000,A83,'Use cases'!$E$2:$E$6000,"Pay")</f>
        <v>2</v>
      </c>
      <c r="K83" s="12" t="n">
        <f aca="false">COUNTIFS('Use cases'!$C$2:$C$6000,A83,'Use cases'!$K$2:$K$6000,"*Handoff*")</f>
        <v>3</v>
      </c>
      <c r="L83" s="12" t="n">
        <f aca="false">COUNTIFS('Use cases'!$C$2:$C$6000,A83,'Use cases'!$I$2:$I$6000,"(Gratifi starts it)*")</f>
        <v>3</v>
      </c>
      <c r="M83" s="12" t="n">
        <f aca="false">COUNTIFS('Use cases'!$C$2:$C$6000,A83,'Use cases'!$K$2:$K$6000,"*NEW:*")</f>
        <v>7</v>
      </c>
      <c r="N83" s="13" t="str">
        <f aca="false">IF(AND(G83&gt;=6,H83&gt;=2,I83&gt;=2),"Covered","GAP")</f>
        <v>Covered</v>
      </c>
    </row>
    <row r="84" customFormat="false" ht="15" hidden="false" customHeight="false" outlineLevel="0" collapsed="false">
      <c r="A84" s="11" t="s">
        <v>382</v>
      </c>
      <c r="B84" s="11" t="s">
        <v>47</v>
      </c>
      <c r="C84" s="11" t="s">
        <v>383</v>
      </c>
      <c r="D84" s="11" t="s">
        <v>384</v>
      </c>
      <c r="E84" s="11" t="s">
        <v>385</v>
      </c>
      <c r="F84" s="11" t="s">
        <v>375</v>
      </c>
      <c r="G84" s="12" t="n">
        <f aca="false">COUNTIF('Use cases'!$C$2:$C$6000,A84)</f>
        <v>20</v>
      </c>
      <c r="H84" s="12" t="n">
        <f aca="false">COUNTIFS('Use cases'!$C$2:$C$6000,A84,'Use cases'!$H$2:$H$6000,"")</f>
        <v>17</v>
      </c>
      <c r="I84" s="12" t="n">
        <f aca="false">G84-H84</f>
        <v>3</v>
      </c>
      <c r="J84" s="12" t="n">
        <f aca="false">COUNTIFS('Use cases'!$C$2:$C$6000,A84,'Use cases'!$E$2:$E$6000,"Pay")</f>
        <v>4</v>
      </c>
      <c r="K84" s="12" t="n">
        <f aca="false">COUNTIFS('Use cases'!$C$2:$C$6000,A84,'Use cases'!$K$2:$K$6000,"*Handoff*")</f>
        <v>8</v>
      </c>
      <c r="L84" s="12" t="n">
        <f aca="false">COUNTIFS('Use cases'!$C$2:$C$6000,A84,'Use cases'!$I$2:$I$6000,"(Gratifi starts it)*")</f>
        <v>3</v>
      </c>
      <c r="M84" s="12" t="n">
        <f aca="false">COUNTIFS('Use cases'!$C$2:$C$6000,A84,'Use cases'!$K$2:$K$6000,"*NEW:*")</f>
        <v>7</v>
      </c>
      <c r="N84" s="13" t="str">
        <f aca="false">IF(AND(G84&gt;=6,H84&gt;=2,I84&gt;=2),"Covered","GAP")</f>
        <v>Covered</v>
      </c>
    </row>
    <row r="85" customFormat="false" ht="15" hidden="false" customHeight="false" outlineLevel="0" collapsed="false">
      <c r="A85" s="11" t="s">
        <v>386</v>
      </c>
      <c r="B85" s="11" t="s">
        <v>47</v>
      </c>
      <c r="C85" s="11" t="s">
        <v>387</v>
      </c>
      <c r="D85" s="11" t="s">
        <v>388</v>
      </c>
      <c r="E85" s="11" t="s">
        <v>182</v>
      </c>
      <c r="F85" s="11" t="s">
        <v>282</v>
      </c>
      <c r="G85" s="12" t="n">
        <f aca="false">COUNTIF('Use cases'!$C$2:$C$6000,A85)</f>
        <v>18</v>
      </c>
      <c r="H85" s="12" t="n">
        <f aca="false">COUNTIFS('Use cases'!$C$2:$C$6000,A85,'Use cases'!$H$2:$H$6000,"")</f>
        <v>14</v>
      </c>
      <c r="I85" s="12" t="n">
        <f aca="false">G85-H85</f>
        <v>4</v>
      </c>
      <c r="J85" s="12" t="n">
        <f aca="false">COUNTIFS('Use cases'!$C$2:$C$6000,A85,'Use cases'!$E$2:$E$6000,"Pay")</f>
        <v>3</v>
      </c>
      <c r="K85" s="12" t="n">
        <f aca="false">COUNTIFS('Use cases'!$C$2:$C$6000,A85,'Use cases'!$K$2:$K$6000,"*Handoff*")</f>
        <v>5</v>
      </c>
      <c r="L85" s="12" t="n">
        <f aca="false">COUNTIFS('Use cases'!$C$2:$C$6000,A85,'Use cases'!$I$2:$I$6000,"(Gratifi starts it)*")</f>
        <v>1</v>
      </c>
      <c r="M85" s="12" t="n">
        <f aca="false">COUNTIFS('Use cases'!$C$2:$C$6000,A85,'Use cases'!$K$2:$K$6000,"*NEW:*")</f>
        <v>0</v>
      </c>
      <c r="N85" s="13" t="str">
        <f aca="false">IF(AND(G85&gt;=6,H85&gt;=2,I85&gt;=2),"Covered","GAP")</f>
        <v>Covered</v>
      </c>
    </row>
    <row r="86" customFormat="false" ht="23.85" hidden="false" customHeight="false" outlineLevel="0" collapsed="false">
      <c r="A86" s="11" t="s">
        <v>389</v>
      </c>
      <c r="B86" s="11" t="s">
        <v>48</v>
      </c>
      <c r="C86" s="11" t="s">
        <v>390</v>
      </c>
      <c r="D86" s="11" t="s">
        <v>391</v>
      </c>
      <c r="E86" s="11" t="s">
        <v>392</v>
      </c>
      <c r="F86" s="11" t="s">
        <v>393</v>
      </c>
      <c r="G86" s="12" t="n">
        <f aca="false">COUNTIF('Use cases'!$C$2:$C$6000,A86)</f>
        <v>25</v>
      </c>
      <c r="H86" s="12" t="n">
        <f aca="false">COUNTIFS('Use cases'!$C$2:$C$6000,A86,'Use cases'!$H$2:$H$6000,"")</f>
        <v>22</v>
      </c>
      <c r="I86" s="12" t="n">
        <f aca="false">G86-H86</f>
        <v>3</v>
      </c>
      <c r="J86" s="12" t="n">
        <f aca="false">COUNTIFS('Use cases'!$C$2:$C$6000,A86,'Use cases'!$E$2:$E$6000,"Pay")</f>
        <v>1</v>
      </c>
      <c r="K86" s="12" t="n">
        <f aca="false">COUNTIFS('Use cases'!$C$2:$C$6000,A86,'Use cases'!$K$2:$K$6000,"*Handoff*")</f>
        <v>4</v>
      </c>
      <c r="L86" s="12" t="n">
        <f aca="false">COUNTIFS('Use cases'!$C$2:$C$6000,A86,'Use cases'!$I$2:$I$6000,"(Gratifi starts it)*")</f>
        <v>2</v>
      </c>
      <c r="M86" s="12" t="n">
        <f aca="false">COUNTIFS('Use cases'!$C$2:$C$6000,A86,'Use cases'!$K$2:$K$6000,"*NEW:*")</f>
        <v>0</v>
      </c>
      <c r="N86" s="13" t="str">
        <f aca="false">IF(AND(G86&gt;=6,H86&gt;=2,I86&gt;=2),"Covered","GAP")</f>
        <v>Covered</v>
      </c>
    </row>
    <row r="87" customFormat="false" ht="23.85" hidden="false" customHeight="false" outlineLevel="0" collapsed="false">
      <c r="A87" s="11" t="s">
        <v>394</v>
      </c>
      <c r="B87" s="11" t="s">
        <v>48</v>
      </c>
      <c r="C87" s="11" t="s">
        <v>395</v>
      </c>
      <c r="D87" s="11" t="s">
        <v>396</v>
      </c>
      <c r="E87" s="11" t="s">
        <v>281</v>
      </c>
      <c r="F87" s="11" t="s">
        <v>282</v>
      </c>
      <c r="G87" s="12" t="n">
        <f aca="false">COUNTIF('Use cases'!$C$2:$C$6000,A87)</f>
        <v>23</v>
      </c>
      <c r="H87" s="12" t="n">
        <f aca="false">COUNTIFS('Use cases'!$C$2:$C$6000,A87,'Use cases'!$H$2:$H$6000,"")</f>
        <v>15</v>
      </c>
      <c r="I87" s="12" t="n">
        <f aca="false">G87-H87</f>
        <v>8</v>
      </c>
      <c r="J87" s="12" t="n">
        <f aca="false">COUNTIFS('Use cases'!$C$2:$C$6000,A87,'Use cases'!$E$2:$E$6000,"Pay")</f>
        <v>1</v>
      </c>
      <c r="K87" s="12" t="n">
        <f aca="false">COUNTIFS('Use cases'!$C$2:$C$6000,A87,'Use cases'!$K$2:$K$6000,"*Handoff*")</f>
        <v>3</v>
      </c>
      <c r="L87" s="12" t="n">
        <f aca="false">COUNTIFS('Use cases'!$C$2:$C$6000,A87,'Use cases'!$I$2:$I$6000,"(Gratifi starts it)*")</f>
        <v>3</v>
      </c>
      <c r="M87" s="12" t="n">
        <f aca="false">COUNTIFS('Use cases'!$C$2:$C$6000,A87,'Use cases'!$K$2:$K$6000,"*NEW:*")</f>
        <v>10</v>
      </c>
      <c r="N87" s="13" t="str">
        <f aca="false">IF(AND(G87&gt;=6,H87&gt;=2,I87&gt;=2),"Covered","GAP")</f>
        <v>Covered</v>
      </c>
    </row>
    <row r="88" customFormat="false" ht="23.85" hidden="false" customHeight="false" outlineLevel="0" collapsed="false">
      <c r="A88" s="11" t="s">
        <v>397</v>
      </c>
      <c r="B88" s="11" t="s">
        <v>48</v>
      </c>
      <c r="C88" s="11" t="s">
        <v>398</v>
      </c>
      <c r="D88" s="11" t="s">
        <v>399</v>
      </c>
      <c r="E88" s="11" t="s">
        <v>400</v>
      </c>
      <c r="F88" s="11" t="s">
        <v>219</v>
      </c>
      <c r="G88" s="12" t="n">
        <f aca="false">COUNTIF('Use cases'!$C$2:$C$6000,A88)</f>
        <v>31</v>
      </c>
      <c r="H88" s="12" t="n">
        <f aca="false">COUNTIFS('Use cases'!$C$2:$C$6000,A88,'Use cases'!$H$2:$H$6000,"")</f>
        <v>19</v>
      </c>
      <c r="I88" s="12" t="n">
        <f aca="false">G88-H88</f>
        <v>12</v>
      </c>
      <c r="J88" s="12" t="n">
        <f aca="false">COUNTIFS('Use cases'!$C$2:$C$6000,A88,'Use cases'!$E$2:$E$6000,"Pay")</f>
        <v>2</v>
      </c>
      <c r="K88" s="12" t="n">
        <f aca="false">COUNTIFS('Use cases'!$C$2:$C$6000,A88,'Use cases'!$K$2:$K$6000,"*Handoff*")</f>
        <v>10</v>
      </c>
      <c r="L88" s="12" t="n">
        <f aca="false">COUNTIFS('Use cases'!$C$2:$C$6000,A88,'Use cases'!$I$2:$I$6000,"(Gratifi starts it)*")</f>
        <v>3</v>
      </c>
      <c r="M88" s="12" t="n">
        <f aca="false">COUNTIFS('Use cases'!$C$2:$C$6000,A88,'Use cases'!$K$2:$K$6000,"*NEW:*")</f>
        <v>23</v>
      </c>
      <c r="N88" s="13" t="str">
        <f aca="false">IF(AND(G88&gt;=6,H88&gt;=2,I88&gt;=2),"Covered","GAP")</f>
        <v>Covered</v>
      </c>
    </row>
    <row r="89" customFormat="false" ht="23.85" hidden="false" customHeight="false" outlineLevel="0" collapsed="false">
      <c r="A89" s="11" t="s">
        <v>401</v>
      </c>
      <c r="B89" s="11" t="s">
        <v>48</v>
      </c>
      <c r="C89" s="11" t="s">
        <v>402</v>
      </c>
      <c r="D89" s="11" t="s">
        <v>403</v>
      </c>
      <c r="E89" s="11" t="s">
        <v>281</v>
      </c>
      <c r="F89" s="11" t="s">
        <v>282</v>
      </c>
      <c r="G89" s="12" t="n">
        <f aca="false">COUNTIF('Use cases'!$C$2:$C$6000,A89)</f>
        <v>24</v>
      </c>
      <c r="H89" s="12" t="n">
        <f aca="false">COUNTIFS('Use cases'!$C$2:$C$6000,A89,'Use cases'!$H$2:$H$6000,"")</f>
        <v>21</v>
      </c>
      <c r="I89" s="12" t="n">
        <f aca="false">G89-H89</f>
        <v>3</v>
      </c>
      <c r="J89" s="12" t="n">
        <f aca="false">COUNTIFS('Use cases'!$C$2:$C$6000,A89,'Use cases'!$E$2:$E$6000,"Pay")</f>
        <v>1</v>
      </c>
      <c r="K89" s="12" t="n">
        <f aca="false">COUNTIFS('Use cases'!$C$2:$C$6000,A89,'Use cases'!$K$2:$K$6000,"*Handoff*")</f>
        <v>7</v>
      </c>
      <c r="L89" s="12" t="n">
        <f aca="false">COUNTIFS('Use cases'!$C$2:$C$6000,A89,'Use cases'!$I$2:$I$6000,"(Gratifi starts it)*")</f>
        <v>2</v>
      </c>
      <c r="M89" s="12" t="n">
        <f aca="false">COUNTIFS('Use cases'!$C$2:$C$6000,A89,'Use cases'!$K$2:$K$6000,"*NEW:*")</f>
        <v>8</v>
      </c>
      <c r="N89" s="13" t="str">
        <f aca="false">IF(AND(G89&gt;=6,H89&gt;=2,I89&gt;=2),"Covered","GAP")</f>
        <v>Covered</v>
      </c>
    </row>
    <row r="90" customFormat="false" ht="23.85" hidden="false" customHeight="false" outlineLevel="0" collapsed="false">
      <c r="A90" s="11" t="s">
        <v>404</v>
      </c>
      <c r="B90" s="11" t="s">
        <v>48</v>
      </c>
      <c r="C90" s="11" t="s">
        <v>405</v>
      </c>
      <c r="D90" s="11" t="s">
        <v>406</v>
      </c>
      <c r="E90" s="11" t="s">
        <v>281</v>
      </c>
      <c r="F90" s="11" t="s">
        <v>219</v>
      </c>
      <c r="G90" s="12" t="n">
        <f aca="false">COUNTIF('Use cases'!$C$2:$C$6000,A90)</f>
        <v>30</v>
      </c>
      <c r="H90" s="12" t="n">
        <f aca="false">COUNTIFS('Use cases'!$C$2:$C$6000,A90,'Use cases'!$H$2:$H$6000,"")</f>
        <v>24</v>
      </c>
      <c r="I90" s="12" t="n">
        <f aca="false">G90-H90</f>
        <v>6</v>
      </c>
      <c r="J90" s="12" t="n">
        <f aca="false">COUNTIFS('Use cases'!$C$2:$C$6000,A90,'Use cases'!$E$2:$E$6000,"Pay")</f>
        <v>4</v>
      </c>
      <c r="K90" s="12" t="n">
        <f aca="false">COUNTIFS('Use cases'!$C$2:$C$6000,A90,'Use cases'!$K$2:$K$6000,"*Handoff*")</f>
        <v>4</v>
      </c>
      <c r="L90" s="12" t="n">
        <f aca="false">COUNTIFS('Use cases'!$C$2:$C$6000,A90,'Use cases'!$I$2:$I$6000,"(Gratifi starts it)*")</f>
        <v>2</v>
      </c>
      <c r="M90" s="12" t="n">
        <f aca="false">COUNTIFS('Use cases'!$C$2:$C$6000,A90,'Use cases'!$K$2:$K$6000,"*NEW:*")</f>
        <v>3</v>
      </c>
      <c r="N90" s="13" t="str">
        <f aca="false">IF(AND(G90&gt;=6,H90&gt;=2,I90&gt;=2),"Covered","GAP")</f>
        <v>Covered</v>
      </c>
    </row>
    <row r="91" customFormat="false" ht="23.85" hidden="false" customHeight="false" outlineLevel="0" collapsed="false">
      <c r="A91" s="11" t="s">
        <v>407</v>
      </c>
      <c r="B91" s="11" t="s">
        <v>48</v>
      </c>
      <c r="C91" s="11" t="s">
        <v>408</v>
      </c>
      <c r="D91" s="11" t="s">
        <v>409</v>
      </c>
      <c r="E91" s="11" t="s">
        <v>410</v>
      </c>
      <c r="F91" s="11" t="s">
        <v>219</v>
      </c>
      <c r="G91" s="12" t="n">
        <f aca="false">COUNTIF('Use cases'!$C$2:$C$6000,A91)</f>
        <v>29</v>
      </c>
      <c r="H91" s="12" t="n">
        <f aca="false">COUNTIFS('Use cases'!$C$2:$C$6000,A91,'Use cases'!$H$2:$H$6000,"")</f>
        <v>22</v>
      </c>
      <c r="I91" s="12" t="n">
        <f aca="false">G91-H91</f>
        <v>7</v>
      </c>
      <c r="J91" s="12" t="n">
        <f aca="false">COUNTIFS('Use cases'!$C$2:$C$6000,A91,'Use cases'!$E$2:$E$6000,"Pay")</f>
        <v>6</v>
      </c>
      <c r="K91" s="12" t="n">
        <f aca="false">COUNTIFS('Use cases'!$C$2:$C$6000,A91,'Use cases'!$K$2:$K$6000,"*Handoff*")</f>
        <v>2</v>
      </c>
      <c r="L91" s="12" t="n">
        <f aca="false">COUNTIFS('Use cases'!$C$2:$C$6000,A91,'Use cases'!$I$2:$I$6000,"(Gratifi starts it)*")</f>
        <v>2</v>
      </c>
      <c r="M91" s="12" t="n">
        <f aca="false">COUNTIFS('Use cases'!$C$2:$C$6000,A91,'Use cases'!$K$2:$K$6000,"*NEW:*")</f>
        <v>3</v>
      </c>
      <c r="N91" s="13" t="str">
        <f aca="false">IF(AND(G91&gt;=6,H91&gt;=2,I91&gt;=2),"Covered","GAP")</f>
        <v>Covered</v>
      </c>
    </row>
    <row r="92" customFormat="false" ht="23.85" hidden="false" customHeight="false" outlineLevel="0" collapsed="false">
      <c r="A92" s="11" t="s">
        <v>411</v>
      </c>
      <c r="B92" s="11" t="s">
        <v>48</v>
      </c>
      <c r="C92" s="11" t="s">
        <v>412</v>
      </c>
      <c r="D92" s="11" t="s">
        <v>413</v>
      </c>
      <c r="E92" s="11" t="s">
        <v>400</v>
      </c>
      <c r="F92" s="11" t="s">
        <v>119</v>
      </c>
      <c r="G92" s="12" t="n">
        <f aca="false">COUNTIF('Use cases'!$C$2:$C$6000,A92)</f>
        <v>20</v>
      </c>
      <c r="H92" s="12" t="n">
        <f aca="false">COUNTIFS('Use cases'!$C$2:$C$6000,A92,'Use cases'!$H$2:$H$6000,"")</f>
        <v>16</v>
      </c>
      <c r="I92" s="12" t="n">
        <f aca="false">G92-H92</f>
        <v>4</v>
      </c>
      <c r="J92" s="12" t="n">
        <f aca="false">COUNTIFS('Use cases'!$C$2:$C$6000,A92,'Use cases'!$E$2:$E$6000,"Pay")</f>
        <v>0</v>
      </c>
      <c r="K92" s="12" t="n">
        <f aca="false">COUNTIFS('Use cases'!$C$2:$C$6000,A92,'Use cases'!$K$2:$K$6000,"*Handoff*")</f>
        <v>8</v>
      </c>
      <c r="L92" s="12" t="n">
        <f aca="false">COUNTIFS('Use cases'!$C$2:$C$6000,A92,'Use cases'!$I$2:$I$6000,"(Gratifi starts it)*")</f>
        <v>2</v>
      </c>
      <c r="M92" s="12" t="n">
        <f aca="false">COUNTIFS('Use cases'!$C$2:$C$6000,A92,'Use cases'!$K$2:$K$6000,"*NEW:*")</f>
        <v>17</v>
      </c>
      <c r="N92" s="13" t="str">
        <f aca="false">IF(AND(G92&gt;=6,H92&gt;=2,I92&gt;=2),"Covered","GAP")</f>
        <v>Covered</v>
      </c>
    </row>
    <row r="93" customFormat="false" ht="23.85" hidden="false" customHeight="false" outlineLevel="0" collapsed="false">
      <c r="A93" s="11" t="s">
        <v>414</v>
      </c>
      <c r="B93" s="11" t="s">
        <v>49</v>
      </c>
      <c r="C93" s="11" t="s">
        <v>415</v>
      </c>
      <c r="D93" s="11" t="s">
        <v>416</v>
      </c>
      <c r="E93" s="11" t="s">
        <v>370</v>
      </c>
      <c r="F93" s="11" t="s">
        <v>393</v>
      </c>
      <c r="G93" s="12" t="n">
        <f aca="false">COUNTIF('Use cases'!$C$2:$C$6000,A93)</f>
        <v>47</v>
      </c>
      <c r="H93" s="12" t="n">
        <f aca="false">COUNTIFS('Use cases'!$C$2:$C$6000,A93,'Use cases'!$H$2:$H$6000,"")</f>
        <v>37</v>
      </c>
      <c r="I93" s="12" t="n">
        <f aca="false">G93-H93</f>
        <v>10</v>
      </c>
      <c r="J93" s="12" t="n">
        <f aca="false">COUNTIFS('Use cases'!$C$2:$C$6000,A93,'Use cases'!$E$2:$E$6000,"Pay")</f>
        <v>0</v>
      </c>
      <c r="K93" s="12" t="n">
        <f aca="false">COUNTIFS('Use cases'!$C$2:$C$6000,A93,'Use cases'!$K$2:$K$6000,"*Handoff*")</f>
        <v>4</v>
      </c>
      <c r="L93" s="12" t="n">
        <f aca="false">COUNTIFS('Use cases'!$C$2:$C$6000,A93,'Use cases'!$I$2:$I$6000,"(Gratifi starts it)*")</f>
        <v>1</v>
      </c>
      <c r="M93" s="12" t="n">
        <f aca="false">COUNTIFS('Use cases'!$C$2:$C$6000,A93,'Use cases'!$K$2:$K$6000,"*NEW:*")</f>
        <v>10</v>
      </c>
      <c r="N93" s="13" t="str">
        <f aca="false">IF(AND(G93&gt;=6,H93&gt;=2,I93&gt;=2),"Covered","GAP")</f>
        <v>Covered</v>
      </c>
    </row>
    <row r="94" customFormat="false" ht="23.85" hidden="false" customHeight="false" outlineLevel="0" collapsed="false">
      <c r="A94" s="11" t="s">
        <v>417</v>
      </c>
      <c r="B94" s="11" t="s">
        <v>49</v>
      </c>
      <c r="C94" s="11" t="s">
        <v>418</v>
      </c>
      <c r="D94" s="11" t="s">
        <v>419</v>
      </c>
      <c r="E94" s="11" t="s">
        <v>281</v>
      </c>
      <c r="F94" s="11" t="s">
        <v>393</v>
      </c>
      <c r="G94" s="12" t="n">
        <f aca="false">COUNTIF('Use cases'!$C$2:$C$6000,A94)</f>
        <v>42</v>
      </c>
      <c r="H94" s="12" t="n">
        <f aca="false">COUNTIFS('Use cases'!$C$2:$C$6000,A94,'Use cases'!$H$2:$H$6000,"")</f>
        <v>32</v>
      </c>
      <c r="I94" s="12" t="n">
        <f aca="false">G94-H94</f>
        <v>10</v>
      </c>
      <c r="J94" s="12" t="n">
        <f aca="false">COUNTIFS('Use cases'!$C$2:$C$6000,A94,'Use cases'!$E$2:$E$6000,"Pay")</f>
        <v>9</v>
      </c>
      <c r="K94" s="12" t="n">
        <f aca="false">COUNTIFS('Use cases'!$C$2:$C$6000,A94,'Use cases'!$K$2:$K$6000,"*Handoff*")</f>
        <v>4</v>
      </c>
      <c r="L94" s="12" t="n">
        <f aca="false">COUNTIFS('Use cases'!$C$2:$C$6000,A94,'Use cases'!$I$2:$I$6000,"(Gratifi starts it)*")</f>
        <v>4</v>
      </c>
      <c r="M94" s="12" t="n">
        <f aca="false">COUNTIFS('Use cases'!$C$2:$C$6000,A94,'Use cases'!$K$2:$K$6000,"*NEW:*")</f>
        <v>13</v>
      </c>
      <c r="N94" s="13" t="str">
        <f aca="false">IF(AND(G94&gt;=6,H94&gt;=2,I94&gt;=2),"Covered","GAP")</f>
        <v>Covered</v>
      </c>
    </row>
    <row r="95" customFormat="false" ht="23.85" hidden="false" customHeight="false" outlineLevel="0" collapsed="false">
      <c r="A95" s="11" t="s">
        <v>420</v>
      </c>
      <c r="B95" s="11" t="s">
        <v>49</v>
      </c>
      <c r="C95" s="11" t="s">
        <v>421</v>
      </c>
      <c r="D95" s="11" t="s">
        <v>422</v>
      </c>
      <c r="E95" s="11" t="s">
        <v>281</v>
      </c>
      <c r="F95" s="11" t="s">
        <v>393</v>
      </c>
      <c r="G95" s="12" t="n">
        <f aca="false">COUNTIF('Use cases'!$C$2:$C$6000,A95)</f>
        <v>34</v>
      </c>
      <c r="H95" s="12" t="n">
        <f aca="false">COUNTIFS('Use cases'!$C$2:$C$6000,A95,'Use cases'!$H$2:$H$6000,"")</f>
        <v>26</v>
      </c>
      <c r="I95" s="12" t="n">
        <f aca="false">G95-H95</f>
        <v>8</v>
      </c>
      <c r="J95" s="12" t="n">
        <f aca="false">COUNTIFS('Use cases'!$C$2:$C$6000,A95,'Use cases'!$E$2:$E$6000,"Pay")</f>
        <v>1</v>
      </c>
      <c r="K95" s="12" t="n">
        <f aca="false">COUNTIFS('Use cases'!$C$2:$C$6000,A95,'Use cases'!$K$2:$K$6000,"*Handoff*")</f>
        <v>5</v>
      </c>
      <c r="L95" s="12" t="n">
        <f aca="false">COUNTIFS('Use cases'!$C$2:$C$6000,A95,'Use cases'!$I$2:$I$6000,"(Gratifi starts it)*")</f>
        <v>1</v>
      </c>
      <c r="M95" s="12" t="n">
        <f aca="false">COUNTIFS('Use cases'!$C$2:$C$6000,A95,'Use cases'!$K$2:$K$6000,"*NEW:*")</f>
        <v>13</v>
      </c>
      <c r="N95" s="13" t="str">
        <f aca="false">IF(AND(G95&gt;=6,H95&gt;=2,I95&gt;=2),"Covered","GAP")</f>
        <v>Covered</v>
      </c>
    </row>
    <row r="96" customFormat="false" ht="23.85" hidden="false" customHeight="false" outlineLevel="0" collapsed="false">
      <c r="A96" s="11" t="s">
        <v>423</v>
      </c>
      <c r="B96" s="11" t="s">
        <v>49</v>
      </c>
      <c r="C96" s="11" t="s">
        <v>424</v>
      </c>
      <c r="D96" s="11" t="s">
        <v>425</v>
      </c>
      <c r="E96" s="11" t="s">
        <v>281</v>
      </c>
      <c r="F96" s="11" t="s">
        <v>393</v>
      </c>
      <c r="G96" s="12" t="n">
        <f aca="false">COUNTIF('Use cases'!$C$2:$C$6000,A96)</f>
        <v>41</v>
      </c>
      <c r="H96" s="12" t="n">
        <f aca="false">COUNTIFS('Use cases'!$C$2:$C$6000,A96,'Use cases'!$H$2:$H$6000,"")</f>
        <v>27</v>
      </c>
      <c r="I96" s="12" t="n">
        <f aca="false">G96-H96</f>
        <v>14</v>
      </c>
      <c r="J96" s="12" t="n">
        <f aca="false">COUNTIFS('Use cases'!$C$2:$C$6000,A96,'Use cases'!$E$2:$E$6000,"Pay")</f>
        <v>0</v>
      </c>
      <c r="K96" s="12" t="n">
        <f aca="false">COUNTIFS('Use cases'!$C$2:$C$6000,A96,'Use cases'!$K$2:$K$6000,"*Handoff*")</f>
        <v>11</v>
      </c>
      <c r="L96" s="12" t="n">
        <f aca="false">COUNTIFS('Use cases'!$C$2:$C$6000,A96,'Use cases'!$I$2:$I$6000,"(Gratifi starts it)*")</f>
        <v>4</v>
      </c>
      <c r="M96" s="12" t="n">
        <f aca="false">COUNTIFS('Use cases'!$C$2:$C$6000,A96,'Use cases'!$K$2:$K$6000,"*NEW:*")</f>
        <v>28</v>
      </c>
      <c r="N96" s="13" t="str">
        <f aca="false">IF(AND(G96&gt;=6,H96&gt;=2,I96&gt;=2),"Covered","GAP")</f>
        <v>Covered</v>
      </c>
    </row>
    <row r="97" customFormat="false" ht="23.85" hidden="false" customHeight="false" outlineLevel="0" collapsed="false">
      <c r="A97" s="11" t="s">
        <v>426</v>
      </c>
      <c r="B97" s="11" t="s">
        <v>49</v>
      </c>
      <c r="C97" s="11" t="s">
        <v>427</v>
      </c>
      <c r="D97" s="11" t="s">
        <v>428</v>
      </c>
      <c r="E97" s="11" t="s">
        <v>281</v>
      </c>
      <c r="F97" s="11" t="s">
        <v>393</v>
      </c>
      <c r="G97" s="12" t="n">
        <f aca="false">COUNTIF('Use cases'!$C$2:$C$6000,A97)</f>
        <v>37</v>
      </c>
      <c r="H97" s="12" t="n">
        <f aca="false">COUNTIFS('Use cases'!$C$2:$C$6000,A97,'Use cases'!$H$2:$H$6000,"")</f>
        <v>23</v>
      </c>
      <c r="I97" s="12" t="n">
        <f aca="false">G97-H97</f>
        <v>14</v>
      </c>
      <c r="J97" s="12" t="n">
        <f aca="false">COUNTIFS('Use cases'!$C$2:$C$6000,A97,'Use cases'!$E$2:$E$6000,"Pay")</f>
        <v>2</v>
      </c>
      <c r="K97" s="12" t="n">
        <f aca="false">COUNTIFS('Use cases'!$C$2:$C$6000,A97,'Use cases'!$K$2:$K$6000,"*Handoff*")</f>
        <v>9</v>
      </c>
      <c r="L97" s="12" t="n">
        <f aca="false">COUNTIFS('Use cases'!$C$2:$C$6000,A97,'Use cases'!$I$2:$I$6000,"(Gratifi starts it)*")</f>
        <v>2</v>
      </c>
      <c r="M97" s="12" t="n">
        <f aca="false">COUNTIFS('Use cases'!$C$2:$C$6000,A97,'Use cases'!$K$2:$K$6000,"*NEW:*")</f>
        <v>19</v>
      </c>
      <c r="N97" s="13" t="str">
        <f aca="false">IF(AND(G97&gt;=6,H97&gt;=2,I97&gt;=2),"Covered","GAP")</f>
        <v>Covered</v>
      </c>
    </row>
    <row r="98" customFormat="false" ht="23.85" hidden="false" customHeight="false" outlineLevel="0" collapsed="false">
      <c r="A98" s="11" t="s">
        <v>429</v>
      </c>
      <c r="B98" s="11" t="s">
        <v>49</v>
      </c>
      <c r="C98" s="11" t="s">
        <v>430</v>
      </c>
      <c r="D98" s="11" t="s">
        <v>431</v>
      </c>
      <c r="E98" s="11" t="s">
        <v>281</v>
      </c>
      <c r="F98" s="11" t="s">
        <v>393</v>
      </c>
      <c r="G98" s="12" t="n">
        <f aca="false">COUNTIF('Use cases'!$C$2:$C$6000,A98)</f>
        <v>23</v>
      </c>
      <c r="H98" s="12" t="n">
        <f aca="false">COUNTIFS('Use cases'!$C$2:$C$6000,A98,'Use cases'!$H$2:$H$6000,"")</f>
        <v>16</v>
      </c>
      <c r="I98" s="12" t="n">
        <f aca="false">G98-H98</f>
        <v>7</v>
      </c>
      <c r="J98" s="12" t="n">
        <f aca="false">COUNTIFS('Use cases'!$C$2:$C$6000,A98,'Use cases'!$E$2:$E$6000,"Pay")</f>
        <v>1</v>
      </c>
      <c r="K98" s="12" t="n">
        <f aca="false">COUNTIFS('Use cases'!$C$2:$C$6000,A98,'Use cases'!$K$2:$K$6000,"*Handoff*")</f>
        <v>6</v>
      </c>
      <c r="L98" s="12" t="n">
        <f aca="false">COUNTIFS('Use cases'!$C$2:$C$6000,A98,'Use cases'!$I$2:$I$6000,"(Gratifi starts it)*")</f>
        <v>2</v>
      </c>
      <c r="M98" s="12" t="n">
        <f aca="false">COUNTIFS('Use cases'!$C$2:$C$6000,A98,'Use cases'!$K$2:$K$6000,"*NEW:*")</f>
        <v>8</v>
      </c>
      <c r="N98" s="13" t="str">
        <f aca="false">IF(AND(G98&gt;=6,H98&gt;=2,I98&gt;=2),"Covered","GAP")</f>
        <v>Covered</v>
      </c>
    </row>
    <row r="99" customFormat="false" ht="35.05" hidden="false" customHeight="false" outlineLevel="0" collapsed="false">
      <c r="A99" s="11" t="s">
        <v>432</v>
      </c>
      <c r="B99" s="11" t="s">
        <v>49</v>
      </c>
      <c r="C99" s="11" t="s">
        <v>433</v>
      </c>
      <c r="D99" s="11" t="s">
        <v>434</v>
      </c>
      <c r="E99" s="11" t="s">
        <v>281</v>
      </c>
      <c r="F99" s="11" t="s">
        <v>393</v>
      </c>
      <c r="G99" s="12" t="n">
        <f aca="false">COUNTIF('Use cases'!$C$2:$C$6000,A99)</f>
        <v>32</v>
      </c>
      <c r="H99" s="12" t="n">
        <f aca="false">COUNTIFS('Use cases'!$C$2:$C$6000,A99,'Use cases'!$H$2:$H$6000,"")</f>
        <v>15</v>
      </c>
      <c r="I99" s="12" t="n">
        <f aca="false">G99-H99</f>
        <v>17</v>
      </c>
      <c r="J99" s="12" t="n">
        <f aca="false">COUNTIFS('Use cases'!$C$2:$C$6000,A99,'Use cases'!$E$2:$E$6000,"Pay")</f>
        <v>1</v>
      </c>
      <c r="K99" s="12" t="n">
        <f aca="false">COUNTIFS('Use cases'!$C$2:$C$6000,A99,'Use cases'!$K$2:$K$6000,"*Handoff*")</f>
        <v>27</v>
      </c>
      <c r="L99" s="12" t="n">
        <f aca="false">COUNTIFS('Use cases'!$C$2:$C$6000,A99,'Use cases'!$I$2:$I$6000,"(Gratifi starts it)*")</f>
        <v>1</v>
      </c>
      <c r="M99" s="12" t="n">
        <f aca="false">COUNTIFS('Use cases'!$C$2:$C$6000,A99,'Use cases'!$K$2:$K$6000,"*NEW:*")</f>
        <v>10</v>
      </c>
      <c r="N99" s="13" t="str">
        <f aca="false">IF(AND(G99&gt;=6,H99&gt;=2,I99&gt;=2),"Covered","GAP")</f>
        <v>Covered</v>
      </c>
    </row>
    <row r="100" customFormat="false" ht="23.85" hidden="false" customHeight="false" outlineLevel="0" collapsed="false">
      <c r="A100" s="11" t="s">
        <v>435</v>
      </c>
      <c r="B100" s="11" t="s">
        <v>49</v>
      </c>
      <c r="C100" s="11" t="s">
        <v>436</v>
      </c>
      <c r="D100" s="11" t="s">
        <v>437</v>
      </c>
      <c r="E100" s="11" t="s">
        <v>281</v>
      </c>
      <c r="F100" s="11" t="s">
        <v>393</v>
      </c>
      <c r="G100" s="12" t="n">
        <f aca="false">COUNTIF('Use cases'!$C$2:$C$6000,A100)</f>
        <v>23</v>
      </c>
      <c r="H100" s="12" t="n">
        <f aca="false">COUNTIFS('Use cases'!$C$2:$C$6000,A100,'Use cases'!$H$2:$H$6000,"")</f>
        <v>18</v>
      </c>
      <c r="I100" s="12" t="n">
        <f aca="false">G100-H100</f>
        <v>5</v>
      </c>
      <c r="J100" s="12" t="n">
        <f aca="false">COUNTIFS('Use cases'!$C$2:$C$6000,A100,'Use cases'!$E$2:$E$6000,"Pay")</f>
        <v>1</v>
      </c>
      <c r="K100" s="12" t="n">
        <f aca="false">COUNTIFS('Use cases'!$C$2:$C$6000,A100,'Use cases'!$K$2:$K$6000,"*Handoff*")</f>
        <v>3</v>
      </c>
      <c r="L100" s="12" t="n">
        <f aca="false">COUNTIFS('Use cases'!$C$2:$C$6000,A100,'Use cases'!$I$2:$I$6000,"(Gratifi starts it)*")</f>
        <v>1</v>
      </c>
      <c r="M100" s="12" t="n">
        <f aca="false">COUNTIFS('Use cases'!$C$2:$C$6000,A100,'Use cases'!$K$2:$K$6000,"*NEW:*")</f>
        <v>15</v>
      </c>
      <c r="N100" s="13" t="str">
        <f aca="false">IF(AND(G100&gt;=6,H100&gt;=2,I100&gt;=2),"Covered","GAP")</f>
        <v>Covered</v>
      </c>
    </row>
    <row r="101" customFormat="false" ht="23.85" hidden="false" customHeight="false" outlineLevel="0" collapsed="false">
      <c r="A101" s="11" t="s">
        <v>438</v>
      </c>
      <c r="B101" s="11" t="s">
        <v>50</v>
      </c>
      <c r="C101" s="11" t="s">
        <v>439</v>
      </c>
      <c r="D101" s="11" t="s">
        <v>440</v>
      </c>
      <c r="E101" s="11" t="s">
        <v>441</v>
      </c>
      <c r="F101" s="11" t="s">
        <v>69</v>
      </c>
      <c r="G101" s="12" t="n">
        <f aca="false">COUNTIF('Use cases'!$C$2:$C$6000,A101)</f>
        <v>31</v>
      </c>
      <c r="H101" s="12" t="n">
        <f aca="false">COUNTIFS('Use cases'!$C$2:$C$6000,A101,'Use cases'!$H$2:$H$6000,"")</f>
        <v>27</v>
      </c>
      <c r="I101" s="12" t="n">
        <f aca="false">G101-H101</f>
        <v>4</v>
      </c>
      <c r="J101" s="12" t="n">
        <f aca="false">COUNTIFS('Use cases'!$C$2:$C$6000,A101,'Use cases'!$E$2:$E$6000,"Pay")</f>
        <v>2</v>
      </c>
      <c r="K101" s="12" t="n">
        <f aca="false">COUNTIFS('Use cases'!$C$2:$C$6000,A101,'Use cases'!$K$2:$K$6000,"*Handoff*")</f>
        <v>3</v>
      </c>
      <c r="L101" s="12" t="n">
        <f aca="false">COUNTIFS('Use cases'!$C$2:$C$6000,A101,'Use cases'!$I$2:$I$6000,"(Gratifi starts it)*")</f>
        <v>23</v>
      </c>
      <c r="M101" s="12" t="n">
        <f aca="false">COUNTIFS('Use cases'!$C$2:$C$6000,A101,'Use cases'!$K$2:$K$6000,"*NEW:*")</f>
        <v>1</v>
      </c>
      <c r="N101" s="13" t="str">
        <f aca="false">IF(AND(G101&gt;=6,H101&gt;=2,I101&gt;=2),"Covered","GAP")</f>
        <v>Covered</v>
      </c>
    </row>
    <row r="102" customFormat="false" ht="23.85" hidden="false" customHeight="false" outlineLevel="0" collapsed="false">
      <c r="A102" s="11" t="s">
        <v>442</v>
      </c>
      <c r="B102" s="11" t="s">
        <v>50</v>
      </c>
      <c r="C102" s="11" t="s">
        <v>443</v>
      </c>
      <c r="D102" s="11" t="s">
        <v>444</v>
      </c>
      <c r="E102" s="11" t="s">
        <v>445</v>
      </c>
      <c r="F102" s="11" t="s">
        <v>393</v>
      </c>
      <c r="G102" s="12" t="n">
        <f aca="false">COUNTIF('Use cases'!$C$2:$C$6000,A102)</f>
        <v>23</v>
      </c>
      <c r="H102" s="12" t="n">
        <f aca="false">COUNTIFS('Use cases'!$C$2:$C$6000,A102,'Use cases'!$H$2:$H$6000,"")</f>
        <v>19</v>
      </c>
      <c r="I102" s="12" t="n">
        <f aca="false">G102-H102</f>
        <v>4</v>
      </c>
      <c r="J102" s="12" t="n">
        <f aca="false">COUNTIFS('Use cases'!$C$2:$C$6000,A102,'Use cases'!$E$2:$E$6000,"Pay")</f>
        <v>1</v>
      </c>
      <c r="K102" s="12" t="n">
        <f aca="false">COUNTIFS('Use cases'!$C$2:$C$6000,A102,'Use cases'!$K$2:$K$6000,"*Handoff*")</f>
        <v>4</v>
      </c>
      <c r="L102" s="12" t="n">
        <f aca="false">COUNTIFS('Use cases'!$C$2:$C$6000,A102,'Use cases'!$I$2:$I$6000,"(Gratifi starts it)*")</f>
        <v>1</v>
      </c>
      <c r="M102" s="12" t="n">
        <f aca="false">COUNTIFS('Use cases'!$C$2:$C$6000,A102,'Use cases'!$K$2:$K$6000,"*NEW:*")</f>
        <v>15</v>
      </c>
      <c r="N102" s="13" t="str">
        <f aca="false">IF(AND(G102&gt;=6,H102&gt;=2,I102&gt;=2),"Covered","GAP")</f>
        <v>Covered</v>
      </c>
    </row>
    <row r="103" customFormat="false" ht="23.85" hidden="false" customHeight="false" outlineLevel="0" collapsed="false">
      <c r="A103" s="11" t="s">
        <v>446</v>
      </c>
      <c r="B103" s="11" t="s">
        <v>50</v>
      </c>
      <c r="C103" s="11" t="s">
        <v>447</v>
      </c>
      <c r="D103" s="11" t="s">
        <v>448</v>
      </c>
      <c r="E103" s="11" t="s">
        <v>445</v>
      </c>
      <c r="F103" s="11" t="s">
        <v>119</v>
      </c>
      <c r="G103" s="12" t="n">
        <f aca="false">COUNTIF('Use cases'!$C$2:$C$6000,A103)</f>
        <v>18</v>
      </c>
      <c r="H103" s="12" t="n">
        <f aca="false">COUNTIFS('Use cases'!$C$2:$C$6000,A103,'Use cases'!$H$2:$H$6000,"")</f>
        <v>13</v>
      </c>
      <c r="I103" s="12" t="n">
        <f aca="false">G103-H103</f>
        <v>5</v>
      </c>
      <c r="J103" s="12" t="n">
        <f aca="false">COUNTIFS('Use cases'!$C$2:$C$6000,A103,'Use cases'!$E$2:$E$6000,"Pay")</f>
        <v>1</v>
      </c>
      <c r="K103" s="12" t="n">
        <f aca="false">COUNTIFS('Use cases'!$C$2:$C$6000,A103,'Use cases'!$K$2:$K$6000,"*Handoff*")</f>
        <v>2</v>
      </c>
      <c r="L103" s="12" t="n">
        <f aca="false">COUNTIFS('Use cases'!$C$2:$C$6000,A103,'Use cases'!$I$2:$I$6000,"(Gratifi starts it)*")</f>
        <v>3</v>
      </c>
      <c r="M103" s="12" t="n">
        <f aca="false">COUNTIFS('Use cases'!$C$2:$C$6000,A103,'Use cases'!$K$2:$K$6000,"*NEW:*")</f>
        <v>16</v>
      </c>
      <c r="N103" s="13" t="str">
        <f aca="false">IF(AND(G103&gt;=6,H103&gt;=2,I103&gt;=2),"Covered","GAP")</f>
        <v>Covered</v>
      </c>
    </row>
    <row r="104" customFormat="false" ht="23.85" hidden="false" customHeight="false" outlineLevel="0" collapsed="false">
      <c r="A104" s="11" t="s">
        <v>449</v>
      </c>
      <c r="B104" s="11" t="s">
        <v>50</v>
      </c>
      <c r="C104" s="11" t="s">
        <v>450</v>
      </c>
      <c r="D104" s="11" t="s">
        <v>451</v>
      </c>
      <c r="E104" s="11" t="s">
        <v>370</v>
      </c>
      <c r="F104" s="11" t="s">
        <v>119</v>
      </c>
      <c r="G104" s="12" t="n">
        <f aca="false">COUNTIF('Use cases'!$C$2:$C$6000,A104)</f>
        <v>21</v>
      </c>
      <c r="H104" s="12" t="n">
        <f aca="false">COUNTIFS('Use cases'!$C$2:$C$6000,A104,'Use cases'!$H$2:$H$6000,"")</f>
        <v>17</v>
      </c>
      <c r="I104" s="12" t="n">
        <f aca="false">G104-H104</f>
        <v>4</v>
      </c>
      <c r="J104" s="12" t="n">
        <f aca="false">COUNTIFS('Use cases'!$C$2:$C$6000,A104,'Use cases'!$E$2:$E$6000,"Pay")</f>
        <v>2</v>
      </c>
      <c r="K104" s="12" t="n">
        <f aca="false">COUNTIFS('Use cases'!$C$2:$C$6000,A104,'Use cases'!$K$2:$K$6000,"*Handoff*")</f>
        <v>2</v>
      </c>
      <c r="L104" s="12" t="n">
        <f aca="false">COUNTIFS('Use cases'!$C$2:$C$6000,A104,'Use cases'!$I$2:$I$6000,"(Gratifi starts it)*")</f>
        <v>1</v>
      </c>
      <c r="M104" s="12" t="n">
        <f aca="false">COUNTIFS('Use cases'!$C$2:$C$6000,A104,'Use cases'!$K$2:$K$6000,"*NEW:*")</f>
        <v>4</v>
      </c>
      <c r="N104" s="13" t="str">
        <f aca="false">IF(AND(G104&gt;=6,H104&gt;=2,I104&gt;=2),"Covered","GAP")</f>
        <v>Covered</v>
      </c>
    </row>
    <row r="105" customFormat="false" ht="23.85" hidden="false" customHeight="false" outlineLevel="0" collapsed="false">
      <c r="A105" s="11" t="s">
        <v>452</v>
      </c>
      <c r="B105" s="11" t="s">
        <v>50</v>
      </c>
      <c r="C105" s="11" t="s">
        <v>453</v>
      </c>
      <c r="D105" s="11" t="s">
        <v>454</v>
      </c>
      <c r="E105" s="11" t="s">
        <v>281</v>
      </c>
      <c r="F105" s="11" t="s">
        <v>302</v>
      </c>
      <c r="G105" s="12" t="n">
        <f aca="false">COUNTIF('Use cases'!$C$2:$C$6000,A105)</f>
        <v>16</v>
      </c>
      <c r="H105" s="12" t="n">
        <f aca="false">COUNTIFS('Use cases'!$C$2:$C$6000,A105,'Use cases'!$H$2:$H$6000,"")</f>
        <v>11</v>
      </c>
      <c r="I105" s="12" t="n">
        <f aca="false">G105-H105</f>
        <v>5</v>
      </c>
      <c r="J105" s="12" t="n">
        <f aca="false">COUNTIFS('Use cases'!$C$2:$C$6000,A105,'Use cases'!$E$2:$E$6000,"Pay")</f>
        <v>1</v>
      </c>
      <c r="K105" s="12" t="n">
        <f aca="false">COUNTIFS('Use cases'!$C$2:$C$6000,A105,'Use cases'!$K$2:$K$6000,"*Handoff*")</f>
        <v>4</v>
      </c>
      <c r="L105" s="12" t="n">
        <f aca="false">COUNTIFS('Use cases'!$C$2:$C$6000,A105,'Use cases'!$I$2:$I$6000,"(Gratifi starts it)*")</f>
        <v>2</v>
      </c>
      <c r="M105" s="12" t="n">
        <f aca="false">COUNTIFS('Use cases'!$C$2:$C$6000,A105,'Use cases'!$K$2:$K$6000,"*NEW:*")</f>
        <v>8</v>
      </c>
      <c r="N105" s="13" t="str">
        <f aca="false">IF(AND(G105&gt;=6,H105&gt;=2,I105&gt;=2),"Covered","GAP")</f>
        <v>Covered</v>
      </c>
    </row>
    <row r="106" customFormat="false" ht="23.85" hidden="false" customHeight="false" outlineLevel="0" collapsed="false">
      <c r="A106" s="11" t="s">
        <v>455</v>
      </c>
      <c r="B106" s="11" t="s">
        <v>50</v>
      </c>
      <c r="C106" s="11" t="s">
        <v>456</v>
      </c>
      <c r="D106" s="11" t="s">
        <v>457</v>
      </c>
      <c r="E106" s="11" t="s">
        <v>370</v>
      </c>
      <c r="F106" s="11" t="s">
        <v>119</v>
      </c>
      <c r="G106" s="12" t="n">
        <f aca="false">COUNTIF('Use cases'!$C$2:$C$6000,A106)</f>
        <v>22</v>
      </c>
      <c r="H106" s="12" t="n">
        <f aca="false">COUNTIFS('Use cases'!$C$2:$C$6000,A106,'Use cases'!$H$2:$H$6000,"")</f>
        <v>18</v>
      </c>
      <c r="I106" s="12" t="n">
        <f aca="false">G106-H106</f>
        <v>4</v>
      </c>
      <c r="J106" s="12" t="n">
        <f aca="false">COUNTIFS('Use cases'!$C$2:$C$6000,A106,'Use cases'!$E$2:$E$6000,"Pay")</f>
        <v>0</v>
      </c>
      <c r="K106" s="12" t="n">
        <f aca="false">COUNTIFS('Use cases'!$C$2:$C$6000,A106,'Use cases'!$K$2:$K$6000,"*Handoff*")</f>
        <v>4</v>
      </c>
      <c r="L106" s="12" t="n">
        <f aca="false">COUNTIFS('Use cases'!$C$2:$C$6000,A106,'Use cases'!$I$2:$I$6000,"(Gratifi starts it)*")</f>
        <v>1</v>
      </c>
      <c r="M106" s="12" t="n">
        <f aca="false">COUNTIFS('Use cases'!$C$2:$C$6000,A106,'Use cases'!$K$2:$K$6000,"*NEW:*")</f>
        <v>4</v>
      </c>
      <c r="N106" s="13" t="str">
        <f aca="false">IF(AND(G106&gt;=6,H106&gt;=2,I106&gt;=2),"Covered","GAP")</f>
        <v>Covered</v>
      </c>
    </row>
    <row r="108" customFormat="false" ht="15" hidden="false" customHeight="false" outlineLevel="0" collapsed="false">
      <c r="A108" s="4" t="s">
        <v>458</v>
      </c>
    </row>
  </sheetData>
  <autoFilter ref="A1:N106"/>
  <conditionalFormatting sqref="N2:N156">
    <cfRule type="cellIs" priority="2" operator="equal" aboveAverage="0" equalAverage="0" bottom="0" percent="0" rank="0" text="" dxfId="7">
      <formula>"GAP"</formula>
    </cfRule>
    <cfRule type="cellIs" priority="3" operator="equal" aboveAverage="0" equalAverage="0" bottom="0" percent="0" rank="0" text="" dxfId="8">
      <formula>"Covered"</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S231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12"/>
    <col collapsed="false" customWidth="true" hidden="false" outlineLevel="0" max="2" min="2" style="0" width="20"/>
    <col collapsed="false" customWidth="true" hidden="false" outlineLevel="0" max="3" min="3" style="0" width="8"/>
    <col collapsed="false" customWidth="true" hidden="false" outlineLevel="0" max="4" min="4" style="0" width="24"/>
    <col collapsed="false" customWidth="true" hidden="false" outlineLevel="0" max="5" min="5" style="0" width="10"/>
    <col collapsed="false" customWidth="true" hidden="false" outlineLevel="0" max="6" min="6" style="0" width="24"/>
    <col collapsed="false" customWidth="true" hidden="false" outlineLevel="0" max="8" min="7" style="0" width="18"/>
    <col collapsed="false" customWidth="true" hidden="false" outlineLevel="0" max="9" min="9" style="0" width="34"/>
    <col collapsed="false" customWidth="true" hidden="false" outlineLevel="0" max="10" min="10" style="0" width="40"/>
    <col collapsed="false" customWidth="true" hidden="false" outlineLevel="0" max="11" min="11" style="0" width="30"/>
    <col collapsed="false" customWidth="true" hidden="false" outlineLevel="0" max="12" min="12" style="0" width="34"/>
    <col collapsed="false" customWidth="true" hidden="false" outlineLevel="0" max="13" min="13" style="0" width="40"/>
    <col collapsed="false" customWidth="true" hidden="false" outlineLevel="0" max="17" min="14" style="0" width="8"/>
    <col collapsed="false" customWidth="true" hidden="false" outlineLevel="0" max="18" min="18" style="0" width="9"/>
    <col collapsed="false" customWidth="true" hidden="false" outlineLevel="0" max="19" min="19" style="0" width="7"/>
  </cols>
  <sheetData>
    <row r="1" customFormat="false" ht="23.85" hidden="false" customHeight="false" outlineLevel="0" collapsed="false">
      <c r="A1" s="10" t="s">
        <v>459</v>
      </c>
      <c r="B1" s="10" t="s">
        <v>25</v>
      </c>
      <c r="C1" s="10" t="s">
        <v>53</v>
      </c>
      <c r="D1" s="10" t="s">
        <v>54</v>
      </c>
      <c r="E1" s="10" t="s">
        <v>460</v>
      </c>
      <c r="F1" s="10" t="s">
        <v>461</v>
      </c>
      <c r="G1" s="10" t="s">
        <v>462</v>
      </c>
      <c r="H1" s="10" t="s">
        <v>463</v>
      </c>
      <c r="I1" s="10" t="s">
        <v>464</v>
      </c>
      <c r="J1" s="10" t="s">
        <v>465</v>
      </c>
      <c r="K1" s="10" t="s">
        <v>466</v>
      </c>
      <c r="L1" s="10" t="s">
        <v>467</v>
      </c>
      <c r="M1" s="10" t="s">
        <v>468</v>
      </c>
      <c r="N1" s="10" t="s">
        <v>469</v>
      </c>
      <c r="O1" s="10" t="s">
        <v>470</v>
      </c>
      <c r="P1" s="10" t="s">
        <v>471</v>
      </c>
      <c r="Q1" s="10" t="s">
        <v>472</v>
      </c>
      <c r="R1" s="10" t="s">
        <v>473</v>
      </c>
      <c r="S1" s="10" t="s">
        <v>474</v>
      </c>
    </row>
    <row r="2" customFormat="false" ht="23.85" hidden="false" customHeight="false" outlineLevel="0" collapsed="false">
      <c r="A2" s="11" t="s">
        <v>475</v>
      </c>
      <c r="B2" s="11" t="s">
        <v>32</v>
      </c>
      <c r="C2" s="11" t="s">
        <v>65</v>
      </c>
      <c r="D2" s="11" t="s">
        <v>66</v>
      </c>
      <c r="E2" s="11" t="s">
        <v>476</v>
      </c>
      <c r="F2" s="11" t="s">
        <v>477</v>
      </c>
      <c r="G2" s="11" t="s">
        <v>478</v>
      </c>
      <c r="H2" s="11"/>
      <c r="I2" s="11" t="s">
        <v>479</v>
      </c>
      <c r="J2" s="11" t="s">
        <v>480</v>
      </c>
      <c r="K2" s="11" t="s">
        <v>481</v>
      </c>
      <c r="L2" s="11" t="s">
        <v>482</v>
      </c>
      <c r="M2" s="11"/>
      <c r="N2" s="14" t="n">
        <v>4</v>
      </c>
      <c r="O2" s="14" t="n">
        <v>3</v>
      </c>
      <c r="P2" s="14" t="n">
        <v>1</v>
      </c>
      <c r="Q2" s="14"/>
      <c r="R2" s="12" t="n">
        <f aca="false">IF(OR(N2="",P2=""),"",ROUND(N2*O2/P2,1))</f>
        <v>12</v>
      </c>
      <c r="S2" s="13" t="n">
        <f aca="false">IF(R2="","",IF(Q2="Y",1,IF(P2&gt;='Read me'!$B$16,3,IF(AND(R2&gt;='Read me'!$B$14,P2&lt;='Read me'!$B$15),1,2))))</f>
        <v>1</v>
      </c>
    </row>
    <row r="3" customFormat="false" ht="35.05" hidden="false" customHeight="false" outlineLevel="0" collapsed="false">
      <c r="A3" s="11" t="s">
        <v>483</v>
      </c>
      <c r="B3" s="11" t="s">
        <v>32</v>
      </c>
      <c r="C3" s="11" t="s">
        <v>65</v>
      </c>
      <c r="D3" s="11" t="s">
        <v>66</v>
      </c>
      <c r="E3" s="11" t="s">
        <v>476</v>
      </c>
      <c r="F3" s="11" t="s">
        <v>477</v>
      </c>
      <c r="G3" s="11" t="s">
        <v>484</v>
      </c>
      <c r="H3" s="11"/>
      <c r="I3" s="11" t="s">
        <v>485</v>
      </c>
      <c r="J3" s="11" t="s">
        <v>486</v>
      </c>
      <c r="K3" s="11" t="s">
        <v>487</v>
      </c>
      <c r="L3" s="11" t="s">
        <v>488</v>
      </c>
      <c r="M3" s="11" t="s">
        <v>489</v>
      </c>
      <c r="N3" s="14" t="n">
        <v>4</v>
      </c>
      <c r="O3" s="14" t="n">
        <v>3</v>
      </c>
      <c r="P3" s="14" t="n">
        <v>1</v>
      </c>
      <c r="Q3" s="14"/>
      <c r="R3" s="12" t="n">
        <f aca="false">IF(OR(N3="",P3=""),"",ROUND(N3*O3/P3,1))</f>
        <v>12</v>
      </c>
      <c r="S3" s="13" t="n">
        <f aca="false">IF(R3="","",IF(Q3="Y",1,IF(P3&gt;='Read me'!$B$16,3,IF(AND(R3&gt;='Read me'!$B$14,P3&lt;='Read me'!$B$15),1,2))))</f>
        <v>1</v>
      </c>
    </row>
    <row r="4" customFormat="false" ht="15" hidden="false" customHeight="false" outlineLevel="0" collapsed="false">
      <c r="A4" s="11" t="s">
        <v>490</v>
      </c>
      <c r="B4" s="11" t="s">
        <v>32</v>
      </c>
      <c r="C4" s="11" t="s">
        <v>65</v>
      </c>
      <c r="D4" s="11" t="s">
        <v>66</v>
      </c>
      <c r="E4" s="11" t="s">
        <v>476</v>
      </c>
      <c r="F4" s="11" t="s">
        <v>477</v>
      </c>
      <c r="G4" s="11" t="s">
        <v>491</v>
      </c>
      <c r="H4" s="11"/>
      <c r="I4" s="11" t="s">
        <v>492</v>
      </c>
      <c r="J4" s="11" t="s">
        <v>493</v>
      </c>
      <c r="K4" s="11" t="s">
        <v>494</v>
      </c>
      <c r="L4" s="11" t="s">
        <v>495</v>
      </c>
      <c r="M4" s="11"/>
      <c r="N4" s="14" t="n">
        <v>4</v>
      </c>
      <c r="O4" s="14" t="n">
        <v>4</v>
      </c>
      <c r="P4" s="14" t="n">
        <v>1</v>
      </c>
      <c r="Q4" s="14"/>
      <c r="R4" s="12" t="n">
        <f aca="false">IF(OR(N4="",P4=""),"",ROUND(N4*O4/P4,1))</f>
        <v>16</v>
      </c>
      <c r="S4" s="13" t="n">
        <f aca="false">IF(R4="","",IF(Q4="Y",1,IF(P4&gt;='Read me'!$B$16,3,IF(AND(R4&gt;='Read me'!$B$14,P4&lt;='Read me'!$B$15),1,2))))</f>
        <v>1</v>
      </c>
    </row>
    <row r="5" customFormat="false" ht="23.85" hidden="false" customHeight="false" outlineLevel="0" collapsed="false">
      <c r="A5" s="11" t="s">
        <v>496</v>
      </c>
      <c r="B5" s="11" t="s">
        <v>32</v>
      </c>
      <c r="C5" s="11" t="s">
        <v>65</v>
      </c>
      <c r="D5" s="11" t="s">
        <v>66</v>
      </c>
      <c r="E5" s="11" t="s">
        <v>476</v>
      </c>
      <c r="F5" s="11" t="s">
        <v>477</v>
      </c>
      <c r="G5" s="11" t="s">
        <v>497</v>
      </c>
      <c r="H5" s="11"/>
      <c r="I5" s="11" t="s">
        <v>498</v>
      </c>
      <c r="J5" s="11" t="s">
        <v>499</v>
      </c>
      <c r="K5" s="11" t="s">
        <v>500</v>
      </c>
      <c r="L5" s="11" t="s">
        <v>501</v>
      </c>
      <c r="M5" s="11"/>
      <c r="N5" s="14" t="n">
        <v>3</v>
      </c>
      <c r="O5" s="14" t="n">
        <v>3</v>
      </c>
      <c r="P5" s="14" t="n">
        <v>1</v>
      </c>
      <c r="Q5" s="14"/>
      <c r="R5" s="12" t="n">
        <f aca="false">IF(OR(N5="",P5=""),"",ROUND(N5*O5/P5,1))</f>
        <v>9</v>
      </c>
      <c r="S5" s="13" t="n">
        <f aca="false">IF(R5="","",IF(Q5="Y",1,IF(P5&gt;='Read me'!$B$16,3,IF(AND(R5&gt;='Read me'!$B$14,P5&lt;='Read me'!$B$15),1,2))))</f>
        <v>1</v>
      </c>
    </row>
    <row r="6" customFormat="false" ht="23.85" hidden="false" customHeight="false" outlineLevel="0" collapsed="false">
      <c r="A6" s="11" t="s">
        <v>502</v>
      </c>
      <c r="B6" s="11" t="s">
        <v>32</v>
      </c>
      <c r="C6" s="11" t="s">
        <v>65</v>
      </c>
      <c r="D6" s="11" t="s">
        <v>66</v>
      </c>
      <c r="E6" s="11" t="s">
        <v>476</v>
      </c>
      <c r="F6" s="11" t="s">
        <v>503</v>
      </c>
      <c r="G6" s="11" t="s">
        <v>504</v>
      </c>
      <c r="H6" s="11"/>
      <c r="I6" s="11" t="s">
        <v>505</v>
      </c>
      <c r="J6" s="11" t="s">
        <v>506</v>
      </c>
      <c r="K6" s="11" t="s">
        <v>507</v>
      </c>
      <c r="L6" s="11" t="s">
        <v>508</v>
      </c>
      <c r="M6" s="11"/>
      <c r="N6" s="14" t="n">
        <v>3</v>
      </c>
      <c r="O6" s="14" t="n">
        <v>2</v>
      </c>
      <c r="P6" s="14" t="n">
        <v>1</v>
      </c>
      <c r="Q6" s="14"/>
      <c r="R6" s="12" t="n">
        <f aca="false">IF(OR(N6="",P6=""),"",ROUND(N6*O6/P6,1))</f>
        <v>6</v>
      </c>
      <c r="S6" s="13" t="n">
        <f aca="false">IF(R6="","",IF(Q6="Y",1,IF(P6&gt;='Read me'!$B$16,3,IF(AND(R6&gt;='Read me'!$B$14,P6&lt;='Read me'!$B$15),1,2))))</f>
        <v>1</v>
      </c>
    </row>
    <row r="7" customFormat="false" ht="35.05" hidden="false" customHeight="false" outlineLevel="0" collapsed="false">
      <c r="A7" s="11" t="s">
        <v>509</v>
      </c>
      <c r="B7" s="11" t="s">
        <v>32</v>
      </c>
      <c r="C7" s="11" t="s">
        <v>65</v>
      </c>
      <c r="D7" s="11" t="s">
        <v>66</v>
      </c>
      <c r="E7" s="11" t="s">
        <v>476</v>
      </c>
      <c r="F7" s="11" t="s">
        <v>510</v>
      </c>
      <c r="G7" s="11" t="s">
        <v>511</v>
      </c>
      <c r="H7" s="11"/>
      <c r="I7" s="11" t="s">
        <v>512</v>
      </c>
      <c r="J7" s="11" t="s">
        <v>513</v>
      </c>
      <c r="K7" s="11" t="s">
        <v>514</v>
      </c>
      <c r="L7" s="11" t="s">
        <v>515</v>
      </c>
      <c r="M7" s="11" t="s">
        <v>516</v>
      </c>
      <c r="N7" s="14" t="n">
        <v>3</v>
      </c>
      <c r="O7" s="14" t="n">
        <v>4</v>
      </c>
      <c r="P7" s="14" t="n">
        <v>2</v>
      </c>
      <c r="Q7" s="14"/>
      <c r="R7" s="12" t="n">
        <f aca="false">IF(OR(N7="",P7=""),"",ROUND(N7*O7/P7,1))</f>
        <v>6</v>
      </c>
      <c r="S7" s="13" t="n">
        <f aca="false">IF(R7="","",IF(Q7="Y",1,IF(P7&gt;='Read me'!$B$16,3,IF(AND(R7&gt;='Read me'!$B$14,P7&lt;='Read me'!$B$15),1,2))))</f>
        <v>1</v>
      </c>
    </row>
    <row r="8" customFormat="false" ht="15" hidden="false" customHeight="false" outlineLevel="0" collapsed="false">
      <c r="A8" s="11" t="s">
        <v>517</v>
      </c>
      <c r="B8" s="11" t="s">
        <v>32</v>
      </c>
      <c r="C8" s="11" t="s">
        <v>65</v>
      </c>
      <c r="D8" s="11" t="s">
        <v>66</v>
      </c>
      <c r="E8" s="11" t="s">
        <v>476</v>
      </c>
      <c r="F8" s="11" t="s">
        <v>518</v>
      </c>
      <c r="G8" s="11" t="s">
        <v>519</v>
      </c>
      <c r="H8" s="11"/>
      <c r="I8" s="11" t="s">
        <v>520</v>
      </c>
      <c r="J8" s="11" t="s">
        <v>521</v>
      </c>
      <c r="K8" s="11" t="s">
        <v>522</v>
      </c>
      <c r="L8" s="11" t="s">
        <v>523</v>
      </c>
      <c r="M8" s="11"/>
      <c r="N8" s="14" t="n">
        <v>2</v>
      </c>
      <c r="O8" s="14" t="n">
        <v>3</v>
      </c>
      <c r="P8" s="14" t="n">
        <v>1</v>
      </c>
      <c r="Q8" s="14"/>
      <c r="R8" s="12" t="n">
        <f aca="false">IF(OR(N8="",P8=""),"",ROUND(N8*O8/P8,1))</f>
        <v>6</v>
      </c>
      <c r="S8" s="13" t="n">
        <f aca="false">IF(R8="","",IF(Q8="Y",1,IF(P8&gt;='Read me'!$B$16,3,IF(AND(R8&gt;='Read me'!$B$14,P8&lt;='Read me'!$B$15),1,2))))</f>
        <v>1</v>
      </c>
    </row>
    <row r="9" customFormat="false" ht="15" hidden="false" customHeight="false" outlineLevel="0" collapsed="false">
      <c r="A9" s="11" t="s">
        <v>524</v>
      </c>
      <c r="B9" s="11" t="s">
        <v>32</v>
      </c>
      <c r="C9" s="11" t="s">
        <v>65</v>
      </c>
      <c r="D9" s="11" t="s">
        <v>66</v>
      </c>
      <c r="E9" s="11" t="s">
        <v>476</v>
      </c>
      <c r="F9" s="11" t="s">
        <v>525</v>
      </c>
      <c r="G9" s="11" t="s">
        <v>526</v>
      </c>
      <c r="H9" s="11"/>
      <c r="I9" s="11" t="s">
        <v>527</v>
      </c>
      <c r="J9" s="11" t="s">
        <v>528</v>
      </c>
      <c r="K9" s="11" t="s">
        <v>529</v>
      </c>
      <c r="L9" s="11" t="s">
        <v>530</v>
      </c>
      <c r="M9" s="11"/>
      <c r="N9" s="14" t="n">
        <v>2</v>
      </c>
      <c r="O9" s="14" t="n">
        <v>3</v>
      </c>
      <c r="P9" s="14" t="n">
        <v>1</v>
      </c>
      <c r="Q9" s="14"/>
      <c r="R9" s="12" t="n">
        <f aca="false">IF(OR(N9="",P9=""),"",ROUND(N9*O9/P9,1))</f>
        <v>6</v>
      </c>
      <c r="S9" s="13" t="n">
        <f aca="false">IF(R9="","",IF(Q9="Y",1,IF(P9&gt;='Read me'!$B$16,3,IF(AND(R9&gt;='Read me'!$B$14,P9&lt;='Read me'!$B$15),1,2))))</f>
        <v>1</v>
      </c>
    </row>
    <row r="10" customFormat="false" ht="23.85" hidden="false" customHeight="false" outlineLevel="0" collapsed="false">
      <c r="A10" s="11" t="s">
        <v>531</v>
      </c>
      <c r="B10" s="11" t="s">
        <v>32</v>
      </c>
      <c r="C10" s="11" t="s">
        <v>65</v>
      </c>
      <c r="D10" s="11" t="s">
        <v>66</v>
      </c>
      <c r="E10" s="11" t="s">
        <v>532</v>
      </c>
      <c r="F10" s="11" t="s">
        <v>533</v>
      </c>
      <c r="G10" s="11" t="s">
        <v>484</v>
      </c>
      <c r="H10" s="11"/>
      <c r="I10" s="11" t="s">
        <v>534</v>
      </c>
      <c r="J10" s="11" t="s">
        <v>535</v>
      </c>
      <c r="K10" s="11" t="s">
        <v>536</v>
      </c>
      <c r="L10" s="11" t="s">
        <v>537</v>
      </c>
      <c r="M10" s="11"/>
      <c r="N10" s="14" t="n">
        <v>5</v>
      </c>
      <c r="O10" s="14" t="n">
        <v>5</v>
      </c>
      <c r="P10" s="14" t="n">
        <v>2</v>
      </c>
      <c r="Q10" s="14" t="s">
        <v>538</v>
      </c>
      <c r="R10" s="12" t="n">
        <f aca="false">IF(OR(N10="",P10=""),"",ROUND(N10*O10/P10,1))</f>
        <v>12.5</v>
      </c>
      <c r="S10" s="13" t="n">
        <f aca="false">IF(R10="","",IF(Q10="Y",1,IF(P10&gt;='Read me'!$B$16,3,IF(AND(R10&gt;='Read me'!$B$14,P10&lt;='Read me'!$B$15),1,2))))</f>
        <v>1</v>
      </c>
    </row>
    <row r="11" customFormat="false" ht="23.85" hidden="false" customHeight="false" outlineLevel="0" collapsed="false">
      <c r="A11" s="11" t="s">
        <v>539</v>
      </c>
      <c r="B11" s="11" t="s">
        <v>32</v>
      </c>
      <c r="C11" s="11" t="s">
        <v>65</v>
      </c>
      <c r="D11" s="11" t="s">
        <v>66</v>
      </c>
      <c r="E11" s="11" t="s">
        <v>532</v>
      </c>
      <c r="F11" s="11" t="s">
        <v>533</v>
      </c>
      <c r="G11" s="11" t="s">
        <v>540</v>
      </c>
      <c r="H11" s="11"/>
      <c r="I11" s="11" t="s">
        <v>541</v>
      </c>
      <c r="J11" s="11" t="s">
        <v>542</v>
      </c>
      <c r="K11" s="11" t="s">
        <v>543</v>
      </c>
      <c r="L11" s="11" t="s">
        <v>544</v>
      </c>
      <c r="M11" s="11" t="s">
        <v>545</v>
      </c>
      <c r="N11" s="14" t="n">
        <v>5</v>
      </c>
      <c r="O11" s="14" t="n">
        <v>4</v>
      </c>
      <c r="P11" s="14" t="n">
        <v>2</v>
      </c>
      <c r="Q11" s="14" t="s">
        <v>538</v>
      </c>
      <c r="R11" s="12" t="n">
        <f aca="false">IF(OR(N11="",P11=""),"",ROUND(N11*O11/P11,1))</f>
        <v>10</v>
      </c>
      <c r="S11" s="13" t="n">
        <f aca="false">IF(R11="","",IF(Q11="Y",1,IF(P11&gt;='Read me'!$B$16,3,IF(AND(R11&gt;='Read me'!$B$14,P11&lt;='Read me'!$B$15),1,2))))</f>
        <v>1</v>
      </c>
    </row>
    <row r="12" customFormat="false" ht="15" hidden="false" customHeight="false" outlineLevel="0" collapsed="false">
      <c r="A12" s="11" t="s">
        <v>546</v>
      </c>
      <c r="B12" s="11" t="s">
        <v>32</v>
      </c>
      <c r="C12" s="11" t="s">
        <v>65</v>
      </c>
      <c r="D12" s="11" t="s">
        <v>66</v>
      </c>
      <c r="E12" s="11" t="s">
        <v>532</v>
      </c>
      <c r="F12" s="11" t="s">
        <v>547</v>
      </c>
      <c r="G12" s="11" t="s">
        <v>484</v>
      </c>
      <c r="H12" s="11"/>
      <c r="I12" s="11" t="s">
        <v>548</v>
      </c>
      <c r="J12" s="11" t="s">
        <v>549</v>
      </c>
      <c r="K12" s="11" t="s">
        <v>550</v>
      </c>
      <c r="L12" s="11"/>
      <c r="M12" s="11"/>
      <c r="N12" s="14" t="n">
        <v>4</v>
      </c>
      <c r="O12" s="14" t="n">
        <v>4</v>
      </c>
      <c r="P12" s="14" t="n">
        <v>1</v>
      </c>
      <c r="Q12" s="14"/>
      <c r="R12" s="12" t="n">
        <f aca="false">IF(OR(N12="",P12=""),"",ROUND(N12*O12/P12,1))</f>
        <v>16</v>
      </c>
      <c r="S12" s="13" t="n">
        <f aca="false">IF(R12="","",IF(Q12="Y",1,IF(P12&gt;='Read me'!$B$16,3,IF(AND(R12&gt;='Read me'!$B$14,P12&lt;='Read me'!$B$15),1,2))))</f>
        <v>1</v>
      </c>
    </row>
    <row r="13" customFormat="false" ht="15" hidden="false" customHeight="false" outlineLevel="0" collapsed="false">
      <c r="A13" s="11" t="s">
        <v>551</v>
      </c>
      <c r="B13" s="11" t="s">
        <v>32</v>
      </c>
      <c r="C13" s="11" t="s">
        <v>65</v>
      </c>
      <c r="D13" s="11" t="s">
        <v>66</v>
      </c>
      <c r="E13" s="11" t="s">
        <v>532</v>
      </c>
      <c r="F13" s="11" t="s">
        <v>552</v>
      </c>
      <c r="G13" s="11" t="s">
        <v>553</v>
      </c>
      <c r="H13" s="11"/>
      <c r="I13" s="11" t="s">
        <v>554</v>
      </c>
      <c r="J13" s="11" t="s">
        <v>555</v>
      </c>
      <c r="K13" s="11" t="s">
        <v>556</v>
      </c>
      <c r="L13" s="11"/>
      <c r="M13" s="11"/>
      <c r="N13" s="14" t="n">
        <v>5</v>
      </c>
      <c r="O13" s="14" t="n">
        <v>3</v>
      </c>
      <c r="P13" s="14" t="n">
        <v>1</v>
      </c>
      <c r="Q13" s="14"/>
      <c r="R13" s="12" t="n">
        <f aca="false">IF(OR(N13="",P13=""),"",ROUND(N13*O13/P13,1))</f>
        <v>15</v>
      </c>
      <c r="S13" s="13" t="n">
        <f aca="false">IF(R13="","",IF(Q13="Y",1,IF(P13&gt;='Read me'!$B$16,3,IF(AND(R13&gt;='Read me'!$B$14,P13&lt;='Read me'!$B$15),1,2))))</f>
        <v>1</v>
      </c>
    </row>
    <row r="14" customFormat="false" ht="15" hidden="false" customHeight="false" outlineLevel="0" collapsed="false">
      <c r="A14" s="11" t="s">
        <v>557</v>
      </c>
      <c r="B14" s="11" t="s">
        <v>32</v>
      </c>
      <c r="C14" s="11" t="s">
        <v>65</v>
      </c>
      <c r="D14" s="11" t="s">
        <v>66</v>
      </c>
      <c r="E14" s="11" t="s">
        <v>532</v>
      </c>
      <c r="F14" s="11" t="s">
        <v>552</v>
      </c>
      <c r="G14" s="11" t="s">
        <v>558</v>
      </c>
      <c r="H14" s="11"/>
      <c r="I14" s="11" t="s">
        <v>559</v>
      </c>
      <c r="J14" s="11" t="s">
        <v>560</v>
      </c>
      <c r="K14" s="11" t="s">
        <v>561</v>
      </c>
      <c r="L14" s="11"/>
      <c r="M14" s="11"/>
      <c r="N14" s="14" t="n">
        <v>4</v>
      </c>
      <c r="O14" s="14" t="n">
        <v>3</v>
      </c>
      <c r="P14" s="14" t="n">
        <v>1</v>
      </c>
      <c r="Q14" s="14"/>
      <c r="R14" s="12" t="n">
        <f aca="false">IF(OR(N14="",P14=""),"",ROUND(N14*O14/P14,1))</f>
        <v>12</v>
      </c>
      <c r="S14" s="13" t="n">
        <f aca="false">IF(R14="","",IF(Q14="Y",1,IF(P14&gt;='Read me'!$B$16,3,IF(AND(R14&gt;='Read me'!$B$14,P14&lt;='Read me'!$B$15),1,2))))</f>
        <v>1</v>
      </c>
    </row>
    <row r="15" customFormat="false" ht="23.85" hidden="false" customHeight="false" outlineLevel="0" collapsed="false">
      <c r="A15" s="11" t="s">
        <v>562</v>
      </c>
      <c r="B15" s="11" t="s">
        <v>32</v>
      </c>
      <c r="C15" s="11" t="s">
        <v>65</v>
      </c>
      <c r="D15" s="11" t="s">
        <v>66</v>
      </c>
      <c r="E15" s="11" t="s">
        <v>532</v>
      </c>
      <c r="F15" s="11" t="s">
        <v>552</v>
      </c>
      <c r="G15" s="11" t="s">
        <v>563</v>
      </c>
      <c r="H15" s="11"/>
      <c r="I15" s="11" t="s">
        <v>564</v>
      </c>
      <c r="J15" s="11" t="s">
        <v>565</v>
      </c>
      <c r="K15" s="11" t="s">
        <v>566</v>
      </c>
      <c r="L15" s="11" t="s">
        <v>567</v>
      </c>
      <c r="M15" s="11"/>
      <c r="N15" s="14" t="n">
        <v>3</v>
      </c>
      <c r="O15" s="14" t="n">
        <v>3</v>
      </c>
      <c r="P15" s="14" t="n">
        <v>1</v>
      </c>
      <c r="Q15" s="14"/>
      <c r="R15" s="12" t="n">
        <f aca="false">IF(OR(N15="",P15=""),"",ROUND(N15*O15/P15,1))</f>
        <v>9</v>
      </c>
      <c r="S15" s="13" t="n">
        <f aca="false">IF(R15="","",IF(Q15="Y",1,IF(P15&gt;='Read me'!$B$16,3,IF(AND(R15&gt;='Read me'!$B$14,P15&lt;='Read me'!$B$15),1,2))))</f>
        <v>1</v>
      </c>
    </row>
    <row r="16" customFormat="false" ht="23.85" hidden="false" customHeight="false" outlineLevel="0" collapsed="false">
      <c r="A16" s="11" t="s">
        <v>568</v>
      </c>
      <c r="B16" s="11" t="s">
        <v>32</v>
      </c>
      <c r="C16" s="11" t="s">
        <v>65</v>
      </c>
      <c r="D16" s="11" t="s">
        <v>66</v>
      </c>
      <c r="E16" s="11" t="s">
        <v>532</v>
      </c>
      <c r="F16" s="11" t="s">
        <v>552</v>
      </c>
      <c r="G16" s="11" t="s">
        <v>569</v>
      </c>
      <c r="H16" s="11"/>
      <c r="I16" s="11" t="s">
        <v>570</v>
      </c>
      <c r="J16" s="11" t="s">
        <v>571</v>
      </c>
      <c r="K16" s="11" t="s">
        <v>572</v>
      </c>
      <c r="L16" s="11" t="s">
        <v>573</v>
      </c>
      <c r="M16" s="11"/>
      <c r="N16" s="14" t="n">
        <v>4</v>
      </c>
      <c r="O16" s="14" t="n">
        <v>3</v>
      </c>
      <c r="P16" s="14" t="n">
        <v>1</v>
      </c>
      <c r="Q16" s="14"/>
      <c r="R16" s="12" t="n">
        <f aca="false">IF(OR(N16="",P16=""),"",ROUND(N16*O16/P16,1))</f>
        <v>12</v>
      </c>
      <c r="S16" s="13" t="n">
        <f aca="false">IF(R16="","",IF(Q16="Y",1,IF(P16&gt;='Read me'!$B$16,3,IF(AND(R16&gt;='Read me'!$B$14,P16&lt;='Read me'!$B$15),1,2))))</f>
        <v>1</v>
      </c>
    </row>
    <row r="17" customFormat="false" ht="15" hidden="false" customHeight="false" outlineLevel="0" collapsed="false">
      <c r="A17" s="11" t="s">
        <v>574</v>
      </c>
      <c r="B17" s="11" t="s">
        <v>32</v>
      </c>
      <c r="C17" s="11" t="s">
        <v>65</v>
      </c>
      <c r="D17" s="11" t="s">
        <v>66</v>
      </c>
      <c r="E17" s="11" t="s">
        <v>532</v>
      </c>
      <c r="F17" s="11" t="s">
        <v>575</v>
      </c>
      <c r="G17" s="11" t="s">
        <v>576</v>
      </c>
      <c r="H17" s="11"/>
      <c r="I17" s="11" t="s">
        <v>577</v>
      </c>
      <c r="J17" s="11" t="s">
        <v>578</v>
      </c>
      <c r="K17" s="11" t="s">
        <v>579</v>
      </c>
      <c r="L17" s="11" t="s">
        <v>580</v>
      </c>
      <c r="M17" s="11"/>
      <c r="N17" s="14" t="n">
        <v>4</v>
      </c>
      <c r="O17" s="14" t="n">
        <v>3</v>
      </c>
      <c r="P17" s="14" t="n">
        <v>1</v>
      </c>
      <c r="Q17" s="14"/>
      <c r="R17" s="12" t="n">
        <f aca="false">IF(OR(N17="",P17=""),"",ROUND(N17*O17/P17,1))</f>
        <v>12</v>
      </c>
      <c r="S17" s="13" t="n">
        <f aca="false">IF(R17="","",IF(Q17="Y",1,IF(P17&gt;='Read me'!$B$16,3,IF(AND(R17&gt;='Read me'!$B$14,P17&lt;='Read me'!$B$15),1,2))))</f>
        <v>1</v>
      </c>
    </row>
    <row r="18" customFormat="false" ht="15" hidden="false" customHeight="false" outlineLevel="0" collapsed="false">
      <c r="A18" s="11" t="s">
        <v>581</v>
      </c>
      <c r="B18" s="11" t="s">
        <v>32</v>
      </c>
      <c r="C18" s="11" t="s">
        <v>65</v>
      </c>
      <c r="D18" s="11" t="s">
        <v>66</v>
      </c>
      <c r="E18" s="11" t="s">
        <v>532</v>
      </c>
      <c r="F18" s="11" t="s">
        <v>582</v>
      </c>
      <c r="G18" s="11" t="s">
        <v>583</v>
      </c>
      <c r="H18" s="11"/>
      <c r="I18" s="11" t="s">
        <v>584</v>
      </c>
      <c r="J18" s="11" t="s">
        <v>585</v>
      </c>
      <c r="K18" s="11" t="s">
        <v>586</v>
      </c>
      <c r="L18" s="11" t="s">
        <v>587</v>
      </c>
      <c r="M18" s="11" t="s">
        <v>588</v>
      </c>
      <c r="N18" s="14" t="n">
        <v>3</v>
      </c>
      <c r="O18" s="14" t="n">
        <v>3</v>
      </c>
      <c r="P18" s="14" t="n">
        <v>2</v>
      </c>
      <c r="Q18" s="14"/>
      <c r="R18" s="12" t="n">
        <f aca="false">IF(OR(N18="",P18=""),"",ROUND(N18*O18/P18,1))</f>
        <v>4.5</v>
      </c>
      <c r="S18" s="13" t="n">
        <f aca="false">IF(R18="","",IF(Q18="Y",1,IF(P18&gt;='Read me'!$B$16,3,IF(AND(R18&gt;='Read me'!$B$14,P18&lt;='Read me'!$B$15),1,2))))</f>
        <v>2</v>
      </c>
    </row>
    <row r="19" customFormat="false" ht="15" hidden="false" customHeight="false" outlineLevel="0" collapsed="false">
      <c r="A19" s="11" t="s">
        <v>589</v>
      </c>
      <c r="B19" s="11" t="s">
        <v>32</v>
      </c>
      <c r="C19" s="11" t="s">
        <v>65</v>
      </c>
      <c r="D19" s="11" t="s">
        <v>66</v>
      </c>
      <c r="E19" s="11" t="s">
        <v>532</v>
      </c>
      <c r="F19" s="11" t="s">
        <v>590</v>
      </c>
      <c r="G19" s="11" t="s">
        <v>591</v>
      </c>
      <c r="H19" s="11"/>
      <c r="I19" s="11" t="s">
        <v>592</v>
      </c>
      <c r="J19" s="11" t="s">
        <v>593</v>
      </c>
      <c r="K19" s="11" t="s">
        <v>594</v>
      </c>
      <c r="L19" s="11"/>
      <c r="M19" s="11"/>
      <c r="N19" s="14" t="n">
        <v>2</v>
      </c>
      <c r="O19" s="14" t="n">
        <v>5</v>
      </c>
      <c r="P19" s="14" t="n">
        <v>1</v>
      </c>
      <c r="Q19" s="14"/>
      <c r="R19" s="12" t="n">
        <f aca="false">IF(OR(N19="",P19=""),"",ROUND(N19*O19/P19,1))</f>
        <v>10</v>
      </c>
      <c r="S19" s="13" t="n">
        <f aca="false">IF(R19="","",IF(Q19="Y",1,IF(P19&gt;='Read me'!$B$16,3,IF(AND(R19&gt;='Read me'!$B$14,P19&lt;='Read me'!$B$15),1,2))))</f>
        <v>1</v>
      </c>
    </row>
    <row r="20" customFormat="false" ht="15" hidden="false" customHeight="false" outlineLevel="0" collapsed="false">
      <c r="A20" s="11" t="s">
        <v>595</v>
      </c>
      <c r="B20" s="11" t="s">
        <v>32</v>
      </c>
      <c r="C20" s="11" t="s">
        <v>65</v>
      </c>
      <c r="D20" s="11" t="s">
        <v>66</v>
      </c>
      <c r="E20" s="11" t="s">
        <v>532</v>
      </c>
      <c r="F20" s="11" t="s">
        <v>596</v>
      </c>
      <c r="G20" s="11" t="s">
        <v>597</v>
      </c>
      <c r="H20" s="11"/>
      <c r="I20" s="11" t="s">
        <v>598</v>
      </c>
      <c r="J20" s="11" t="s">
        <v>599</v>
      </c>
      <c r="K20" s="11" t="s">
        <v>600</v>
      </c>
      <c r="L20" s="11" t="s">
        <v>601</v>
      </c>
      <c r="M20" s="11"/>
      <c r="N20" s="14" t="n">
        <v>4</v>
      </c>
      <c r="O20" s="14" t="n">
        <v>4</v>
      </c>
      <c r="P20" s="14" t="n">
        <v>1</v>
      </c>
      <c r="Q20" s="14"/>
      <c r="R20" s="12" t="n">
        <f aca="false">IF(OR(N20="",P20=""),"",ROUND(N20*O20/P20,1))</f>
        <v>16</v>
      </c>
      <c r="S20" s="13" t="n">
        <f aca="false">IF(R20="","",IF(Q20="Y",1,IF(P20&gt;='Read me'!$B$16,3,IF(AND(R20&gt;='Read me'!$B$14,P20&lt;='Read me'!$B$15),1,2))))</f>
        <v>1</v>
      </c>
    </row>
    <row r="21" customFormat="false" ht="23.85" hidden="false" customHeight="false" outlineLevel="0" collapsed="false">
      <c r="A21" s="11" t="s">
        <v>602</v>
      </c>
      <c r="B21" s="11" t="s">
        <v>32</v>
      </c>
      <c r="C21" s="11" t="s">
        <v>65</v>
      </c>
      <c r="D21" s="11" t="s">
        <v>66</v>
      </c>
      <c r="E21" s="11" t="s">
        <v>532</v>
      </c>
      <c r="F21" s="11" t="s">
        <v>603</v>
      </c>
      <c r="G21" s="11" t="s">
        <v>604</v>
      </c>
      <c r="H21" s="11" t="s">
        <v>605</v>
      </c>
      <c r="I21" s="11" t="s">
        <v>606</v>
      </c>
      <c r="J21" s="11" t="s">
        <v>607</v>
      </c>
      <c r="K21" s="11" t="s">
        <v>608</v>
      </c>
      <c r="L21" s="11" t="s">
        <v>609</v>
      </c>
      <c r="M21" s="11"/>
      <c r="N21" s="14" t="n">
        <v>3</v>
      </c>
      <c r="O21" s="14" t="n">
        <v>3</v>
      </c>
      <c r="P21" s="14" t="n">
        <v>1</v>
      </c>
      <c r="Q21" s="14"/>
      <c r="R21" s="12" t="n">
        <f aca="false">IF(OR(N21="",P21=""),"",ROUND(N21*O21/P21,1))</f>
        <v>9</v>
      </c>
      <c r="S21" s="13" t="n">
        <f aca="false">IF(R21="","",IF(Q21="Y",1,IF(P21&gt;='Read me'!$B$16,3,IF(AND(R21&gt;='Read me'!$B$14,P21&lt;='Read me'!$B$15),1,2))))</f>
        <v>1</v>
      </c>
    </row>
    <row r="22" customFormat="false" ht="23.85" hidden="false" customHeight="false" outlineLevel="0" collapsed="false">
      <c r="A22" s="11" t="s">
        <v>610</v>
      </c>
      <c r="B22" s="11" t="s">
        <v>32</v>
      </c>
      <c r="C22" s="11" t="s">
        <v>65</v>
      </c>
      <c r="D22" s="11" t="s">
        <v>66</v>
      </c>
      <c r="E22" s="11" t="s">
        <v>532</v>
      </c>
      <c r="F22" s="11" t="s">
        <v>611</v>
      </c>
      <c r="G22" s="11" t="s">
        <v>612</v>
      </c>
      <c r="H22" s="11" t="s">
        <v>613</v>
      </c>
      <c r="I22" s="11" t="s">
        <v>614</v>
      </c>
      <c r="J22" s="11" t="s">
        <v>615</v>
      </c>
      <c r="K22" s="11" t="s">
        <v>616</v>
      </c>
      <c r="L22" s="11" t="s">
        <v>617</v>
      </c>
      <c r="M22" s="11"/>
      <c r="N22" s="14" t="n">
        <v>2</v>
      </c>
      <c r="O22" s="14" t="n">
        <v>2</v>
      </c>
      <c r="P22" s="14" t="n">
        <v>2</v>
      </c>
      <c r="Q22" s="14" t="s">
        <v>538</v>
      </c>
      <c r="R22" s="12" t="n">
        <f aca="false">IF(OR(N22="",P22=""),"",ROUND(N22*O22/P22,1))</f>
        <v>2</v>
      </c>
      <c r="S22" s="13" t="n">
        <f aca="false">IF(R22="","",IF(Q22="Y",1,IF(P22&gt;='Read me'!$B$16,3,IF(AND(R22&gt;='Read me'!$B$14,P22&lt;='Read me'!$B$15),1,2))))</f>
        <v>1</v>
      </c>
    </row>
    <row r="23" customFormat="false" ht="23.85" hidden="false" customHeight="false" outlineLevel="0" collapsed="false">
      <c r="A23" s="11" t="s">
        <v>618</v>
      </c>
      <c r="B23" s="11" t="s">
        <v>32</v>
      </c>
      <c r="C23" s="11" t="s">
        <v>65</v>
      </c>
      <c r="D23" s="11" t="s">
        <v>66</v>
      </c>
      <c r="E23" s="11" t="s">
        <v>532</v>
      </c>
      <c r="F23" s="11" t="s">
        <v>619</v>
      </c>
      <c r="G23" s="11" t="s">
        <v>620</v>
      </c>
      <c r="H23" s="11"/>
      <c r="I23" s="11" t="s">
        <v>621</v>
      </c>
      <c r="J23" s="11" t="s">
        <v>622</v>
      </c>
      <c r="K23" s="11" t="s">
        <v>623</v>
      </c>
      <c r="L23" s="11" t="s">
        <v>624</v>
      </c>
      <c r="M23" s="11"/>
      <c r="N23" s="14" t="n">
        <v>2</v>
      </c>
      <c r="O23" s="14" t="n">
        <v>4</v>
      </c>
      <c r="P23" s="14" t="n">
        <v>2</v>
      </c>
      <c r="Q23" s="14"/>
      <c r="R23" s="12" t="n">
        <f aca="false">IF(OR(N23="",P23=""),"",ROUND(N23*O23/P23,1))</f>
        <v>4</v>
      </c>
      <c r="S23" s="13" t="n">
        <f aca="false">IF(R23="","",IF(Q23="Y",1,IF(P23&gt;='Read me'!$B$16,3,IF(AND(R23&gt;='Read me'!$B$14,P23&lt;='Read me'!$B$15),1,2))))</f>
        <v>2</v>
      </c>
    </row>
    <row r="24" customFormat="false" ht="23.85" hidden="false" customHeight="false" outlineLevel="0" collapsed="false">
      <c r="A24" s="11" t="s">
        <v>625</v>
      </c>
      <c r="B24" s="11" t="s">
        <v>32</v>
      </c>
      <c r="C24" s="11" t="s">
        <v>65</v>
      </c>
      <c r="D24" s="11" t="s">
        <v>66</v>
      </c>
      <c r="E24" s="11" t="s">
        <v>626</v>
      </c>
      <c r="F24" s="11" t="s">
        <v>627</v>
      </c>
      <c r="G24" s="11" t="s">
        <v>628</v>
      </c>
      <c r="H24" s="11"/>
      <c r="I24" s="11" t="s">
        <v>629</v>
      </c>
      <c r="J24" s="11" t="s">
        <v>630</v>
      </c>
      <c r="K24" s="11" t="s">
        <v>529</v>
      </c>
      <c r="L24" s="11" t="s">
        <v>631</v>
      </c>
      <c r="M24" s="11"/>
      <c r="N24" s="14" t="n">
        <v>4</v>
      </c>
      <c r="O24" s="14" t="n">
        <v>4</v>
      </c>
      <c r="P24" s="14" t="n">
        <v>1</v>
      </c>
      <c r="Q24" s="14"/>
      <c r="R24" s="12" t="n">
        <f aca="false">IF(OR(N24="",P24=""),"",ROUND(N24*O24/P24,1))</f>
        <v>16</v>
      </c>
      <c r="S24" s="13" t="n">
        <f aca="false">IF(R24="","",IF(Q24="Y",1,IF(P24&gt;='Read me'!$B$16,3,IF(AND(R24&gt;='Read me'!$B$14,P24&lt;='Read me'!$B$15),1,2))))</f>
        <v>1</v>
      </c>
    </row>
    <row r="25" customFormat="false" ht="23.85" hidden="false" customHeight="false" outlineLevel="0" collapsed="false">
      <c r="A25" s="11" t="s">
        <v>632</v>
      </c>
      <c r="B25" s="11" t="s">
        <v>32</v>
      </c>
      <c r="C25" s="11" t="s">
        <v>65</v>
      </c>
      <c r="D25" s="11" t="s">
        <v>66</v>
      </c>
      <c r="E25" s="11" t="s">
        <v>626</v>
      </c>
      <c r="F25" s="11" t="s">
        <v>633</v>
      </c>
      <c r="G25" s="11" t="s">
        <v>634</v>
      </c>
      <c r="H25" s="11"/>
      <c r="I25" s="11" t="s">
        <v>635</v>
      </c>
      <c r="J25" s="11" t="s">
        <v>636</v>
      </c>
      <c r="K25" s="11" t="s">
        <v>637</v>
      </c>
      <c r="L25" s="11" t="s">
        <v>638</v>
      </c>
      <c r="M25" s="11"/>
      <c r="N25" s="14" t="n">
        <v>5</v>
      </c>
      <c r="O25" s="14" t="n">
        <v>4</v>
      </c>
      <c r="P25" s="14" t="n">
        <v>2</v>
      </c>
      <c r="Q25" s="14" t="s">
        <v>538</v>
      </c>
      <c r="R25" s="12" t="n">
        <f aca="false">IF(OR(N25="",P25=""),"",ROUND(N25*O25/P25,1))</f>
        <v>10</v>
      </c>
      <c r="S25" s="13" t="n">
        <f aca="false">IF(R25="","",IF(Q25="Y",1,IF(P25&gt;='Read me'!$B$16,3,IF(AND(R25&gt;='Read me'!$B$14,P25&lt;='Read me'!$B$15),1,2))))</f>
        <v>1</v>
      </c>
    </row>
    <row r="26" customFormat="false" ht="15" hidden="false" customHeight="false" outlineLevel="0" collapsed="false">
      <c r="A26" s="11" t="s">
        <v>639</v>
      </c>
      <c r="B26" s="11" t="s">
        <v>32</v>
      </c>
      <c r="C26" s="11" t="s">
        <v>65</v>
      </c>
      <c r="D26" s="11" t="s">
        <v>66</v>
      </c>
      <c r="E26" s="11" t="s">
        <v>626</v>
      </c>
      <c r="F26" s="11" t="s">
        <v>640</v>
      </c>
      <c r="G26" s="11" t="s">
        <v>641</v>
      </c>
      <c r="H26" s="11"/>
      <c r="I26" s="11" t="s">
        <v>642</v>
      </c>
      <c r="J26" s="11" t="s">
        <v>643</v>
      </c>
      <c r="K26" s="11" t="s">
        <v>644</v>
      </c>
      <c r="L26" s="11" t="s">
        <v>645</v>
      </c>
      <c r="M26" s="11"/>
      <c r="N26" s="14" t="n">
        <v>4</v>
      </c>
      <c r="O26" s="14" t="n">
        <v>4</v>
      </c>
      <c r="P26" s="14" t="n">
        <v>3</v>
      </c>
      <c r="Q26" s="14"/>
      <c r="R26" s="12" t="n">
        <f aca="false">IF(OR(N26="",P26=""),"",ROUND(N26*O26/P26,1))</f>
        <v>5.3</v>
      </c>
      <c r="S26" s="13" t="n">
        <f aca="false">IF(R26="","",IF(Q26="Y",1,IF(P26&gt;='Read me'!$B$16,3,IF(AND(R26&gt;='Read me'!$B$14,P26&lt;='Read me'!$B$15),1,2))))</f>
        <v>2</v>
      </c>
    </row>
    <row r="27" customFormat="false" ht="15" hidden="false" customHeight="false" outlineLevel="0" collapsed="false">
      <c r="A27" s="11" t="s">
        <v>646</v>
      </c>
      <c r="B27" s="11" t="s">
        <v>32</v>
      </c>
      <c r="C27" s="11" t="s">
        <v>65</v>
      </c>
      <c r="D27" s="11" t="s">
        <v>66</v>
      </c>
      <c r="E27" s="11" t="s">
        <v>626</v>
      </c>
      <c r="F27" s="11" t="s">
        <v>647</v>
      </c>
      <c r="G27" s="11" t="s">
        <v>648</v>
      </c>
      <c r="H27" s="11"/>
      <c r="I27" s="11" t="s">
        <v>649</v>
      </c>
      <c r="J27" s="11" t="s">
        <v>650</v>
      </c>
      <c r="K27" s="11" t="s">
        <v>651</v>
      </c>
      <c r="L27" s="11" t="s">
        <v>652</v>
      </c>
      <c r="M27" s="11"/>
      <c r="N27" s="14" t="n">
        <v>3</v>
      </c>
      <c r="O27" s="14" t="n">
        <v>3</v>
      </c>
      <c r="P27" s="14" t="n">
        <v>2</v>
      </c>
      <c r="Q27" s="14"/>
      <c r="R27" s="12" t="n">
        <f aca="false">IF(OR(N27="",P27=""),"",ROUND(N27*O27/P27,1))</f>
        <v>4.5</v>
      </c>
      <c r="S27" s="13" t="n">
        <f aca="false">IF(R27="","",IF(Q27="Y",1,IF(P27&gt;='Read me'!$B$16,3,IF(AND(R27&gt;='Read me'!$B$14,P27&lt;='Read me'!$B$15),1,2))))</f>
        <v>2</v>
      </c>
    </row>
    <row r="28" customFormat="false" ht="15" hidden="false" customHeight="false" outlineLevel="0" collapsed="false">
      <c r="A28" s="11" t="s">
        <v>653</v>
      </c>
      <c r="B28" s="11" t="s">
        <v>32</v>
      </c>
      <c r="C28" s="11" t="s">
        <v>65</v>
      </c>
      <c r="D28" s="11" t="s">
        <v>66</v>
      </c>
      <c r="E28" s="11" t="s">
        <v>626</v>
      </c>
      <c r="F28" s="11" t="s">
        <v>654</v>
      </c>
      <c r="G28" s="11" t="s">
        <v>655</v>
      </c>
      <c r="H28" s="11"/>
      <c r="I28" s="11" t="s">
        <v>656</v>
      </c>
      <c r="J28" s="11" t="s">
        <v>657</v>
      </c>
      <c r="K28" s="11" t="s">
        <v>658</v>
      </c>
      <c r="L28" s="11"/>
      <c r="M28" s="11"/>
      <c r="N28" s="14" t="n">
        <v>2</v>
      </c>
      <c r="O28" s="14" t="n">
        <v>2</v>
      </c>
      <c r="P28" s="14" t="n">
        <v>1</v>
      </c>
      <c r="Q28" s="14"/>
      <c r="R28" s="12" t="n">
        <f aca="false">IF(OR(N28="",P28=""),"",ROUND(N28*O28/P28,1))</f>
        <v>4</v>
      </c>
      <c r="S28" s="13" t="n">
        <f aca="false">IF(R28="","",IF(Q28="Y",1,IF(P28&gt;='Read me'!$B$16,3,IF(AND(R28&gt;='Read me'!$B$14,P28&lt;='Read me'!$B$15),1,2))))</f>
        <v>2</v>
      </c>
    </row>
    <row r="29" customFormat="false" ht="15" hidden="false" customHeight="false" outlineLevel="0" collapsed="false">
      <c r="A29" s="11" t="s">
        <v>659</v>
      </c>
      <c r="B29" s="11" t="s">
        <v>32</v>
      </c>
      <c r="C29" s="11" t="s">
        <v>65</v>
      </c>
      <c r="D29" s="11" t="s">
        <v>66</v>
      </c>
      <c r="E29" s="11" t="s">
        <v>626</v>
      </c>
      <c r="F29" s="11" t="s">
        <v>660</v>
      </c>
      <c r="G29" s="11" t="s">
        <v>661</v>
      </c>
      <c r="H29" s="11"/>
      <c r="I29" s="11" t="s">
        <v>662</v>
      </c>
      <c r="J29" s="11" t="s">
        <v>663</v>
      </c>
      <c r="K29" s="11" t="s">
        <v>664</v>
      </c>
      <c r="L29" s="11" t="s">
        <v>665</v>
      </c>
      <c r="M29" s="11"/>
      <c r="N29" s="14" t="n">
        <v>4</v>
      </c>
      <c r="O29" s="14" t="n">
        <v>3</v>
      </c>
      <c r="P29" s="14" t="n">
        <v>2</v>
      </c>
      <c r="Q29" s="14"/>
      <c r="R29" s="12" t="n">
        <f aca="false">IF(OR(N29="",P29=""),"",ROUND(N29*O29/P29,1))</f>
        <v>6</v>
      </c>
      <c r="S29" s="13" t="n">
        <f aca="false">IF(R29="","",IF(Q29="Y",1,IF(P29&gt;='Read me'!$B$16,3,IF(AND(R29&gt;='Read me'!$B$14,P29&lt;='Read me'!$B$15),1,2))))</f>
        <v>1</v>
      </c>
    </row>
    <row r="30" customFormat="false" ht="15" hidden="false" customHeight="false" outlineLevel="0" collapsed="false">
      <c r="A30" s="11" t="s">
        <v>666</v>
      </c>
      <c r="B30" s="11" t="s">
        <v>32</v>
      </c>
      <c r="C30" s="11" t="s">
        <v>65</v>
      </c>
      <c r="D30" s="11" t="s">
        <v>66</v>
      </c>
      <c r="E30" s="11" t="s">
        <v>626</v>
      </c>
      <c r="F30" s="11" t="s">
        <v>660</v>
      </c>
      <c r="G30" s="11" t="s">
        <v>667</v>
      </c>
      <c r="H30" s="11"/>
      <c r="I30" s="11" t="s">
        <v>668</v>
      </c>
      <c r="J30" s="11" t="s">
        <v>669</v>
      </c>
      <c r="K30" s="11" t="s">
        <v>664</v>
      </c>
      <c r="L30" s="11" t="s">
        <v>670</v>
      </c>
      <c r="M30" s="11"/>
      <c r="N30" s="14" t="n">
        <v>3</v>
      </c>
      <c r="O30" s="14" t="n">
        <v>3</v>
      </c>
      <c r="P30" s="14" t="n">
        <v>2</v>
      </c>
      <c r="Q30" s="14"/>
      <c r="R30" s="12" t="n">
        <f aca="false">IF(OR(N30="",P30=""),"",ROUND(N30*O30/P30,1))</f>
        <v>4.5</v>
      </c>
      <c r="S30" s="13" t="n">
        <f aca="false">IF(R30="","",IF(Q30="Y",1,IF(P30&gt;='Read me'!$B$16,3,IF(AND(R30&gt;='Read me'!$B$14,P30&lt;='Read me'!$B$15),1,2))))</f>
        <v>2</v>
      </c>
    </row>
    <row r="31" customFormat="false" ht="23.85" hidden="false" customHeight="false" outlineLevel="0" collapsed="false">
      <c r="A31" s="11" t="s">
        <v>671</v>
      </c>
      <c r="B31" s="11" t="s">
        <v>32</v>
      </c>
      <c r="C31" s="11" t="s">
        <v>65</v>
      </c>
      <c r="D31" s="11" t="s">
        <v>66</v>
      </c>
      <c r="E31" s="11" t="s">
        <v>626</v>
      </c>
      <c r="F31" s="11" t="s">
        <v>660</v>
      </c>
      <c r="G31" s="11" t="s">
        <v>672</v>
      </c>
      <c r="H31" s="11"/>
      <c r="I31" s="11" t="s">
        <v>673</v>
      </c>
      <c r="J31" s="11" t="s">
        <v>674</v>
      </c>
      <c r="K31" s="11" t="s">
        <v>675</v>
      </c>
      <c r="L31" s="11" t="s">
        <v>676</v>
      </c>
      <c r="M31" s="11"/>
      <c r="N31" s="14" t="n">
        <v>1</v>
      </c>
      <c r="O31" s="14" t="n">
        <v>3</v>
      </c>
      <c r="P31" s="14" t="n">
        <v>5</v>
      </c>
      <c r="Q31" s="14"/>
      <c r="R31" s="12" t="n">
        <f aca="false">IF(OR(N31="",P31=""),"",ROUND(N31*O31/P31,1))</f>
        <v>0.6</v>
      </c>
      <c r="S31" s="13" t="n">
        <f aca="false">IF(R31="","",IF(Q31="Y",1,IF(P31&gt;='Read me'!$B$16,3,IF(AND(R31&gt;='Read me'!$B$14,P31&lt;='Read me'!$B$15),1,2))))</f>
        <v>3</v>
      </c>
    </row>
    <row r="32" customFormat="false" ht="23.85" hidden="false" customHeight="false" outlineLevel="0" collapsed="false">
      <c r="A32" s="11" t="s">
        <v>677</v>
      </c>
      <c r="B32" s="11" t="s">
        <v>32</v>
      </c>
      <c r="C32" s="11" t="s">
        <v>65</v>
      </c>
      <c r="D32" s="11" t="s">
        <v>66</v>
      </c>
      <c r="E32" s="11" t="s">
        <v>626</v>
      </c>
      <c r="F32" s="11" t="s">
        <v>678</v>
      </c>
      <c r="G32" s="11" t="s">
        <v>679</v>
      </c>
      <c r="H32" s="11" t="s">
        <v>680</v>
      </c>
      <c r="I32" s="11" t="s">
        <v>681</v>
      </c>
      <c r="J32" s="11" t="s">
        <v>682</v>
      </c>
      <c r="K32" s="11" t="s">
        <v>683</v>
      </c>
      <c r="L32" s="11" t="s">
        <v>684</v>
      </c>
      <c r="M32" s="11"/>
      <c r="N32" s="14" t="n">
        <v>3</v>
      </c>
      <c r="O32" s="14" t="n">
        <v>3</v>
      </c>
      <c r="P32" s="14" t="n">
        <v>3</v>
      </c>
      <c r="Q32" s="14" t="s">
        <v>538</v>
      </c>
      <c r="R32" s="12" t="n">
        <f aca="false">IF(OR(N32="",P32=""),"",ROUND(N32*O32/P32,1))</f>
        <v>3</v>
      </c>
      <c r="S32" s="13" t="n">
        <f aca="false">IF(R32="","",IF(Q32="Y",1,IF(P32&gt;='Read me'!$B$16,3,IF(AND(R32&gt;='Read me'!$B$14,P32&lt;='Read me'!$B$15),1,2))))</f>
        <v>1</v>
      </c>
    </row>
    <row r="33" customFormat="false" ht="15" hidden="false" customHeight="false" outlineLevel="0" collapsed="false">
      <c r="A33" s="11" t="s">
        <v>685</v>
      </c>
      <c r="B33" s="11" t="s">
        <v>32</v>
      </c>
      <c r="C33" s="11" t="s">
        <v>65</v>
      </c>
      <c r="D33" s="11" t="s">
        <v>66</v>
      </c>
      <c r="E33" s="11" t="s">
        <v>626</v>
      </c>
      <c r="F33" s="11" t="s">
        <v>686</v>
      </c>
      <c r="G33" s="11" t="s">
        <v>687</v>
      </c>
      <c r="H33" s="11" t="s">
        <v>688</v>
      </c>
      <c r="I33" s="11" t="s">
        <v>681</v>
      </c>
      <c r="J33" s="11" t="s">
        <v>689</v>
      </c>
      <c r="K33" s="11" t="s">
        <v>690</v>
      </c>
      <c r="L33" s="11"/>
      <c r="M33" s="11"/>
      <c r="N33" s="14" t="n">
        <v>3</v>
      </c>
      <c r="O33" s="14" t="n">
        <v>3</v>
      </c>
      <c r="P33" s="14" t="n">
        <v>2</v>
      </c>
      <c r="Q33" s="14" t="s">
        <v>538</v>
      </c>
      <c r="R33" s="12" t="n">
        <f aca="false">IF(OR(N33="",P33=""),"",ROUND(N33*O33/P33,1))</f>
        <v>4.5</v>
      </c>
      <c r="S33" s="13" t="n">
        <f aca="false">IF(R33="","",IF(Q33="Y",1,IF(P33&gt;='Read me'!$B$16,3,IF(AND(R33&gt;='Read me'!$B$14,P33&lt;='Read me'!$B$15),1,2))))</f>
        <v>1</v>
      </c>
    </row>
    <row r="34" customFormat="false" ht="15" hidden="false" customHeight="false" outlineLevel="0" collapsed="false">
      <c r="A34" s="11" t="s">
        <v>691</v>
      </c>
      <c r="B34" s="11" t="s">
        <v>32</v>
      </c>
      <c r="C34" s="11" t="s">
        <v>65</v>
      </c>
      <c r="D34" s="11" t="s">
        <v>66</v>
      </c>
      <c r="E34" s="11" t="s">
        <v>626</v>
      </c>
      <c r="F34" s="11" t="s">
        <v>692</v>
      </c>
      <c r="G34" s="11" t="s">
        <v>693</v>
      </c>
      <c r="H34" s="11"/>
      <c r="I34" s="11" t="s">
        <v>694</v>
      </c>
      <c r="J34" s="11" t="s">
        <v>695</v>
      </c>
      <c r="K34" s="11" t="s">
        <v>696</v>
      </c>
      <c r="L34" s="11" t="s">
        <v>697</v>
      </c>
      <c r="M34" s="11"/>
      <c r="N34" s="14" t="n">
        <v>2</v>
      </c>
      <c r="O34" s="14" t="n">
        <v>3</v>
      </c>
      <c r="P34" s="14" t="n">
        <v>3</v>
      </c>
      <c r="Q34" s="14"/>
      <c r="R34" s="12" t="n">
        <f aca="false">IF(OR(N34="",P34=""),"",ROUND(N34*O34/P34,1))</f>
        <v>2</v>
      </c>
      <c r="S34" s="13" t="n">
        <f aca="false">IF(R34="","",IF(Q34="Y",1,IF(P34&gt;='Read me'!$B$16,3,IF(AND(R34&gt;='Read me'!$B$14,P34&lt;='Read me'!$B$15),1,2))))</f>
        <v>2</v>
      </c>
    </row>
    <row r="35" customFormat="false" ht="15" hidden="false" customHeight="false" outlineLevel="0" collapsed="false">
      <c r="A35" s="11" t="s">
        <v>698</v>
      </c>
      <c r="B35" s="11" t="s">
        <v>32</v>
      </c>
      <c r="C35" s="11" t="s">
        <v>65</v>
      </c>
      <c r="D35" s="11" t="s">
        <v>66</v>
      </c>
      <c r="E35" s="11" t="s">
        <v>626</v>
      </c>
      <c r="F35" s="11" t="s">
        <v>699</v>
      </c>
      <c r="G35" s="11" t="s">
        <v>700</v>
      </c>
      <c r="H35" s="11"/>
      <c r="I35" s="11" t="s">
        <v>701</v>
      </c>
      <c r="J35" s="11" t="s">
        <v>702</v>
      </c>
      <c r="K35" s="11" t="s">
        <v>529</v>
      </c>
      <c r="L35" s="11" t="s">
        <v>703</v>
      </c>
      <c r="M35" s="11" t="s">
        <v>704</v>
      </c>
      <c r="N35" s="14" t="n">
        <v>1</v>
      </c>
      <c r="O35" s="14" t="n">
        <v>2</v>
      </c>
      <c r="P35" s="14" t="n">
        <v>2</v>
      </c>
      <c r="Q35" s="14"/>
      <c r="R35" s="12" t="n">
        <f aca="false">IF(OR(N35="",P35=""),"",ROUND(N35*O35/P35,1))</f>
        <v>1</v>
      </c>
      <c r="S35" s="13" t="n">
        <f aca="false">IF(R35="","",IF(Q35="Y",1,IF(P35&gt;='Read me'!$B$16,3,IF(AND(R35&gt;='Read me'!$B$14,P35&lt;='Read me'!$B$15),1,2))))</f>
        <v>2</v>
      </c>
    </row>
    <row r="36" customFormat="false" ht="23.85" hidden="false" customHeight="false" outlineLevel="0" collapsed="false">
      <c r="A36" s="11" t="s">
        <v>705</v>
      </c>
      <c r="B36" s="11" t="s">
        <v>32</v>
      </c>
      <c r="C36" s="11" t="s">
        <v>70</v>
      </c>
      <c r="D36" s="11" t="s">
        <v>71</v>
      </c>
      <c r="E36" s="11" t="s">
        <v>532</v>
      </c>
      <c r="F36" s="11" t="s">
        <v>706</v>
      </c>
      <c r="G36" s="11" t="s">
        <v>707</v>
      </c>
      <c r="H36" s="11"/>
      <c r="I36" s="11" t="s">
        <v>708</v>
      </c>
      <c r="J36" s="11" t="s">
        <v>709</v>
      </c>
      <c r="K36" s="11" t="s">
        <v>710</v>
      </c>
      <c r="L36" s="11" t="s">
        <v>711</v>
      </c>
      <c r="M36" s="11"/>
      <c r="N36" s="14" t="n">
        <v>2</v>
      </c>
      <c r="O36" s="14" t="n">
        <v>4</v>
      </c>
      <c r="P36" s="14" t="n">
        <v>3</v>
      </c>
      <c r="Q36" s="14"/>
      <c r="R36" s="12" t="n">
        <f aca="false">IF(OR(N36="",P36=""),"",ROUND(N36*O36/P36,1))</f>
        <v>2.7</v>
      </c>
      <c r="S36" s="13" t="n">
        <f aca="false">IF(R36="","",IF(Q36="Y",1,IF(P36&gt;='Read me'!$B$16,3,IF(AND(R36&gt;='Read me'!$B$14,P36&lt;='Read me'!$B$15),1,2))))</f>
        <v>2</v>
      </c>
    </row>
    <row r="37" customFormat="false" ht="23.85" hidden="false" customHeight="false" outlineLevel="0" collapsed="false">
      <c r="A37" s="11" t="s">
        <v>712</v>
      </c>
      <c r="B37" s="11" t="s">
        <v>32</v>
      </c>
      <c r="C37" s="11" t="s">
        <v>70</v>
      </c>
      <c r="D37" s="11" t="s">
        <v>71</v>
      </c>
      <c r="E37" s="11" t="s">
        <v>532</v>
      </c>
      <c r="F37" s="11" t="s">
        <v>713</v>
      </c>
      <c r="G37" s="11" t="s">
        <v>714</v>
      </c>
      <c r="H37" s="11"/>
      <c r="I37" s="11" t="s">
        <v>715</v>
      </c>
      <c r="J37" s="11" t="s">
        <v>716</v>
      </c>
      <c r="K37" s="11" t="s">
        <v>717</v>
      </c>
      <c r="L37" s="11" t="s">
        <v>718</v>
      </c>
      <c r="M37" s="11"/>
      <c r="N37" s="14" t="n">
        <v>2</v>
      </c>
      <c r="O37" s="14" t="n">
        <v>4</v>
      </c>
      <c r="P37" s="14" t="n">
        <v>3</v>
      </c>
      <c r="Q37" s="14"/>
      <c r="R37" s="12" t="n">
        <f aca="false">IF(OR(N37="",P37=""),"",ROUND(N37*O37/P37,1))</f>
        <v>2.7</v>
      </c>
      <c r="S37" s="13" t="n">
        <f aca="false">IF(R37="","",IF(Q37="Y",1,IF(P37&gt;='Read me'!$B$16,3,IF(AND(R37&gt;='Read me'!$B$14,P37&lt;='Read me'!$B$15),1,2))))</f>
        <v>2</v>
      </c>
    </row>
    <row r="38" customFormat="false" ht="15" hidden="false" customHeight="false" outlineLevel="0" collapsed="false">
      <c r="A38" s="11" t="s">
        <v>719</v>
      </c>
      <c r="B38" s="11" t="s">
        <v>32</v>
      </c>
      <c r="C38" s="11" t="s">
        <v>70</v>
      </c>
      <c r="D38" s="11" t="s">
        <v>71</v>
      </c>
      <c r="E38" s="11" t="s">
        <v>532</v>
      </c>
      <c r="F38" s="11" t="s">
        <v>533</v>
      </c>
      <c r="G38" s="11" t="s">
        <v>720</v>
      </c>
      <c r="H38" s="11"/>
      <c r="I38" s="11" t="s">
        <v>721</v>
      </c>
      <c r="J38" s="11" t="s">
        <v>722</v>
      </c>
      <c r="K38" s="11" t="s">
        <v>723</v>
      </c>
      <c r="L38" s="11" t="s">
        <v>724</v>
      </c>
      <c r="M38" s="11"/>
      <c r="N38" s="14" t="n">
        <v>2</v>
      </c>
      <c r="O38" s="14" t="n">
        <v>3</v>
      </c>
      <c r="P38" s="14" t="n">
        <v>2</v>
      </c>
      <c r="Q38" s="14"/>
      <c r="R38" s="12" t="n">
        <f aca="false">IF(OR(N38="",P38=""),"",ROUND(N38*O38/P38,1))</f>
        <v>3</v>
      </c>
      <c r="S38" s="13" t="n">
        <f aca="false">IF(R38="","",IF(Q38="Y",1,IF(P38&gt;='Read me'!$B$16,3,IF(AND(R38&gt;='Read me'!$B$14,P38&lt;='Read me'!$B$15),1,2))))</f>
        <v>2</v>
      </c>
    </row>
    <row r="39" customFormat="false" ht="15" hidden="false" customHeight="false" outlineLevel="0" collapsed="false">
      <c r="A39" s="11" t="s">
        <v>725</v>
      </c>
      <c r="B39" s="11" t="s">
        <v>32</v>
      </c>
      <c r="C39" s="11" t="s">
        <v>70</v>
      </c>
      <c r="D39" s="11" t="s">
        <v>71</v>
      </c>
      <c r="E39" s="11" t="s">
        <v>532</v>
      </c>
      <c r="F39" s="11" t="s">
        <v>726</v>
      </c>
      <c r="G39" s="11" t="s">
        <v>727</v>
      </c>
      <c r="H39" s="11"/>
      <c r="I39" s="11" t="s">
        <v>728</v>
      </c>
      <c r="J39" s="11" t="s">
        <v>729</v>
      </c>
      <c r="K39" s="11" t="s">
        <v>730</v>
      </c>
      <c r="L39" s="11" t="s">
        <v>731</v>
      </c>
      <c r="M39" s="11"/>
      <c r="N39" s="14" t="n">
        <v>2</v>
      </c>
      <c r="O39" s="14" t="n">
        <v>4</v>
      </c>
      <c r="P39" s="14" t="n">
        <v>3</v>
      </c>
      <c r="Q39" s="14"/>
      <c r="R39" s="12" t="n">
        <f aca="false">IF(OR(N39="",P39=""),"",ROUND(N39*O39/P39,1))</f>
        <v>2.7</v>
      </c>
      <c r="S39" s="13" t="n">
        <f aca="false">IF(R39="","",IF(Q39="Y",1,IF(P39&gt;='Read me'!$B$16,3,IF(AND(R39&gt;='Read me'!$B$14,P39&lt;='Read me'!$B$15),1,2))))</f>
        <v>2</v>
      </c>
    </row>
    <row r="40" customFormat="false" ht="23.85" hidden="false" customHeight="false" outlineLevel="0" collapsed="false">
      <c r="A40" s="11" t="s">
        <v>732</v>
      </c>
      <c r="B40" s="11" t="s">
        <v>32</v>
      </c>
      <c r="C40" s="11" t="s">
        <v>70</v>
      </c>
      <c r="D40" s="11" t="s">
        <v>71</v>
      </c>
      <c r="E40" s="11" t="s">
        <v>532</v>
      </c>
      <c r="F40" s="11" t="s">
        <v>706</v>
      </c>
      <c r="G40" s="11" t="s">
        <v>733</v>
      </c>
      <c r="H40" s="11"/>
      <c r="I40" s="11" t="s">
        <v>734</v>
      </c>
      <c r="J40" s="11" t="s">
        <v>735</v>
      </c>
      <c r="K40" s="11" t="s">
        <v>736</v>
      </c>
      <c r="L40" s="11" t="s">
        <v>737</v>
      </c>
      <c r="M40" s="11"/>
      <c r="N40" s="14" t="n">
        <v>2</v>
      </c>
      <c r="O40" s="14" t="n">
        <v>4</v>
      </c>
      <c r="P40" s="14" t="n">
        <v>2</v>
      </c>
      <c r="Q40" s="14"/>
      <c r="R40" s="12" t="n">
        <f aca="false">IF(OR(N40="",P40=""),"",ROUND(N40*O40/P40,1))</f>
        <v>4</v>
      </c>
      <c r="S40" s="13" t="n">
        <f aca="false">IF(R40="","",IF(Q40="Y",1,IF(P40&gt;='Read me'!$B$16,3,IF(AND(R40&gt;='Read me'!$B$14,P40&lt;='Read me'!$B$15),1,2))))</f>
        <v>2</v>
      </c>
    </row>
    <row r="41" customFormat="false" ht="23.85" hidden="false" customHeight="false" outlineLevel="0" collapsed="false">
      <c r="A41" s="11" t="s">
        <v>738</v>
      </c>
      <c r="B41" s="11" t="s">
        <v>32</v>
      </c>
      <c r="C41" s="11" t="s">
        <v>70</v>
      </c>
      <c r="D41" s="11" t="s">
        <v>71</v>
      </c>
      <c r="E41" s="11" t="s">
        <v>532</v>
      </c>
      <c r="F41" s="11" t="s">
        <v>713</v>
      </c>
      <c r="G41" s="11" t="s">
        <v>739</v>
      </c>
      <c r="H41" s="11"/>
      <c r="I41" s="11" t="s">
        <v>740</v>
      </c>
      <c r="J41" s="11" t="s">
        <v>741</v>
      </c>
      <c r="K41" s="11" t="s">
        <v>742</v>
      </c>
      <c r="L41" s="11" t="s">
        <v>743</v>
      </c>
      <c r="M41" s="11"/>
      <c r="N41" s="14" t="n">
        <v>2</v>
      </c>
      <c r="O41" s="14" t="n">
        <v>4</v>
      </c>
      <c r="P41" s="14" t="n">
        <v>2</v>
      </c>
      <c r="Q41" s="14"/>
      <c r="R41" s="12" t="n">
        <f aca="false">IF(OR(N41="",P41=""),"",ROUND(N41*O41/P41,1))</f>
        <v>4</v>
      </c>
      <c r="S41" s="13" t="n">
        <f aca="false">IF(R41="","",IF(Q41="Y",1,IF(P41&gt;='Read me'!$B$16,3,IF(AND(R41&gt;='Read me'!$B$14,P41&lt;='Read me'!$B$15),1,2))))</f>
        <v>2</v>
      </c>
    </row>
    <row r="42" customFormat="false" ht="23.85" hidden="false" customHeight="false" outlineLevel="0" collapsed="false">
      <c r="A42" s="11" t="s">
        <v>744</v>
      </c>
      <c r="B42" s="11" t="s">
        <v>32</v>
      </c>
      <c r="C42" s="11" t="s">
        <v>70</v>
      </c>
      <c r="D42" s="11" t="s">
        <v>71</v>
      </c>
      <c r="E42" s="11" t="s">
        <v>626</v>
      </c>
      <c r="F42" s="11" t="s">
        <v>706</v>
      </c>
      <c r="G42" s="11" t="s">
        <v>707</v>
      </c>
      <c r="H42" s="11" t="s">
        <v>745</v>
      </c>
      <c r="I42" s="11" t="s">
        <v>746</v>
      </c>
      <c r="J42" s="11" t="s">
        <v>747</v>
      </c>
      <c r="K42" s="11" t="s">
        <v>748</v>
      </c>
      <c r="L42" s="11" t="s">
        <v>749</v>
      </c>
      <c r="M42" s="11"/>
      <c r="N42" s="14" t="n">
        <v>2</v>
      </c>
      <c r="O42" s="14" t="n">
        <v>3</v>
      </c>
      <c r="P42" s="14" t="n">
        <v>3</v>
      </c>
      <c r="Q42" s="14"/>
      <c r="R42" s="12" t="n">
        <f aca="false">IF(OR(N42="",P42=""),"",ROUND(N42*O42/P42,1))</f>
        <v>2</v>
      </c>
      <c r="S42" s="13" t="n">
        <f aca="false">IF(R42="","",IF(Q42="Y",1,IF(P42&gt;='Read me'!$B$16,3,IF(AND(R42&gt;='Read me'!$B$14,P42&lt;='Read me'!$B$15),1,2))))</f>
        <v>2</v>
      </c>
    </row>
    <row r="43" customFormat="false" ht="23.85" hidden="false" customHeight="false" outlineLevel="0" collapsed="false">
      <c r="A43" s="11" t="s">
        <v>750</v>
      </c>
      <c r="B43" s="11" t="s">
        <v>32</v>
      </c>
      <c r="C43" s="11" t="s">
        <v>70</v>
      </c>
      <c r="D43" s="11" t="s">
        <v>71</v>
      </c>
      <c r="E43" s="11" t="s">
        <v>751</v>
      </c>
      <c r="F43" s="11" t="s">
        <v>706</v>
      </c>
      <c r="G43" s="11" t="s">
        <v>752</v>
      </c>
      <c r="H43" s="11" t="s">
        <v>753</v>
      </c>
      <c r="I43" s="11" t="s">
        <v>754</v>
      </c>
      <c r="J43" s="11" t="s">
        <v>755</v>
      </c>
      <c r="K43" s="11" t="s">
        <v>756</v>
      </c>
      <c r="L43" s="11" t="s">
        <v>757</v>
      </c>
      <c r="M43" s="11"/>
      <c r="N43" s="14" t="n">
        <v>1</v>
      </c>
      <c r="O43" s="14" t="n">
        <v>3</v>
      </c>
      <c r="P43" s="14" t="n">
        <v>5</v>
      </c>
      <c r="Q43" s="14"/>
      <c r="R43" s="12" t="n">
        <f aca="false">IF(OR(N43="",P43=""),"",ROUND(N43*O43/P43,1))</f>
        <v>0.6</v>
      </c>
      <c r="S43" s="13" t="n">
        <f aca="false">IF(R43="","",IF(Q43="Y",1,IF(P43&gt;='Read me'!$B$16,3,IF(AND(R43&gt;='Read me'!$B$14,P43&lt;='Read me'!$B$15),1,2))))</f>
        <v>3</v>
      </c>
    </row>
    <row r="44" customFormat="false" ht="23.85" hidden="false" customHeight="false" outlineLevel="0" collapsed="false">
      <c r="A44" s="11" t="s">
        <v>758</v>
      </c>
      <c r="B44" s="11" t="s">
        <v>32</v>
      </c>
      <c r="C44" s="11" t="s">
        <v>70</v>
      </c>
      <c r="D44" s="11" t="s">
        <v>71</v>
      </c>
      <c r="E44" s="11" t="s">
        <v>751</v>
      </c>
      <c r="F44" s="11" t="s">
        <v>713</v>
      </c>
      <c r="G44" s="11" t="s">
        <v>739</v>
      </c>
      <c r="H44" s="11" t="s">
        <v>759</v>
      </c>
      <c r="I44" s="11" t="s">
        <v>760</v>
      </c>
      <c r="J44" s="11" t="s">
        <v>761</v>
      </c>
      <c r="K44" s="11" t="s">
        <v>762</v>
      </c>
      <c r="L44" s="11" t="s">
        <v>763</v>
      </c>
      <c r="M44" s="11"/>
      <c r="N44" s="14" t="n">
        <v>1</v>
      </c>
      <c r="O44" s="14" t="n">
        <v>3</v>
      </c>
      <c r="P44" s="14" t="n">
        <v>3</v>
      </c>
      <c r="Q44" s="14"/>
      <c r="R44" s="12" t="n">
        <f aca="false">IF(OR(N44="",P44=""),"",ROUND(N44*O44/P44,1))</f>
        <v>1</v>
      </c>
      <c r="S44" s="13" t="n">
        <f aca="false">IF(R44="","",IF(Q44="Y",1,IF(P44&gt;='Read me'!$B$16,3,IF(AND(R44&gt;='Read me'!$B$14,P44&lt;='Read me'!$B$15),1,2))))</f>
        <v>2</v>
      </c>
    </row>
    <row r="45" customFormat="false" ht="23.85" hidden="false" customHeight="false" outlineLevel="0" collapsed="false">
      <c r="A45" s="11" t="s">
        <v>764</v>
      </c>
      <c r="B45" s="11" t="s">
        <v>32</v>
      </c>
      <c r="C45" s="11" t="s">
        <v>70</v>
      </c>
      <c r="D45" s="11" t="s">
        <v>71</v>
      </c>
      <c r="E45" s="11" t="s">
        <v>765</v>
      </c>
      <c r="F45" s="11" t="s">
        <v>766</v>
      </c>
      <c r="G45" s="11" t="s">
        <v>767</v>
      </c>
      <c r="H45" s="11"/>
      <c r="I45" s="11" t="s">
        <v>768</v>
      </c>
      <c r="J45" s="11" t="s">
        <v>769</v>
      </c>
      <c r="K45" s="11" t="s">
        <v>770</v>
      </c>
      <c r="L45" s="11" t="s">
        <v>771</v>
      </c>
      <c r="M45" s="11"/>
      <c r="N45" s="14" t="n">
        <v>1</v>
      </c>
      <c r="O45" s="14" t="n">
        <v>3</v>
      </c>
      <c r="P45" s="14" t="n">
        <v>3</v>
      </c>
      <c r="Q45" s="14"/>
      <c r="R45" s="12" t="n">
        <f aca="false">IF(OR(N45="",P45=""),"",ROUND(N45*O45/P45,1))</f>
        <v>1</v>
      </c>
      <c r="S45" s="13" t="n">
        <f aca="false">IF(R45="","",IF(Q45="Y",1,IF(P45&gt;='Read me'!$B$16,3,IF(AND(R45&gt;='Read me'!$B$14,P45&lt;='Read me'!$B$15),1,2))))</f>
        <v>2</v>
      </c>
    </row>
    <row r="46" customFormat="false" ht="23.85" hidden="false" customHeight="false" outlineLevel="0" collapsed="false">
      <c r="A46" s="11" t="s">
        <v>772</v>
      </c>
      <c r="B46" s="11" t="s">
        <v>32</v>
      </c>
      <c r="C46" s="11" t="s">
        <v>74</v>
      </c>
      <c r="D46" s="11" t="s">
        <v>75</v>
      </c>
      <c r="E46" s="11" t="s">
        <v>476</v>
      </c>
      <c r="F46" s="11" t="s">
        <v>773</v>
      </c>
      <c r="G46" s="11" t="s">
        <v>774</v>
      </c>
      <c r="H46" s="11"/>
      <c r="I46" s="11" t="s">
        <v>512</v>
      </c>
      <c r="J46" s="11" t="s">
        <v>775</v>
      </c>
      <c r="K46" s="11" t="s">
        <v>776</v>
      </c>
      <c r="L46" s="11" t="s">
        <v>777</v>
      </c>
      <c r="M46" s="11"/>
      <c r="N46" s="14" t="n">
        <v>2</v>
      </c>
      <c r="O46" s="14" t="n">
        <v>4</v>
      </c>
      <c r="P46" s="14" t="n">
        <v>2</v>
      </c>
      <c r="Q46" s="14"/>
      <c r="R46" s="12" t="n">
        <f aca="false">IF(OR(N46="",P46=""),"",ROUND(N46*O46/P46,1))</f>
        <v>4</v>
      </c>
      <c r="S46" s="13" t="n">
        <f aca="false">IF(R46="","",IF(Q46="Y",1,IF(P46&gt;='Read me'!$B$16,3,IF(AND(R46&gt;='Read me'!$B$14,P46&lt;='Read me'!$B$15),1,2))))</f>
        <v>2</v>
      </c>
    </row>
    <row r="47" customFormat="false" ht="23.85" hidden="false" customHeight="false" outlineLevel="0" collapsed="false">
      <c r="A47" s="11" t="s">
        <v>778</v>
      </c>
      <c r="B47" s="11" t="s">
        <v>32</v>
      </c>
      <c r="C47" s="11" t="s">
        <v>74</v>
      </c>
      <c r="D47" s="11" t="s">
        <v>75</v>
      </c>
      <c r="E47" s="11" t="s">
        <v>532</v>
      </c>
      <c r="F47" s="11" t="s">
        <v>773</v>
      </c>
      <c r="G47" s="11" t="s">
        <v>491</v>
      </c>
      <c r="H47" s="11"/>
      <c r="I47" s="11" t="s">
        <v>779</v>
      </c>
      <c r="J47" s="11" t="s">
        <v>780</v>
      </c>
      <c r="K47" s="11" t="s">
        <v>781</v>
      </c>
      <c r="L47" s="11" t="s">
        <v>782</v>
      </c>
      <c r="M47" s="11" t="s">
        <v>783</v>
      </c>
      <c r="N47" s="14" t="n">
        <v>2</v>
      </c>
      <c r="O47" s="14" t="n">
        <v>5</v>
      </c>
      <c r="P47" s="14" t="n">
        <v>2</v>
      </c>
      <c r="Q47" s="14"/>
      <c r="R47" s="12" t="n">
        <f aca="false">IF(OR(N47="",P47=""),"",ROUND(N47*O47/P47,1))</f>
        <v>5</v>
      </c>
      <c r="S47" s="13" t="n">
        <f aca="false">IF(R47="","",IF(Q47="Y",1,IF(P47&gt;='Read me'!$B$16,3,IF(AND(R47&gt;='Read me'!$B$14,P47&lt;='Read me'!$B$15),1,2))))</f>
        <v>2</v>
      </c>
    </row>
    <row r="48" customFormat="false" ht="23.85" hidden="false" customHeight="false" outlineLevel="0" collapsed="false">
      <c r="A48" s="11" t="s">
        <v>784</v>
      </c>
      <c r="B48" s="11" t="s">
        <v>32</v>
      </c>
      <c r="C48" s="11" t="s">
        <v>74</v>
      </c>
      <c r="D48" s="11" t="s">
        <v>75</v>
      </c>
      <c r="E48" s="11" t="s">
        <v>532</v>
      </c>
      <c r="F48" s="11" t="s">
        <v>773</v>
      </c>
      <c r="G48" s="11" t="s">
        <v>540</v>
      </c>
      <c r="H48" s="11"/>
      <c r="I48" s="11" t="s">
        <v>785</v>
      </c>
      <c r="J48" s="11" t="s">
        <v>786</v>
      </c>
      <c r="K48" s="11" t="s">
        <v>543</v>
      </c>
      <c r="L48" s="11" t="s">
        <v>787</v>
      </c>
      <c r="M48" s="11"/>
      <c r="N48" s="14" t="n">
        <v>2</v>
      </c>
      <c r="O48" s="14" t="n">
        <v>4</v>
      </c>
      <c r="P48" s="14" t="n">
        <v>2</v>
      </c>
      <c r="Q48" s="14"/>
      <c r="R48" s="12" t="n">
        <f aca="false">IF(OR(N48="",P48=""),"",ROUND(N48*O48/P48,1))</f>
        <v>4</v>
      </c>
      <c r="S48" s="13" t="n">
        <f aca="false">IF(R48="","",IF(Q48="Y",1,IF(P48&gt;='Read me'!$B$16,3,IF(AND(R48&gt;='Read me'!$B$14,P48&lt;='Read me'!$B$15),1,2))))</f>
        <v>2</v>
      </c>
    </row>
    <row r="49" customFormat="false" ht="23.85" hidden="false" customHeight="false" outlineLevel="0" collapsed="false">
      <c r="A49" s="11" t="s">
        <v>788</v>
      </c>
      <c r="B49" s="11" t="s">
        <v>32</v>
      </c>
      <c r="C49" s="11" t="s">
        <v>74</v>
      </c>
      <c r="D49" s="11" t="s">
        <v>75</v>
      </c>
      <c r="E49" s="11" t="s">
        <v>626</v>
      </c>
      <c r="F49" s="11" t="s">
        <v>773</v>
      </c>
      <c r="G49" s="11" t="s">
        <v>789</v>
      </c>
      <c r="H49" s="11"/>
      <c r="I49" s="11" t="s">
        <v>790</v>
      </c>
      <c r="J49" s="11" t="s">
        <v>791</v>
      </c>
      <c r="K49" s="11" t="s">
        <v>792</v>
      </c>
      <c r="L49" s="11" t="s">
        <v>793</v>
      </c>
      <c r="M49" s="11"/>
      <c r="N49" s="14" t="n">
        <v>2</v>
      </c>
      <c r="O49" s="14" t="n">
        <v>5</v>
      </c>
      <c r="P49" s="14" t="n">
        <v>4</v>
      </c>
      <c r="Q49" s="14"/>
      <c r="R49" s="12" t="n">
        <f aca="false">IF(OR(N49="",P49=""),"",ROUND(N49*O49/P49,1))</f>
        <v>2.5</v>
      </c>
      <c r="S49" s="13" t="n">
        <f aca="false">IF(R49="","",IF(Q49="Y",1,IF(P49&gt;='Read me'!$B$16,3,IF(AND(R49&gt;='Read me'!$B$14,P49&lt;='Read me'!$B$15),1,2))))</f>
        <v>3</v>
      </c>
    </row>
    <row r="50" customFormat="false" ht="23.85" hidden="false" customHeight="false" outlineLevel="0" collapsed="false">
      <c r="A50" s="11" t="s">
        <v>794</v>
      </c>
      <c r="B50" s="11" t="s">
        <v>32</v>
      </c>
      <c r="C50" s="11" t="s">
        <v>74</v>
      </c>
      <c r="D50" s="11" t="s">
        <v>75</v>
      </c>
      <c r="E50" s="11" t="s">
        <v>751</v>
      </c>
      <c r="F50" s="11" t="s">
        <v>773</v>
      </c>
      <c r="G50" s="11" t="s">
        <v>795</v>
      </c>
      <c r="H50" s="11" t="s">
        <v>796</v>
      </c>
      <c r="I50" s="11" t="s">
        <v>797</v>
      </c>
      <c r="J50" s="11" t="s">
        <v>798</v>
      </c>
      <c r="K50" s="11" t="s">
        <v>799</v>
      </c>
      <c r="L50" s="11" t="s">
        <v>800</v>
      </c>
      <c r="M50" s="11"/>
      <c r="N50" s="14" t="n">
        <v>1</v>
      </c>
      <c r="O50" s="14" t="n">
        <v>3</v>
      </c>
      <c r="P50" s="14" t="n">
        <v>5</v>
      </c>
      <c r="Q50" s="14"/>
      <c r="R50" s="12" t="n">
        <f aca="false">IF(OR(N50="",P50=""),"",ROUND(N50*O50/P50,1))</f>
        <v>0.6</v>
      </c>
      <c r="S50" s="13" t="n">
        <f aca="false">IF(R50="","",IF(Q50="Y",1,IF(P50&gt;='Read me'!$B$16,3,IF(AND(R50&gt;='Read me'!$B$14,P50&lt;='Read me'!$B$15),1,2))))</f>
        <v>3</v>
      </c>
    </row>
    <row r="51" customFormat="false" ht="15" hidden="false" customHeight="false" outlineLevel="0" collapsed="false">
      <c r="A51" s="11" t="s">
        <v>801</v>
      </c>
      <c r="B51" s="11" t="s">
        <v>32</v>
      </c>
      <c r="C51" s="11" t="s">
        <v>74</v>
      </c>
      <c r="D51" s="11" t="s">
        <v>75</v>
      </c>
      <c r="E51" s="11" t="s">
        <v>802</v>
      </c>
      <c r="F51" s="11" t="s">
        <v>803</v>
      </c>
      <c r="G51" s="11" t="s">
        <v>804</v>
      </c>
      <c r="H51" s="11"/>
      <c r="I51" s="11" t="s">
        <v>805</v>
      </c>
      <c r="J51" s="11" t="s">
        <v>806</v>
      </c>
      <c r="K51" s="11" t="s">
        <v>807</v>
      </c>
      <c r="L51" s="11" t="s">
        <v>808</v>
      </c>
      <c r="M51" s="11"/>
      <c r="N51" s="14" t="n">
        <v>2</v>
      </c>
      <c r="O51" s="14" t="n">
        <v>4</v>
      </c>
      <c r="P51" s="14" t="n">
        <v>2</v>
      </c>
      <c r="Q51" s="14"/>
      <c r="R51" s="12" t="n">
        <f aca="false">IF(OR(N51="",P51=""),"",ROUND(N51*O51/P51,1))</f>
        <v>4</v>
      </c>
      <c r="S51" s="13" t="n">
        <f aca="false">IF(R51="","",IF(Q51="Y",1,IF(P51&gt;='Read me'!$B$16,3,IF(AND(R51&gt;='Read me'!$B$14,P51&lt;='Read me'!$B$15),1,2))))</f>
        <v>2</v>
      </c>
    </row>
    <row r="52" customFormat="false" ht="23.85" hidden="false" customHeight="false" outlineLevel="0" collapsed="false">
      <c r="A52" s="11" t="s">
        <v>809</v>
      </c>
      <c r="B52" s="11" t="s">
        <v>32</v>
      </c>
      <c r="C52" s="11" t="s">
        <v>74</v>
      </c>
      <c r="D52" s="11" t="s">
        <v>75</v>
      </c>
      <c r="E52" s="11" t="s">
        <v>802</v>
      </c>
      <c r="F52" s="11" t="s">
        <v>803</v>
      </c>
      <c r="G52" s="11" t="s">
        <v>804</v>
      </c>
      <c r="H52" s="11" t="s">
        <v>810</v>
      </c>
      <c r="I52" s="11" t="s">
        <v>811</v>
      </c>
      <c r="J52" s="11" t="s">
        <v>812</v>
      </c>
      <c r="K52" s="11" t="s">
        <v>813</v>
      </c>
      <c r="L52" s="11" t="s">
        <v>808</v>
      </c>
      <c r="M52" s="11"/>
      <c r="N52" s="14" t="n">
        <v>2</v>
      </c>
      <c r="O52" s="14" t="n">
        <v>3</v>
      </c>
      <c r="P52" s="14" t="n">
        <v>2</v>
      </c>
      <c r="Q52" s="14"/>
      <c r="R52" s="12" t="n">
        <f aca="false">IF(OR(N52="",P52=""),"",ROUND(N52*O52/P52,1))</f>
        <v>3</v>
      </c>
      <c r="S52" s="13" t="n">
        <f aca="false">IF(R52="","",IF(Q52="Y",1,IF(P52&gt;='Read me'!$B$16,3,IF(AND(R52&gt;='Read me'!$B$14,P52&lt;='Read me'!$B$15),1,2))))</f>
        <v>2</v>
      </c>
    </row>
    <row r="53" customFormat="false" ht="23.85" hidden="false" customHeight="false" outlineLevel="0" collapsed="false">
      <c r="A53" s="11" t="s">
        <v>814</v>
      </c>
      <c r="B53" s="11" t="s">
        <v>32</v>
      </c>
      <c r="C53" s="11" t="s">
        <v>74</v>
      </c>
      <c r="D53" s="11" t="s">
        <v>75</v>
      </c>
      <c r="E53" s="11" t="s">
        <v>802</v>
      </c>
      <c r="F53" s="11" t="s">
        <v>803</v>
      </c>
      <c r="G53" s="11" t="s">
        <v>815</v>
      </c>
      <c r="H53" s="11"/>
      <c r="I53" s="11" t="s">
        <v>816</v>
      </c>
      <c r="J53" s="11" t="s">
        <v>817</v>
      </c>
      <c r="K53" s="11" t="s">
        <v>818</v>
      </c>
      <c r="L53" s="11" t="s">
        <v>819</v>
      </c>
      <c r="M53" s="11"/>
      <c r="N53" s="14" t="n">
        <v>1</v>
      </c>
      <c r="O53" s="14" t="n">
        <v>3</v>
      </c>
      <c r="P53" s="14" t="n">
        <v>3</v>
      </c>
      <c r="Q53" s="14"/>
      <c r="R53" s="12" t="n">
        <f aca="false">IF(OR(N53="",P53=""),"",ROUND(N53*O53/P53,1))</f>
        <v>1</v>
      </c>
      <c r="S53" s="13" t="n">
        <f aca="false">IF(R53="","",IF(Q53="Y",1,IF(P53&gt;='Read me'!$B$16,3,IF(AND(R53&gt;='Read me'!$B$14,P53&lt;='Read me'!$B$15),1,2))))</f>
        <v>2</v>
      </c>
    </row>
    <row r="54" customFormat="false" ht="23.85" hidden="false" customHeight="false" outlineLevel="0" collapsed="false">
      <c r="A54" s="11" t="s">
        <v>820</v>
      </c>
      <c r="B54" s="11" t="s">
        <v>32</v>
      </c>
      <c r="C54" s="11" t="s">
        <v>74</v>
      </c>
      <c r="D54" s="11" t="s">
        <v>75</v>
      </c>
      <c r="E54" s="11" t="s">
        <v>765</v>
      </c>
      <c r="F54" s="11" t="s">
        <v>821</v>
      </c>
      <c r="G54" s="11" t="s">
        <v>822</v>
      </c>
      <c r="H54" s="11"/>
      <c r="I54" s="11" t="s">
        <v>823</v>
      </c>
      <c r="J54" s="11" t="s">
        <v>824</v>
      </c>
      <c r="K54" s="11" t="s">
        <v>825</v>
      </c>
      <c r="L54" s="11" t="s">
        <v>826</v>
      </c>
      <c r="M54" s="11"/>
      <c r="N54" s="14" t="n">
        <v>1</v>
      </c>
      <c r="O54" s="14" t="n">
        <v>3</v>
      </c>
      <c r="P54" s="14" t="n">
        <v>3</v>
      </c>
      <c r="Q54" s="14"/>
      <c r="R54" s="12" t="n">
        <f aca="false">IF(OR(N54="",P54=""),"",ROUND(N54*O54/P54,1))</f>
        <v>1</v>
      </c>
      <c r="S54" s="13" t="n">
        <f aca="false">IF(R54="","",IF(Q54="Y",1,IF(P54&gt;='Read me'!$B$16,3,IF(AND(R54&gt;='Read me'!$B$14,P54&lt;='Read me'!$B$15),1,2))))</f>
        <v>2</v>
      </c>
    </row>
    <row r="55" customFormat="false" ht="23.85" hidden="false" customHeight="false" outlineLevel="0" collapsed="false">
      <c r="A55" s="11" t="s">
        <v>827</v>
      </c>
      <c r="B55" s="11" t="s">
        <v>32</v>
      </c>
      <c r="C55" s="11" t="s">
        <v>79</v>
      </c>
      <c r="D55" s="11" t="s">
        <v>80</v>
      </c>
      <c r="E55" s="11" t="s">
        <v>802</v>
      </c>
      <c r="F55" s="11" t="s">
        <v>828</v>
      </c>
      <c r="G55" s="11" t="s">
        <v>829</v>
      </c>
      <c r="H55" s="11"/>
      <c r="I55" s="11" t="s">
        <v>830</v>
      </c>
      <c r="J55" s="11" t="s">
        <v>831</v>
      </c>
      <c r="K55" s="11" t="s">
        <v>832</v>
      </c>
      <c r="L55" s="11" t="s">
        <v>833</v>
      </c>
      <c r="M55" s="11"/>
      <c r="N55" s="14" t="n">
        <v>5</v>
      </c>
      <c r="O55" s="14" t="n">
        <v>4</v>
      </c>
      <c r="P55" s="14" t="n">
        <v>1</v>
      </c>
      <c r="Q55" s="14" t="s">
        <v>538</v>
      </c>
      <c r="R55" s="12" t="n">
        <f aca="false">IF(OR(N55="",P55=""),"",ROUND(N55*O55/P55,1))</f>
        <v>20</v>
      </c>
      <c r="S55" s="13" t="n">
        <f aca="false">IF(R55="","",IF(Q55="Y",1,IF(P55&gt;='Read me'!$B$16,3,IF(AND(R55&gt;='Read me'!$B$14,P55&lt;='Read me'!$B$15),1,2))))</f>
        <v>1</v>
      </c>
    </row>
    <row r="56" customFormat="false" ht="23.85" hidden="false" customHeight="false" outlineLevel="0" collapsed="false">
      <c r="A56" s="11" t="s">
        <v>834</v>
      </c>
      <c r="B56" s="11" t="s">
        <v>32</v>
      </c>
      <c r="C56" s="11" t="s">
        <v>79</v>
      </c>
      <c r="D56" s="11" t="s">
        <v>80</v>
      </c>
      <c r="E56" s="11" t="s">
        <v>802</v>
      </c>
      <c r="F56" s="11" t="s">
        <v>828</v>
      </c>
      <c r="G56" s="11" t="s">
        <v>835</v>
      </c>
      <c r="H56" s="11"/>
      <c r="I56" s="11" t="s">
        <v>836</v>
      </c>
      <c r="J56" s="11" t="s">
        <v>837</v>
      </c>
      <c r="K56" s="11" t="s">
        <v>838</v>
      </c>
      <c r="L56" s="11" t="s">
        <v>839</v>
      </c>
      <c r="M56" s="11"/>
      <c r="N56" s="14" t="n">
        <v>4</v>
      </c>
      <c r="O56" s="14" t="n">
        <v>3</v>
      </c>
      <c r="P56" s="14" t="n">
        <v>1</v>
      </c>
      <c r="Q56" s="14"/>
      <c r="R56" s="12" t="n">
        <f aca="false">IF(OR(N56="",P56=""),"",ROUND(N56*O56/P56,1))</f>
        <v>12</v>
      </c>
      <c r="S56" s="13" t="n">
        <f aca="false">IF(R56="","",IF(Q56="Y",1,IF(P56&gt;='Read me'!$B$16,3,IF(AND(R56&gt;='Read me'!$B$14,P56&lt;='Read me'!$B$15),1,2))))</f>
        <v>1</v>
      </c>
    </row>
    <row r="57" customFormat="false" ht="23.85" hidden="false" customHeight="false" outlineLevel="0" collapsed="false">
      <c r="A57" s="11" t="s">
        <v>840</v>
      </c>
      <c r="B57" s="11" t="s">
        <v>32</v>
      </c>
      <c r="C57" s="11" t="s">
        <v>79</v>
      </c>
      <c r="D57" s="11" t="s">
        <v>80</v>
      </c>
      <c r="E57" s="11" t="s">
        <v>802</v>
      </c>
      <c r="F57" s="11" t="s">
        <v>828</v>
      </c>
      <c r="G57" s="11" t="s">
        <v>841</v>
      </c>
      <c r="H57" s="11"/>
      <c r="I57" s="11" t="s">
        <v>842</v>
      </c>
      <c r="J57" s="11" t="s">
        <v>843</v>
      </c>
      <c r="K57" s="11" t="s">
        <v>832</v>
      </c>
      <c r="L57" s="11" t="s">
        <v>844</v>
      </c>
      <c r="M57" s="11"/>
      <c r="N57" s="14" t="n">
        <v>3</v>
      </c>
      <c r="O57" s="14" t="n">
        <v>3</v>
      </c>
      <c r="P57" s="14" t="n">
        <v>2</v>
      </c>
      <c r="Q57" s="14"/>
      <c r="R57" s="12" t="n">
        <f aca="false">IF(OR(N57="",P57=""),"",ROUND(N57*O57/P57,1))</f>
        <v>4.5</v>
      </c>
      <c r="S57" s="13" t="n">
        <f aca="false">IF(R57="","",IF(Q57="Y",1,IF(P57&gt;='Read me'!$B$16,3,IF(AND(R57&gt;='Read me'!$B$14,P57&lt;='Read me'!$B$15),1,2))))</f>
        <v>2</v>
      </c>
    </row>
    <row r="58" customFormat="false" ht="23.85" hidden="false" customHeight="false" outlineLevel="0" collapsed="false">
      <c r="A58" s="11" t="s">
        <v>845</v>
      </c>
      <c r="B58" s="11" t="s">
        <v>32</v>
      </c>
      <c r="C58" s="11" t="s">
        <v>79</v>
      </c>
      <c r="D58" s="11" t="s">
        <v>80</v>
      </c>
      <c r="E58" s="11" t="s">
        <v>802</v>
      </c>
      <c r="F58" s="11" t="s">
        <v>846</v>
      </c>
      <c r="G58" s="11" t="s">
        <v>847</v>
      </c>
      <c r="H58" s="11" t="s">
        <v>848</v>
      </c>
      <c r="I58" s="11" t="s">
        <v>849</v>
      </c>
      <c r="J58" s="11" t="s">
        <v>850</v>
      </c>
      <c r="K58" s="11" t="s">
        <v>690</v>
      </c>
      <c r="L58" s="11"/>
      <c r="M58" s="11"/>
      <c r="N58" s="14" t="n">
        <v>2</v>
      </c>
      <c r="O58" s="14" t="n">
        <v>2</v>
      </c>
      <c r="P58" s="14" t="n">
        <v>1</v>
      </c>
      <c r="Q58" s="14" t="s">
        <v>538</v>
      </c>
      <c r="R58" s="12" t="n">
        <f aca="false">IF(OR(N58="",P58=""),"",ROUND(N58*O58/P58,1))</f>
        <v>4</v>
      </c>
      <c r="S58" s="13" t="n">
        <f aca="false">IF(R58="","",IF(Q58="Y",1,IF(P58&gt;='Read me'!$B$16,3,IF(AND(R58&gt;='Read me'!$B$14,P58&lt;='Read me'!$B$15),1,2))))</f>
        <v>1</v>
      </c>
    </row>
    <row r="59" customFormat="false" ht="23.85" hidden="false" customHeight="false" outlineLevel="0" collapsed="false">
      <c r="A59" s="11" t="s">
        <v>851</v>
      </c>
      <c r="B59" s="11" t="s">
        <v>32</v>
      </c>
      <c r="C59" s="11" t="s">
        <v>79</v>
      </c>
      <c r="D59" s="11" t="s">
        <v>80</v>
      </c>
      <c r="E59" s="11" t="s">
        <v>802</v>
      </c>
      <c r="F59" s="11" t="s">
        <v>852</v>
      </c>
      <c r="G59" s="11" t="s">
        <v>853</v>
      </c>
      <c r="H59" s="11"/>
      <c r="I59" s="11" t="s">
        <v>854</v>
      </c>
      <c r="J59" s="11" t="s">
        <v>855</v>
      </c>
      <c r="K59" s="11" t="s">
        <v>856</v>
      </c>
      <c r="L59" s="11" t="s">
        <v>857</v>
      </c>
      <c r="M59" s="11" t="s">
        <v>858</v>
      </c>
      <c r="N59" s="14" t="n">
        <v>5</v>
      </c>
      <c r="O59" s="14" t="n">
        <v>4</v>
      </c>
      <c r="P59" s="14" t="n">
        <v>1</v>
      </c>
      <c r="Q59" s="14" t="s">
        <v>538</v>
      </c>
      <c r="R59" s="12" t="n">
        <f aca="false">IF(OR(N59="",P59=""),"",ROUND(N59*O59/P59,1))</f>
        <v>20</v>
      </c>
      <c r="S59" s="13" t="n">
        <f aca="false">IF(R59="","",IF(Q59="Y",1,IF(P59&gt;='Read me'!$B$16,3,IF(AND(R59&gt;='Read me'!$B$14,P59&lt;='Read me'!$B$15),1,2))))</f>
        <v>1</v>
      </c>
    </row>
    <row r="60" customFormat="false" ht="23.85" hidden="false" customHeight="false" outlineLevel="0" collapsed="false">
      <c r="A60" s="11" t="s">
        <v>859</v>
      </c>
      <c r="B60" s="11" t="s">
        <v>32</v>
      </c>
      <c r="C60" s="11" t="s">
        <v>79</v>
      </c>
      <c r="D60" s="11" t="s">
        <v>80</v>
      </c>
      <c r="E60" s="11" t="s">
        <v>802</v>
      </c>
      <c r="F60" s="11" t="s">
        <v>852</v>
      </c>
      <c r="G60" s="11" t="s">
        <v>860</v>
      </c>
      <c r="H60" s="11"/>
      <c r="I60" s="11" t="s">
        <v>861</v>
      </c>
      <c r="J60" s="11" t="s">
        <v>862</v>
      </c>
      <c r="K60" s="11" t="s">
        <v>863</v>
      </c>
      <c r="L60" s="11" t="s">
        <v>864</v>
      </c>
      <c r="M60" s="11"/>
      <c r="N60" s="14" t="n">
        <v>1</v>
      </c>
      <c r="O60" s="14" t="n">
        <v>2</v>
      </c>
      <c r="P60" s="14" t="n">
        <v>2</v>
      </c>
      <c r="Q60" s="14"/>
      <c r="R60" s="12" t="n">
        <f aca="false">IF(OR(N60="",P60=""),"",ROUND(N60*O60/P60,1))</f>
        <v>1</v>
      </c>
      <c r="S60" s="13" t="n">
        <f aca="false">IF(R60="","",IF(Q60="Y",1,IF(P60&gt;='Read me'!$B$16,3,IF(AND(R60&gt;='Read me'!$B$14,P60&lt;='Read me'!$B$15),1,2))))</f>
        <v>2</v>
      </c>
    </row>
    <row r="61" customFormat="false" ht="23.85" hidden="false" customHeight="false" outlineLevel="0" collapsed="false">
      <c r="A61" s="11" t="s">
        <v>865</v>
      </c>
      <c r="B61" s="11" t="s">
        <v>32</v>
      </c>
      <c r="C61" s="11" t="s">
        <v>79</v>
      </c>
      <c r="D61" s="11" t="s">
        <v>80</v>
      </c>
      <c r="E61" s="11" t="s">
        <v>802</v>
      </c>
      <c r="F61" s="11" t="s">
        <v>866</v>
      </c>
      <c r="G61" s="11" t="s">
        <v>867</v>
      </c>
      <c r="H61" s="11"/>
      <c r="I61" s="11" t="s">
        <v>868</v>
      </c>
      <c r="J61" s="11" t="s">
        <v>869</v>
      </c>
      <c r="K61" s="11" t="s">
        <v>870</v>
      </c>
      <c r="L61" s="11" t="s">
        <v>871</v>
      </c>
      <c r="M61" s="11" t="s">
        <v>872</v>
      </c>
      <c r="N61" s="14" t="n">
        <v>2</v>
      </c>
      <c r="O61" s="14" t="n">
        <v>2</v>
      </c>
      <c r="P61" s="14" t="n">
        <v>1</v>
      </c>
      <c r="Q61" s="14"/>
      <c r="R61" s="12" t="n">
        <f aca="false">IF(OR(N61="",P61=""),"",ROUND(N61*O61/P61,1))</f>
        <v>4</v>
      </c>
      <c r="S61" s="13" t="n">
        <f aca="false">IF(R61="","",IF(Q61="Y",1,IF(P61&gt;='Read me'!$B$16,3,IF(AND(R61&gt;='Read me'!$B$14,P61&lt;='Read me'!$B$15),1,2))))</f>
        <v>2</v>
      </c>
    </row>
    <row r="62" customFormat="false" ht="23.85" hidden="false" customHeight="false" outlineLevel="0" collapsed="false">
      <c r="A62" s="11" t="s">
        <v>873</v>
      </c>
      <c r="B62" s="11" t="s">
        <v>32</v>
      </c>
      <c r="C62" s="11" t="s">
        <v>79</v>
      </c>
      <c r="D62" s="11" t="s">
        <v>80</v>
      </c>
      <c r="E62" s="11" t="s">
        <v>802</v>
      </c>
      <c r="F62" s="11" t="s">
        <v>874</v>
      </c>
      <c r="G62" s="11" t="s">
        <v>511</v>
      </c>
      <c r="H62" s="11"/>
      <c r="I62" s="11" t="s">
        <v>875</v>
      </c>
      <c r="J62" s="11" t="s">
        <v>876</v>
      </c>
      <c r="K62" s="11" t="s">
        <v>877</v>
      </c>
      <c r="L62" s="11" t="s">
        <v>878</v>
      </c>
      <c r="M62" s="11"/>
      <c r="N62" s="14" t="n">
        <v>3</v>
      </c>
      <c r="O62" s="14" t="n">
        <v>4</v>
      </c>
      <c r="P62" s="14" t="n">
        <v>1</v>
      </c>
      <c r="Q62" s="14"/>
      <c r="R62" s="12" t="n">
        <f aca="false">IF(OR(N62="",P62=""),"",ROUND(N62*O62/P62,1))</f>
        <v>12</v>
      </c>
      <c r="S62" s="13" t="n">
        <f aca="false">IF(R62="","",IF(Q62="Y",1,IF(P62&gt;='Read me'!$B$16,3,IF(AND(R62&gt;='Read me'!$B$14,P62&lt;='Read me'!$B$15),1,2))))</f>
        <v>1</v>
      </c>
    </row>
    <row r="63" customFormat="false" ht="23.85" hidden="false" customHeight="false" outlineLevel="0" collapsed="false">
      <c r="A63" s="11" t="s">
        <v>879</v>
      </c>
      <c r="B63" s="11" t="s">
        <v>32</v>
      </c>
      <c r="C63" s="11" t="s">
        <v>79</v>
      </c>
      <c r="D63" s="11" t="s">
        <v>80</v>
      </c>
      <c r="E63" s="11" t="s">
        <v>802</v>
      </c>
      <c r="F63" s="11" t="s">
        <v>880</v>
      </c>
      <c r="G63" s="11" t="s">
        <v>881</v>
      </c>
      <c r="H63" s="11"/>
      <c r="I63" s="11" t="s">
        <v>882</v>
      </c>
      <c r="J63" s="11" t="s">
        <v>883</v>
      </c>
      <c r="K63" s="11" t="s">
        <v>884</v>
      </c>
      <c r="L63" s="11"/>
      <c r="M63" s="11"/>
      <c r="N63" s="14" t="n">
        <v>2</v>
      </c>
      <c r="O63" s="14" t="n">
        <v>3</v>
      </c>
      <c r="P63" s="14" t="n">
        <v>1</v>
      </c>
      <c r="Q63" s="14"/>
      <c r="R63" s="12" t="n">
        <f aca="false">IF(OR(N63="",P63=""),"",ROUND(N63*O63/P63,1))</f>
        <v>6</v>
      </c>
      <c r="S63" s="13" t="n">
        <f aca="false">IF(R63="","",IF(Q63="Y",1,IF(P63&gt;='Read me'!$B$16,3,IF(AND(R63&gt;='Read me'!$B$14,P63&lt;='Read me'!$B$15),1,2))))</f>
        <v>1</v>
      </c>
    </row>
    <row r="64" customFormat="false" ht="23.85" hidden="false" customHeight="false" outlineLevel="0" collapsed="false">
      <c r="A64" s="11" t="s">
        <v>885</v>
      </c>
      <c r="B64" s="11" t="s">
        <v>32</v>
      </c>
      <c r="C64" s="11" t="s">
        <v>79</v>
      </c>
      <c r="D64" s="11" t="s">
        <v>80</v>
      </c>
      <c r="E64" s="11" t="s">
        <v>802</v>
      </c>
      <c r="F64" s="11" t="s">
        <v>886</v>
      </c>
      <c r="G64" s="11" t="s">
        <v>887</v>
      </c>
      <c r="H64" s="11"/>
      <c r="I64" s="11" t="s">
        <v>888</v>
      </c>
      <c r="J64" s="11" t="s">
        <v>889</v>
      </c>
      <c r="K64" s="11" t="s">
        <v>890</v>
      </c>
      <c r="L64" s="11" t="s">
        <v>891</v>
      </c>
      <c r="M64" s="11" t="s">
        <v>892</v>
      </c>
      <c r="N64" s="14" t="n">
        <v>3</v>
      </c>
      <c r="O64" s="14" t="n">
        <v>4</v>
      </c>
      <c r="P64" s="14" t="n">
        <v>4</v>
      </c>
      <c r="Q64" s="14"/>
      <c r="R64" s="12" t="n">
        <f aca="false">IF(OR(N64="",P64=""),"",ROUND(N64*O64/P64,1))</f>
        <v>3</v>
      </c>
      <c r="S64" s="13" t="n">
        <f aca="false">IF(R64="","",IF(Q64="Y",1,IF(P64&gt;='Read me'!$B$16,3,IF(AND(R64&gt;='Read me'!$B$14,P64&lt;='Read me'!$B$15),1,2))))</f>
        <v>3</v>
      </c>
    </row>
    <row r="65" customFormat="false" ht="23.85" hidden="false" customHeight="false" outlineLevel="0" collapsed="false">
      <c r="A65" s="11" t="s">
        <v>893</v>
      </c>
      <c r="B65" s="11" t="s">
        <v>32</v>
      </c>
      <c r="C65" s="11" t="s">
        <v>79</v>
      </c>
      <c r="D65" s="11" t="s">
        <v>80</v>
      </c>
      <c r="E65" s="11" t="s">
        <v>802</v>
      </c>
      <c r="F65" s="11" t="s">
        <v>894</v>
      </c>
      <c r="G65" s="11" t="s">
        <v>895</v>
      </c>
      <c r="H65" s="11"/>
      <c r="I65" s="11" t="s">
        <v>894</v>
      </c>
      <c r="J65" s="11" t="s">
        <v>896</v>
      </c>
      <c r="K65" s="11" t="s">
        <v>897</v>
      </c>
      <c r="L65" s="11"/>
      <c r="M65" s="11"/>
      <c r="N65" s="14" t="n">
        <v>4</v>
      </c>
      <c r="O65" s="14" t="n">
        <v>5</v>
      </c>
      <c r="P65" s="14" t="n">
        <v>1</v>
      </c>
      <c r="Q65" s="14"/>
      <c r="R65" s="12" t="n">
        <f aca="false">IF(OR(N65="",P65=""),"",ROUND(N65*O65/P65,1))</f>
        <v>20</v>
      </c>
      <c r="S65" s="13" t="n">
        <f aca="false">IF(R65="","",IF(Q65="Y",1,IF(P65&gt;='Read me'!$B$16,3,IF(AND(R65&gt;='Read me'!$B$14,P65&lt;='Read me'!$B$15),1,2))))</f>
        <v>1</v>
      </c>
    </row>
    <row r="66" customFormat="false" ht="23.85" hidden="false" customHeight="false" outlineLevel="0" collapsed="false">
      <c r="A66" s="11" t="s">
        <v>898</v>
      </c>
      <c r="B66" s="11" t="s">
        <v>32</v>
      </c>
      <c r="C66" s="11" t="s">
        <v>79</v>
      </c>
      <c r="D66" s="11" t="s">
        <v>80</v>
      </c>
      <c r="E66" s="11" t="s">
        <v>802</v>
      </c>
      <c r="F66" s="11" t="s">
        <v>899</v>
      </c>
      <c r="G66" s="11" t="s">
        <v>900</v>
      </c>
      <c r="H66" s="11"/>
      <c r="I66" s="11" t="s">
        <v>901</v>
      </c>
      <c r="J66" s="11" t="s">
        <v>902</v>
      </c>
      <c r="K66" s="11" t="s">
        <v>903</v>
      </c>
      <c r="L66" s="11" t="s">
        <v>904</v>
      </c>
      <c r="M66" s="11"/>
      <c r="N66" s="14" t="n">
        <v>3</v>
      </c>
      <c r="O66" s="14" t="n">
        <v>3</v>
      </c>
      <c r="P66" s="14" t="n">
        <v>2</v>
      </c>
      <c r="Q66" s="14"/>
      <c r="R66" s="12" t="n">
        <f aca="false">IF(OR(N66="",P66=""),"",ROUND(N66*O66/P66,1))</f>
        <v>4.5</v>
      </c>
      <c r="S66" s="13" t="n">
        <f aca="false">IF(R66="","",IF(Q66="Y",1,IF(P66&gt;='Read me'!$B$16,3,IF(AND(R66&gt;='Read me'!$B$14,P66&lt;='Read me'!$B$15),1,2))))</f>
        <v>2</v>
      </c>
    </row>
    <row r="67" customFormat="false" ht="23.85" hidden="false" customHeight="false" outlineLevel="0" collapsed="false">
      <c r="A67" s="11" t="s">
        <v>905</v>
      </c>
      <c r="B67" s="11" t="s">
        <v>32</v>
      </c>
      <c r="C67" s="11" t="s">
        <v>79</v>
      </c>
      <c r="D67" s="11" t="s">
        <v>80</v>
      </c>
      <c r="E67" s="11" t="s">
        <v>802</v>
      </c>
      <c r="F67" s="11" t="s">
        <v>906</v>
      </c>
      <c r="G67" s="11" t="s">
        <v>907</v>
      </c>
      <c r="H67" s="11"/>
      <c r="I67" s="11" t="s">
        <v>908</v>
      </c>
      <c r="J67" s="11" t="s">
        <v>909</v>
      </c>
      <c r="K67" s="11" t="s">
        <v>675</v>
      </c>
      <c r="L67" s="11" t="s">
        <v>910</v>
      </c>
      <c r="M67" s="11"/>
      <c r="N67" s="14" t="n">
        <v>1</v>
      </c>
      <c r="O67" s="14" t="n">
        <v>3</v>
      </c>
      <c r="P67" s="14" t="n">
        <v>4</v>
      </c>
      <c r="Q67" s="14"/>
      <c r="R67" s="12" t="n">
        <f aca="false">IF(OR(N67="",P67=""),"",ROUND(N67*O67/P67,1))</f>
        <v>0.8</v>
      </c>
      <c r="S67" s="13" t="n">
        <f aca="false">IF(R67="","",IF(Q67="Y",1,IF(P67&gt;='Read me'!$B$16,3,IF(AND(R67&gt;='Read me'!$B$14,P67&lt;='Read me'!$B$15),1,2))))</f>
        <v>3</v>
      </c>
    </row>
    <row r="68" customFormat="false" ht="23.85" hidden="false" customHeight="false" outlineLevel="0" collapsed="false">
      <c r="A68" s="11" t="s">
        <v>911</v>
      </c>
      <c r="B68" s="11" t="s">
        <v>32</v>
      </c>
      <c r="C68" s="11" t="s">
        <v>79</v>
      </c>
      <c r="D68" s="11" t="s">
        <v>80</v>
      </c>
      <c r="E68" s="11" t="s">
        <v>802</v>
      </c>
      <c r="F68" s="11" t="s">
        <v>912</v>
      </c>
      <c r="G68" s="11" t="s">
        <v>913</v>
      </c>
      <c r="H68" s="11"/>
      <c r="I68" s="11" t="s">
        <v>914</v>
      </c>
      <c r="J68" s="11" t="s">
        <v>915</v>
      </c>
      <c r="K68" s="11" t="s">
        <v>916</v>
      </c>
      <c r="L68" s="11" t="s">
        <v>917</v>
      </c>
      <c r="M68" s="11" t="s">
        <v>918</v>
      </c>
      <c r="N68" s="14" t="n">
        <v>1</v>
      </c>
      <c r="O68" s="14" t="n">
        <v>2</v>
      </c>
      <c r="P68" s="14" t="n">
        <v>3</v>
      </c>
      <c r="Q68" s="14"/>
      <c r="R68" s="12" t="n">
        <f aca="false">IF(OR(N68="",P68=""),"",ROUND(N68*O68/P68,1))</f>
        <v>0.7</v>
      </c>
      <c r="S68" s="13" t="n">
        <f aca="false">IF(R68="","",IF(Q68="Y",1,IF(P68&gt;='Read me'!$B$16,3,IF(AND(R68&gt;='Read me'!$B$14,P68&lt;='Read me'!$B$15),1,2))))</f>
        <v>2</v>
      </c>
    </row>
    <row r="69" customFormat="false" ht="23.85" hidden="false" customHeight="false" outlineLevel="0" collapsed="false">
      <c r="A69" s="11" t="s">
        <v>919</v>
      </c>
      <c r="B69" s="11" t="s">
        <v>32</v>
      </c>
      <c r="C69" s="11" t="s">
        <v>79</v>
      </c>
      <c r="D69" s="11" t="s">
        <v>80</v>
      </c>
      <c r="E69" s="11" t="s">
        <v>802</v>
      </c>
      <c r="F69" s="11" t="s">
        <v>920</v>
      </c>
      <c r="G69" s="11" t="s">
        <v>921</v>
      </c>
      <c r="H69" s="11"/>
      <c r="I69" s="11" t="s">
        <v>922</v>
      </c>
      <c r="J69" s="11" t="s">
        <v>923</v>
      </c>
      <c r="K69" s="11" t="s">
        <v>924</v>
      </c>
      <c r="L69" s="11" t="s">
        <v>925</v>
      </c>
      <c r="M69" s="11"/>
      <c r="N69" s="14" t="n">
        <v>1</v>
      </c>
      <c r="O69" s="14" t="n">
        <v>2</v>
      </c>
      <c r="P69" s="14" t="n">
        <v>2</v>
      </c>
      <c r="Q69" s="14"/>
      <c r="R69" s="12" t="n">
        <f aca="false">IF(OR(N69="",P69=""),"",ROUND(N69*O69/P69,1))</f>
        <v>1</v>
      </c>
      <c r="S69" s="13" t="n">
        <f aca="false">IF(R69="","",IF(Q69="Y",1,IF(P69&gt;='Read me'!$B$16,3,IF(AND(R69&gt;='Read me'!$B$14,P69&lt;='Read me'!$B$15),1,2))))</f>
        <v>2</v>
      </c>
    </row>
    <row r="70" customFormat="false" ht="23.85" hidden="false" customHeight="false" outlineLevel="0" collapsed="false">
      <c r="A70" s="11" t="s">
        <v>926</v>
      </c>
      <c r="B70" s="11" t="s">
        <v>32</v>
      </c>
      <c r="C70" s="11" t="s">
        <v>79</v>
      </c>
      <c r="D70" s="11" t="s">
        <v>80</v>
      </c>
      <c r="E70" s="11" t="s">
        <v>802</v>
      </c>
      <c r="F70" s="11" t="s">
        <v>852</v>
      </c>
      <c r="G70" s="11" t="s">
        <v>853</v>
      </c>
      <c r="H70" s="11" t="s">
        <v>927</v>
      </c>
      <c r="I70" s="11" t="s">
        <v>854</v>
      </c>
      <c r="J70" s="11" t="s">
        <v>928</v>
      </c>
      <c r="K70" s="11" t="s">
        <v>929</v>
      </c>
      <c r="L70" s="11" t="s">
        <v>930</v>
      </c>
      <c r="M70" s="11"/>
      <c r="N70" s="14" t="n">
        <v>2</v>
      </c>
      <c r="O70" s="14" t="n">
        <v>2</v>
      </c>
      <c r="P70" s="14" t="n">
        <v>2</v>
      </c>
      <c r="Q70" s="14" t="s">
        <v>538</v>
      </c>
      <c r="R70" s="12" t="n">
        <f aca="false">IF(OR(N70="",P70=""),"",ROUND(N70*O70/P70,1))</f>
        <v>2</v>
      </c>
      <c r="S70" s="13" t="n">
        <f aca="false">IF(R70="","",IF(Q70="Y",1,IF(P70&gt;='Read me'!$B$16,3,IF(AND(R70&gt;='Read me'!$B$14,P70&lt;='Read me'!$B$15),1,2))))</f>
        <v>1</v>
      </c>
    </row>
    <row r="71" customFormat="false" ht="23.85" hidden="false" customHeight="false" outlineLevel="0" collapsed="false">
      <c r="A71" s="11" t="s">
        <v>931</v>
      </c>
      <c r="B71" s="11" t="s">
        <v>32</v>
      </c>
      <c r="C71" s="11" t="s">
        <v>79</v>
      </c>
      <c r="D71" s="11" t="s">
        <v>80</v>
      </c>
      <c r="E71" s="11" t="s">
        <v>802</v>
      </c>
      <c r="F71" s="11" t="s">
        <v>866</v>
      </c>
      <c r="G71" s="11" t="s">
        <v>867</v>
      </c>
      <c r="H71" s="11" t="s">
        <v>932</v>
      </c>
      <c r="I71" s="11" t="s">
        <v>933</v>
      </c>
      <c r="J71" s="11" t="s">
        <v>934</v>
      </c>
      <c r="K71" s="11" t="s">
        <v>935</v>
      </c>
      <c r="L71" s="11" t="s">
        <v>936</v>
      </c>
      <c r="M71" s="11"/>
      <c r="N71" s="14" t="n">
        <v>1</v>
      </c>
      <c r="O71" s="14" t="n">
        <v>2</v>
      </c>
      <c r="P71" s="14" t="n">
        <v>2</v>
      </c>
      <c r="Q71" s="14"/>
      <c r="R71" s="12" t="n">
        <f aca="false">IF(OR(N71="",P71=""),"",ROUND(N71*O71/P71,1))</f>
        <v>1</v>
      </c>
      <c r="S71" s="13" t="n">
        <f aca="false">IF(R71="","",IF(Q71="Y",1,IF(P71&gt;='Read me'!$B$16,3,IF(AND(R71&gt;='Read me'!$B$14,P71&lt;='Read me'!$B$15),1,2))))</f>
        <v>2</v>
      </c>
    </row>
    <row r="72" customFormat="false" ht="23.85" hidden="false" customHeight="false" outlineLevel="0" collapsed="false">
      <c r="A72" s="11" t="s">
        <v>937</v>
      </c>
      <c r="B72" s="11" t="s">
        <v>32</v>
      </c>
      <c r="C72" s="11" t="s">
        <v>79</v>
      </c>
      <c r="D72" s="11" t="s">
        <v>80</v>
      </c>
      <c r="E72" s="11" t="s">
        <v>802</v>
      </c>
      <c r="F72" s="11" t="s">
        <v>828</v>
      </c>
      <c r="G72" s="11" t="s">
        <v>938</v>
      </c>
      <c r="H72" s="11" t="s">
        <v>939</v>
      </c>
      <c r="I72" s="11" t="s">
        <v>940</v>
      </c>
      <c r="J72" s="11" t="s">
        <v>941</v>
      </c>
      <c r="K72" s="11" t="s">
        <v>942</v>
      </c>
      <c r="L72" s="11" t="s">
        <v>943</v>
      </c>
      <c r="M72" s="11"/>
      <c r="N72" s="14" t="n">
        <v>1</v>
      </c>
      <c r="O72" s="14" t="n">
        <v>2</v>
      </c>
      <c r="P72" s="14" t="n">
        <v>2</v>
      </c>
      <c r="Q72" s="14"/>
      <c r="R72" s="12" t="n">
        <f aca="false">IF(OR(N72="",P72=""),"",ROUND(N72*O72/P72,1))</f>
        <v>1</v>
      </c>
      <c r="S72" s="13" t="n">
        <f aca="false">IF(R72="","",IF(Q72="Y",1,IF(P72&gt;='Read me'!$B$16,3,IF(AND(R72&gt;='Read me'!$B$14,P72&lt;='Read me'!$B$15),1,2))))</f>
        <v>2</v>
      </c>
    </row>
    <row r="73" customFormat="false" ht="23.85" hidden="false" customHeight="false" outlineLevel="0" collapsed="false">
      <c r="A73" s="11" t="s">
        <v>944</v>
      </c>
      <c r="B73" s="11" t="s">
        <v>32</v>
      </c>
      <c r="C73" s="11" t="s">
        <v>83</v>
      </c>
      <c r="D73" s="11" t="s">
        <v>84</v>
      </c>
      <c r="E73" s="11" t="s">
        <v>765</v>
      </c>
      <c r="F73" s="11" t="s">
        <v>945</v>
      </c>
      <c r="G73" s="11" t="s">
        <v>946</v>
      </c>
      <c r="H73" s="11"/>
      <c r="I73" s="11" t="s">
        <v>947</v>
      </c>
      <c r="J73" s="11" t="s">
        <v>948</v>
      </c>
      <c r="K73" s="11" t="s">
        <v>949</v>
      </c>
      <c r="L73" s="11" t="s">
        <v>950</v>
      </c>
      <c r="M73" s="11"/>
      <c r="N73" s="14" t="n">
        <v>3</v>
      </c>
      <c r="O73" s="14" t="n">
        <v>4</v>
      </c>
      <c r="P73" s="14" t="n">
        <v>3</v>
      </c>
      <c r="Q73" s="14"/>
      <c r="R73" s="12" t="n">
        <f aca="false">IF(OR(N73="",P73=""),"",ROUND(N73*O73/P73,1))</f>
        <v>4</v>
      </c>
      <c r="S73" s="13" t="n">
        <f aca="false">IF(R73="","",IF(Q73="Y",1,IF(P73&gt;='Read me'!$B$16,3,IF(AND(R73&gt;='Read me'!$B$14,P73&lt;='Read me'!$B$15),1,2))))</f>
        <v>2</v>
      </c>
    </row>
    <row r="74" customFormat="false" ht="23.85" hidden="false" customHeight="false" outlineLevel="0" collapsed="false">
      <c r="A74" s="11" t="s">
        <v>951</v>
      </c>
      <c r="B74" s="11" t="s">
        <v>32</v>
      </c>
      <c r="C74" s="11" t="s">
        <v>83</v>
      </c>
      <c r="D74" s="11" t="s">
        <v>84</v>
      </c>
      <c r="E74" s="11" t="s">
        <v>765</v>
      </c>
      <c r="F74" s="11" t="s">
        <v>952</v>
      </c>
      <c r="G74" s="11" t="s">
        <v>953</v>
      </c>
      <c r="H74" s="11"/>
      <c r="I74" s="11" t="s">
        <v>954</v>
      </c>
      <c r="J74" s="11" t="s">
        <v>955</v>
      </c>
      <c r="K74" s="11" t="s">
        <v>675</v>
      </c>
      <c r="L74" s="11" t="s">
        <v>956</v>
      </c>
      <c r="M74" s="11"/>
      <c r="N74" s="14" t="n">
        <v>2</v>
      </c>
      <c r="O74" s="14" t="n">
        <v>3</v>
      </c>
      <c r="P74" s="14" t="n">
        <v>4</v>
      </c>
      <c r="Q74" s="14"/>
      <c r="R74" s="12" t="n">
        <f aca="false">IF(OR(N74="",P74=""),"",ROUND(N74*O74/P74,1))</f>
        <v>1.5</v>
      </c>
      <c r="S74" s="13" t="n">
        <f aca="false">IF(R74="","",IF(Q74="Y",1,IF(P74&gt;='Read me'!$B$16,3,IF(AND(R74&gt;='Read me'!$B$14,P74&lt;='Read me'!$B$15),1,2))))</f>
        <v>3</v>
      </c>
    </row>
    <row r="75" customFormat="false" ht="23.85" hidden="false" customHeight="false" outlineLevel="0" collapsed="false">
      <c r="A75" s="11" t="s">
        <v>957</v>
      </c>
      <c r="B75" s="11" t="s">
        <v>32</v>
      </c>
      <c r="C75" s="11" t="s">
        <v>83</v>
      </c>
      <c r="D75" s="11" t="s">
        <v>84</v>
      </c>
      <c r="E75" s="11" t="s">
        <v>765</v>
      </c>
      <c r="F75" s="11" t="s">
        <v>958</v>
      </c>
      <c r="G75" s="11" t="s">
        <v>822</v>
      </c>
      <c r="H75" s="11"/>
      <c r="I75" s="11" t="s">
        <v>959</v>
      </c>
      <c r="J75" s="11" t="s">
        <v>960</v>
      </c>
      <c r="K75" s="11" t="s">
        <v>961</v>
      </c>
      <c r="L75" s="11" t="s">
        <v>962</v>
      </c>
      <c r="M75" s="11"/>
      <c r="N75" s="14" t="n">
        <v>3</v>
      </c>
      <c r="O75" s="14" t="n">
        <v>3</v>
      </c>
      <c r="P75" s="14" t="n">
        <v>4</v>
      </c>
      <c r="Q75" s="14"/>
      <c r="R75" s="12" t="n">
        <f aca="false">IF(OR(N75="",P75=""),"",ROUND(N75*O75/P75,1))</f>
        <v>2.3</v>
      </c>
      <c r="S75" s="13" t="n">
        <f aca="false">IF(R75="","",IF(Q75="Y",1,IF(P75&gt;='Read me'!$B$16,3,IF(AND(R75&gt;='Read me'!$B$14,P75&lt;='Read me'!$B$15),1,2))))</f>
        <v>3</v>
      </c>
    </row>
    <row r="76" customFormat="false" ht="23.85" hidden="false" customHeight="false" outlineLevel="0" collapsed="false">
      <c r="A76" s="11" t="s">
        <v>963</v>
      </c>
      <c r="B76" s="11" t="s">
        <v>32</v>
      </c>
      <c r="C76" s="11" t="s">
        <v>83</v>
      </c>
      <c r="D76" s="11" t="s">
        <v>84</v>
      </c>
      <c r="E76" s="11" t="s">
        <v>765</v>
      </c>
      <c r="F76" s="11" t="s">
        <v>945</v>
      </c>
      <c r="G76" s="11" t="s">
        <v>964</v>
      </c>
      <c r="H76" s="11" t="s">
        <v>965</v>
      </c>
      <c r="I76" s="11" t="s">
        <v>966</v>
      </c>
      <c r="J76" s="11" t="s">
        <v>967</v>
      </c>
      <c r="K76" s="11" t="s">
        <v>968</v>
      </c>
      <c r="L76" s="11" t="s">
        <v>969</v>
      </c>
      <c r="M76" s="11"/>
      <c r="N76" s="14" t="n">
        <v>3</v>
      </c>
      <c r="O76" s="14" t="n">
        <v>3</v>
      </c>
      <c r="P76" s="14" t="n">
        <v>4</v>
      </c>
      <c r="Q76" s="14"/>
      <c r="R76" s="12" t="n">
        <f aca="false">IF(OR(N76="",P76=""),"",ROUND(N76*O76/P76,1))</f>
        <v>2.3</v>
      </c>
      <c r="S76" s="13" t="n">
        <f aca="false">IF(R76="","",IF(Q76="Y",1,IF(P76&gt;='Read me'!$B$16,3,IF(AND(R76&gt;='Read me'!$B$14,P76&lt;='Read me'!$B$15),1,2))))</f>
        <v>3</v>
      </c>
    </row>
    <row r="77" customFormat="false" ht="23.85" hidden="false" customHeight="false" outlineLevel="0" collapsed="false">
      <c r="A77" s="11" t="s">
        <v>970</v>
      </c>
      <c r="B77" s="11" t="s">
        <v>32</v>
      </c>
      <c r="C77" s="11" t="s">
        <v>83</v>
      </c>
      <c r="D77" s="11" t="s">
        <v>84</v>
      </c>
      <c r="E77" s="11" t="s">
        <v>765</v>
      </c>
      <c r="F77" s="11" t="s">
        <v>945</v>
      </c>
      <c r="G77" s="11" t="s">
        <v>946</v>
      </c>
      <c r="H77" s="11" t="s">
        <v>971</v>
      </c>
      <c r="I77" s="11" t="s">
        <v>972</v>
      </c>
      <c r="J77" s="11" t="s">
        <v>973</v>
      </c>
      <c r="K77" s="11" t="s">
        <v>949</v>
      </c>
      <c r="L77" s="11" t="s">
        <v>974</v>
      </c>
      <c r="M77" s="11"/>
      <c r="N77" s="14" t="n">
        <v>3</v>
      </c>
      <c r="O77" s="14" t="n">
        <v>4</v>
      </c>
      <c r="P77" s="14" t="n">
        <v>3</v>
      </c>
      <c r="Q77" s="14"/>
      <c r="R77" s="12" t="n">
        <f aca="false">IF(OR(N77="",P77=""),"",ROUND(N77*O77/P77,1))</f>
        <v>4</v>
      </c>
      <c r="S77" s="13" t="n">
        <f aca="false">IF(R77="","",IF(Q77="Y",1,IF(P77&gt;='Read me'!$B$16,3,IF(AND(R77&gt;='Read me'!$B$14,P77&lt;='Read me'!$B$15),1,2))))</f>
        <v>2</v>
      </c>
    </row>
    <row r="78" customFormat="false" ht="23.85" hidden="false" customHeight="false" outlineLevel="0" collapsed="false">
      <c r="A78" s="11" t="s">
        <v>975</v>
      </c>
      <c r="B78" s="11" t="s">
        <v>32</v>
      </c>
      <c r="C78" s="11" t="s">
        <v>83</v>
      </c>
      <c r="D78" s="11" t="s">
        <v>84</v>
      </c>
      <c r="E78" s="11" t="s">
        <v>765</v>
      </c>
      <c r="F78" s="11" t="s">
        <v>976</v>
      </c>
      <c r="G78" s="11" t="s">
        <v>977</v>
      </c>
      <c r="H78" s="11"/>
      <c r="I78" s="11" t="s">
        <v>978</v>
      </c>
      <c r="J78" s="11" t="s">
        <v>979</v>
      </c>
      <c r="K78" s="11" t="s">
        <v>949</v>
      </c>
      <c r="L78" s="11" t="s">
        <v>980</v>
      </c>
      <c r="M78" s="11"/>
      <c r="N78" s="14" t="n">
        <v>2</v>
      </c>
      <c r="O78" s="14" t="n">
        <v>3</v>
      </c>
      <c r="P78" s="14" t="n">
        <v>3</v>
      </c>
      <c r="Q78" s="14"/>
      <c r="R78" s="12" t="n">
        <f aca="false">IF(OR(N78="",P78=""),"",ROUND(N78*O78/P78,1))</f>
        <v>2</v>
      </c>
      <c r="S78" s="13" t="n">
        <f aca="false">IF(R78="","",IF(Q78="Y",1,IF(P78&gt;='Read me'!$B$16,3,IF(AND(R78&gt;='Read me'!$B$14,P78&lt;='Read me'!$B$15),1,2))))</f>
        <v>2</v>
      </c>
    </row>
    <row r="79" customFormat="false" ht="23.85" hidden="false" customHeight="false" outlineLevel="0" collapsed="false">
      <c r="A79" s="11" t="s">
        <v>981</v>
      </c>
      <c r="B79" s="11" t="s">
        <v>32</v>
      </c>
      <c r="C79" s="11" t="s">
        <v>83</v>
      </c>
      <c r="D79" s="11" t="s">
        <v>84</v>
      </c>
      <c r="E79" s="11" t="s">
        <v>765</v>
      </c>
      <c r="F79" s="11" t="s">
        <v>958</v>
      </c>
      <c r="G79" s="11" t="s">
        <v>982</v>
      </c>
      <c r="H79" s="11"/>
      <c r="I79" s="11" t="s">
        <v>983</v>
      </c>
      <c r="J79" s="11" t="s">
        <v>984</v>
      </c>
      <c r="K79" s="11" t="s">
        <v>961</v>
      </c>
      <c r="L79" s="11" t="s">
        <v>985</v>
      </c>
      <c r="M79" s="11"/>
      <c r="N79" s="14" t="n">
        <v>3</v>
      </c>
      <c r="O79" s="14" t="n">
        <v>3</v>
      </c>
      <c r="P79" s="14" t="n">
        <v>4</v>
      </c>
      <c r="Q79" s="14"/>
      <c r="R79" s="12" t="n">
        <f aca="false">IF(OR(N79="",P79=""),"",ROUND(N79*O79/P79,1))</f>
        <v>2.3</v>
      </c>
      <c r="S79" s="13" t="n">
        <f aca="false">IF(R79="","",IF(Q79="Y",1,IF(P79&gt;='Read me'!$B$16,3,IF(AND(R79&gt;='Read me'!$B$14,P79&lt;='Read me'!$B$15),1,2))))</f>
        <v>3</v>
      </c>
    </row>
    <row r="80" customFormat="false" ht="23.85" hidden="false" customHeight="false" outlineLevel="0" collapsed="false">
      <c r="A80" s="11" t="s">
        <v>986</v>
      </c>
      <c r="B80" s="11" t="s">
        <v>32</v>
      </c>
      <c r="C80" s="11" t="s">
        <v>83</v>
      </c>
      <c r="D80" s="11" t="s">
        <v>84</v>
      </c>
      <c r="E80" s="11" t="s">
        <v>765</v>
      </c>
      <c r="F80" s="11" t="s">
        <v>958</v>
      </c>
      <c r="G80" s="11" t="s">
        <v>987</v>
      </c>
      <c r="H80" s="11"/>
      <c r="I80" s="11" t="s">
        <v>988</v>
      </c>
      <c r="J80" s="11" t="s">
        <v>989</v>
      </c>
      <c r="K80" s="11" t="s">
        <v>990</v>
      </c>
      <c r="L80" s="11" t="s">
        <v>991</v>
      </c>
      <c r="M80" s="11" t="s">
        <v>992</v>
      </c>
      <c r="N80" s="14" t="n">
        <v>2</v>
      </c>
      <c r="O80" s="14" t="n">
        <v>3</v>
      </c>
      <c r="P80" s="14" t="n">
        <v>3</v>
      </c>
      <c r="Q80" s="14"/>
      <c r="R80" s="12" t="n">
        <f aca="false">IF(OR(N80="",P80=""),"",ROUND(N80*O80/P80,1))</f>
        <v>2</v>
      </c>
      <c r="S80" s="13" t="n">
        <f aca="false">IF(R80="","",IF(Q80="Y",1,IF(P80&gt;='Read me'!$B$16,3,IF(AND(R80&gt;='Read me'!$B$14,P80&lt;='Read me'!$B$15),1,2))))</f>
        <v>2</v>
      </c>
    </row>
    <row r="81" customFormat="false" ht="23.85" hidden="false" customHeight="false" outlineLevel="0" collapsed="false">
      <c r="A81" s="11" t="s">
        <v>993</v>
      </c>
      <c r="B81" s="11" t="s">
        <v>32</v>
      </c>
      <c r="C81" s="11" t="s">
        <v>83</v>
      </c>
      <c r="D81" s="11" t="s">
        <v>84</v>
      </c>
      <c r="E81" s="11" t="s">
        <v>765</v>
      </c>
      <c r="F81" s="11" t="s">
        <v>958</v>
      </c>
      <c r="G81" s="11" t="s">
        <v>994</v>
      </c>
      <c r="H81" s="11"/>
      <c r="I81" s="11" t="s">
        <v>995</v>
      </c>
      <c r="J81" s="11" t="s">
        <v>996</v>
      </c>
      <c r="K81" s="11" t="s">
        <v>997</v>
      </c>
      <c r="L81" s="11" t="s">
        <v>998</v>
      </c>
      <c r="M81" s="11"/>
      <c r="N81" s="14" t="n">
        <v>2</v>
      </c>
      <c r="O81" s="14" t="n">
        <v>3</v>
      </c>
      <c r="P81" s="14" t="n">
        <v>3</v>
      </c>
      <c r="Q81" s="14"/>
      <c r="R81" s="12" t="n">
        <f aca="false">IF(OR(N81="",P81=""),"",ROUND(N81*O81/P81,1))</f>
        <v>2</v>
      </c>
      <c r="S81" s="13" t="n">
        <f aca="false">IF(R81="","",IF(Q81="Y",1,IF(P81&gt;='Read me'!$B$16,3,IF(AND(R81&gt;='Read me'!$B$14,P81&lt;='Read me'!$B$15),1,2))))</f>
        <v>2</v>
      </c>
    </row>
    <row r="82" customFormat="false" ht="23.85" hidden="false" customHeight="false" outlineLevel="0" collapsed="false">
      <c r="A82" s="11" t="s">
        <v>999</v>
      </c>
      <c r="B82" s="11" t="s">
        <v>32</v>
      </c>
      <c r="C82" s="11" t="s">
        <v>83</v>
      </c>
      <c r="D82" s="11" t="s">
        <v>84</v>
      </c>
      <c r="E82" s="11" t="s">
        <v>765</v>
      </c>
      <c r="F82" s="11" t="s">
        <v>945</v>
      </c>
      <c r="G82" s="11" t="s">
        <v>1000</v>
      </c>
      <c r="H82" s="11" t="s">
        <v>612</v>
      </c>
      <c r="I82" s="11" t="s">
        <v>1001</v>
      </c>
      <c r="J82" s="11" t="s">
        <v>1002</v>
      </c>
      <c r="K82" s="11" t="s">
        <v>1003</v>
      </c>
      <c r="L82" s="11" t="s">
        <v>1004</v>
      </c>
      <c r="M82" s="11"/>
      <c r="N82" s="14" t="n">
        <v>1</v>
      </c>
      <c r="O82" s="14" t="n">
        <v>2</v>
      </c>
      <c r="P82" s="14" t="n">
        <v>3</v>
      </c>
      <c r="Q82" s="14"/>
      <c r="R82" s="12" t="n">
        <f aca="false">IF(OR(N82="",P82=""),"",ROUND(N82*O82/P82,1))</f>
        <v>0.7</v>
      </c>
      <c r="S82" s="13" t="n">
        <f aca="false">IF(R82="","",IF(Q82="Y",1,IF(P82&gt;='Read me'!$B$16,3,IF(AND(R82&gt;='Read me'!$B$14,P82&lt;='Read me'!$B$15),1,2))))</f>
        <v>2</v>
      </c>
    </row>
    <row r="83" customFormat="false" ht="23.85" hidden="false" customHeight="false" outlineLevel="0" collapsed="false">
      <c r="A83" s="11" t="s">
        <v>1005</v>
      </c>
      <c r="B83" s="11" t="s">
        <v>32</v>
      </c>
      <c r="C83" s="11" t="s">
        <v>83</v>
      </c>
      <c r="D83" s="11" t="s">
        <v>84</v>
      </c>
      <c r="E83" s="11" t="s">
        <v>765</v>
      </c>
      <c r="F83" s="11" t="s">
        <v>1006</v>
      </c>
      <c r="G83" s="11" t="s">
        <v>804</v>
      </c>
      <c r="H83" s="11"/>
      <c r="I83" s="11" t="s">
        <v>1007</v>
      </c>
      <c r="J83" s="11" t="s">
        <v>1008</v>
      </c>
      <c r="K83" s="11" t="s">
        <v>1009</v>
      </c>
      <c r="L83" s="11" t="s">
        <v>1010</v>
      </c>
      <c r="M83" s="11"/>
      <c r="N83" s="14" t="n">
        <v>2</v>
      </c>
      <c r="O83" s="14" t="n">
        <v>3</v>
      </c>
      <c r="P83" s="14" t="n">
        <v>2</v>
      </c>
      <c r="Q83" s="14"/>
      <c r="R83" s="12" t="n">
        <f aca="false">IF(OR(N83="",P83=""),"",ROUND(N83*O83/P83,1))</f>
        <v>3</v>
      </c>
      <c r="S83" s="13" t="n">
        <f aca="false">IF(R83="","",IF(Q83="Y",1,IF(P83&gt;='Read me'!$B$16,3,IF(AND(R83&gt;='Read me'!$B$14,P83&lt;='Read me'!$B$15),1,2))))</f>
        <v>2</v>
      </c>
    </row>
    <row r="84" customFormat="false" ht="15" hidden="false" customHeight="false" outlineLevel="0" collapsed="false">
      <c r="A84" s="11" t="s">
        <v>1011</v>
      </c>
      <c r="B84" s="11" t="s">
        <v>32</v>
      </c>
      <c r="C84" s="11" t="s">
        <v>87</v>
      </c>
      <c r="D84" s="11" t="s">
        <v>88</v>
      </c>
      <c r="E84" s="11" t="s">
        <v>765</v>
      </c>
      <c r="F84" s="11" t="s">
        <v>1012</v>
      </c>
      <c r="G84" s="11" t="s">
        <v>1013</v>
      </c>
      <c r="H84" s="11"/>
      <c r="I84" s="11" t="s">
        <v>836</v>
      </c>
      <c r="J84" s="11" t="s">
        <v>1014</v>
      </c>
      <c r="K84" s="11" t="s">
        <v>1015</v>
      </c>
      <c r="L84" s="11" t="s">
        <v>1016</v>
      </c>
      <c r="M84" s="11" t="s">
        <v>1017</v>
      </c>
      <c r="N84" s="14" t="n">
        <v>5</v>
      </c>
      <c r="O84" s="14" t="n">
        <v>4</v>
      </c>
      <c r="P84" s="14" t="n">
        <v>2</v>
      </c>
      <c r="Q84" s="14" t="s">
        <v>538</v>
      </c>
      <c r="R84" s="12" t="n">
        <f aca="false">IF(OR(N84="",P84=""),"",ROUND(N84*O84/P84,1))</f>
        <v>10</v>
      </c>
      <c r="S84" s="13" t="n">
        <f aca="false">IF(R84="","",IF(Q84="Y",1,IF(P84&gt;='Read me'!$B$16,3,IF(AND(R84&gt;='Read me'!$B$14,P84&lt;='Read me'!$B$15),1,2))))</f>
        <v>1</v>
      </c>
    </row>
    <row r="85" customFormat="false" ht="23.85" hidden="false" customHeight="false" outlineLevel="0" collapsed="false">
      <c r="A85" s="11" t="s">
        <v>1018</v>
      </c>
      <c r="B85" s="11" t="s">
        <v>32</v>
      </c>
      <c r="C85" s="11" t="s">
        <v>87</v>
      </c>
      <c r="D85" s="11" t="s">
        <v>88</v>
      </c>
      <c r="E85" s="11" t="s">
        <v>765</v>
      </c>
      <c r="F85" s="11" t="s">
        <v>1019</v>
      </c>
      <c r="G85" s="11" t="s">
        <v>1020</v>
      </c>
      <c r="H85" s="11"/>
      <c r="I85" s="11" t="s">
        <v>1021</v>
      </c>
      <c r="J85" s="11" t="s">
        <v>1022</v>
      </c>
      <c r="K85" s="11" t="s">
        <v>675</v>
      </c>
      <c r="L85" s="11" t="s">
        <v>1023</v>
      </c>
      <c r="M85" s="11"/>
      <c r="N85" s="14" t="n">
        <v>4</v>
      </c>
      <c r="O85" s="14" t="n">
        <v>3</v>
      </c>
      <c r="P85" s="14" t="n">
        <v>4</v>
      </c>
      <c r="Q85" s="14"/>
      <c r="R85" s="12" t="n">
        <f aca="false">IF(OR(N85="",P85=""),"",ROUND(N85*O85/P85,1))</f>
        <v>3</v>
      </c>
      <c r="S85" s="13" t="n">
        <f aca="false">IF(R85="","",IF(Q85="Y",1,IF(P85&gt;='Read me'!$B$16,3,IF(AND(R85&gt;='Read me'!$B$14,P85&lt;='Read me'!$B$15),1,2))))</f>
        <v>3</v>
      </c>
    </row>
    <row r="86" customFormat="false" ht="23.85" hidden="false" customHeight="false" outlineLevel="0" collapsed="false">
      <c r="A86" s="11" t="s">
        <v>1024</v>
      </c>
      <c r="B86" s="11" t="s">
        <v>32</v>
      </c>
      <c r="C86" s="11" t="s">
        <v>87</v>
      </c>
      <c r="D86" s="11" t="s">
        <v>88</v>
      </c>
      <c r="E86" s="11" t="s">
        <v>765</v>
      </c>
      <c r="F86" s="11" t="s">
        <v>1025</v>
      </c>
      <c r="G86" s="11" t="s">
        <v>1020</v>
      </c>
      <c r="H86" s="11"/>
      <c r="I86" s="11" t="s">
        <v>1026</v>
      </c>
      <c r="J86" s="11" t="s">
        <v>1027</v>
      </c>
      <c r="K86" s="11" t="s">
        <v>1028</v>
      </c>
      <c r="L86" s="11" t="s">
        <v>1029</v>
      </c>
      <c r="M86" s="11" t="s">
        <v>1030</v>
      </c>
      <c r="N86" s="14" t="n">
        <v>3</v>
      </c>
      <c r="O86" s="14" t="n">
        <v>4</v>
      </c>
      <c r="P86" s="14" t="n">
        <v>4</v>
      </c>
      <c r="Q86" s="14"/>
      <c r="R86" s="12" t="n">
        <f aca="false">IF(OR(N86="",P86=""),"",ROUND(N86*O86/P86,1))</f>
        <v>3</v>
      </c>
      <c r="S86" s="13" t="n">
        <f aca="false">IF(R86="","",IF(Q86="Y",1,IF(P86&gt;='Read me'!$B$16,3,IF(AND(R86&gt;='Read me'!$B$14,P86&lt;='Read me'!$B$15),1,2))))</f>
        <v>3</v>
      </c>
    </row>
    <row r="87" customFormat="false" ht="35.05" hidden="false" customHeight="false" outlineLevel="0" collapsed="false">
      <c r="A87" s="11" t="s">
        <v>1031</v>
      </c>
      <c r="B87" s="11" t="s">
        <v>32</v>
      </c>
      <c r="C87" s="11" t="s">
        <v>87</v>
      </c>
      <c r="D87" s="11" t="s">
        <v>88</v>
      </c>
      <c r="E87" s="11" t="s">
        <v>765</v>
      </c>
      <c r="F87" s="11" t="s">
        <v>1032</v>
      </c>
      <c r="G87" s="11" t="s">
        <v>1033</v>
      </c>
      <c r="H87" s="11"/>
      <c r="I87" s="11" t="s">
        <v>1034</v>
      </c>
      <c r="J87" s="11" t="s">
        <v>1035</v>
      </c>
      <c r="K87" s="11" t="s">
        <v>1028</v>
      </c>
      <c r="L87" s="11" t="s">
        <v>1036</v>
      </c>
      <c r="M87" s="11" t="s">
        <v>1037</v>
      </c>
      <c r="N87" s="14" t="n">
        <v>3</v>
      </c>
      <c r="O87" s="14" t="n">
        <v>3</v>
      </c>
      <c r="P87" s="14" t="n">
        <v>3</v>
      </c>
      <c r="Q87" s="14"/>
      <c r="R87" s="12" t="n">
        <f aca="false">IF(OR(N87="",P87=""),"",ROUND(N87*O87/P87,1))</f>
        <v>3</v>
      </c>
      <c r="S87" s="13" t="n">
        <f aca="false">IF(R87="","",IF(Q87="Y",1,IF(P87&gt;='Read me'!$B$16,3,IF(AND(R87&gt;='Read me'!$B$14,P87&lt;='Read me'!$B$15),1,2))))</f>
        <v>2</v>
      </c>
    </row>
    <row r="88" customFormat="false" ht="15" hidden="false" customHeight="false" outlineLevel="0" collapsed="false">
      <c r="A88" s="11" t="s">
        <v>1038</v>
      </c>
      <c r="B88" s="11" t="s">
        <v>32</v>
      </c>
      <c r="C88" s="11" t="s">
        <v>87</v>
      </c>
      <c r="D88" s="11" t="s">
        <v>88</v>
      </c>
      <c r="E88" s="11" t="s">
        <v>765</v>
      </c>
      <c r="F88" s="11" t="s">
        <v>1039</v>
      </c>
      <c r="G88" s="11" t="s">
        <v>1040</v>
      </c>
      <c r="H88" s="11"/>
      <c r="I88" s="11" t="s">
        <v>1041</v>
      </c>
      <c r="J88" s="11" t="s">
        <v>1042</v>
      </c>
      <c r="K88" s="11" t="s">
        <v>1043</v>
      </c>
      <c r="L88" s="11" t="s">
        <v>1044</v>
      </c>
      <c r="M88" s="11"/>
      <c r="N88" s="14" t="n">
        <v>3</v>
      </c>
      <c r="O88" s="14" t="n">
        <v>2</v>
      </c>
      <c r="P88" s="14" t="n">
        <v>2</v>
      </c>
      <c r="Q88" s="14"/>
      <c r="R88" s="12" t="n">
        <f aca="false">IF(OR(N88="",P88=""),"",ROUND(N88*O88/P88,1))</f>
        <v>3</v>
      </c>
      <c r="S88" s="13" t="n">
        <f aca="false">IF(R88="","",IF(Q88="Y",1,IF(P88&gt;='Read me'!$B$16,3,IF(AND(R88&gt;='Read me'!$B$14,P88&lt;='Read me'!$B$15),1,2))))</f>
        <v>2</v>
      </c>
    </row>
    <row r="89" customFormat="false" ht="15" hidden="false" customHeight="false" outlineLevel="0" collapsed="false">
      <c r="A89" s="11" t="s">
        <v>1045</v>
      </c>
      <c r="B89" s="11" t="s">
        <v>32</v>
      </c>
      <c r="C89" s="11" t="s">
        <v>87</v>
      </c>
      <c r="D89" s="11" t="s">
        <v>88</v>
      </c>
      <c r="E89" s="11" t="s">
        <v>765</v>
      </c>
      <c r="F89" s="11" t="s">
        <v>1046</v>
      </c>
      <c r="G89" s="11" t="s">
        <v>1047</v>
      </c>
      <c r="H89" s="11"/>
      <c r="I89" s="11" t="s">
        <v>836</v>
      </c>
      <c r="J89" s="11" t="s">
        <v>1048</v>
      </c>
      <c r="K89" s="11" t="s">
        <v>1049</v>
      </c>
      <c r="L89" s="11" t="s">
        <v>1050</v>
      </c>
      <c r="M89" s="11"/>
      <c r="N89" s="14" t="n">
        <v>4</v>
      </c>
      <c r="O89" s="14" t="n">
        <v>3</v>
      </c>
      <c r="P89" s="14" t="n">
        <v>1</v>
      </c>
      <c r="Q89" s="14"/>
      <c r="R89" s="12" t="n">
        <f aca="false">IF(OR(N89="",P89=""),"",ROUND(N89*O89/P89,1))</f>
        <v>12</v>
      </c>
      <c r="S89" s="13" t="n">
        <f aca="false">IF(R89="","",IF(Q89="Y",1,IF(P89&gt;='Read me'!$B$16,3,IF(AND(R89&gt;='Read me'!$B$14,P89&lt;='Read me'!$B$15),1,2))))</f>
        <v>1</v>
      </c>
    </row>
    <row r="90" customFormat="false" ht="15" hidden="false" customHeight="false" outlineLevel="0" collapsed="false">
      <c r="A90" s="11" t="s">
        <v>1051</v>
      </c>
      <c r="B90" s="11" t="s">
        <v>32</v>
      </c>
      <c r="C90" s="11" t="s">
        <v>87</v>
      </c>
      <c r="D90" s="11" t="s">
        <v>88</v>
      </c>
      <c r="E90" s="11" t="s">
        <v>765</v>
      </c>
      <c r="F90" s="11" t="s">
        <v>1052</v>
      </c>
      <c r="G90" s="11" t="s">
        <v>1053</v>
      </c>
      <c r="H90" s="11"/>
      <c r="I90" s="11" t="s">
        <v>1054</v>
      </c>
      <c r="J90" s="11" t="s">
        <v>1055</v>
      </c>
      <c r="K90" s="11" t="s">
        <v>1028</v>
      </c>
      <c r="L90" s="11"/>
      <c r="M90" s="11"/>
      <c r="N90" s="14" t="n">
        <v>3</v>
      </c>
      <c r="O90" s="14" t="n">
        <v>1</v>
      </c>
      <c r="P90" s="14" t="n">
        <v>1</v>
      </c>
      <c r="Q90" s="14"/>
      <c r="R90" s="12" t="n">
        <f aca="false">IF(OR(N90="",P90=""),"",ROUND(N90*O90/P90,1))</f>
        <v>3</v>
      </c>
      <c r="S90" s="13" t="n">
        <f aca="false">IF(R90="","",IF(Q90="Y",1,IF(P90&gt;='Read me'!$B$16,3,IF(AND(R90&gt;='Read me'!$B$14,P90&lt;='Read me'!$B$15),1,2))))</f>
        <v>2</v>
      </c>
    </row>
    <row r="91" customFormat="false" ht="15" hidden="false" customHeight="false" outlineLevel="0" collapsed="false">
      <c r="A91" s="11" t="s">
        <v>1056</v>
      </c>
      <c r="B91" s="11" t="s">
        <v>32</v>
      </c>
      <c r="C91" s="11" t="s">
        <v>87</v>
      </c>
      <c r="D91" s="11" t="s">
        <v>88</v>
      </c>
      <c r="E91" s="11" t="s">
        <v>765</v>
      </c>
      <c r="F91" s="11" t="s">
        <v>1057</v>
      </c>
      <c r="G91" s="11" t="s">
        <v>1058</v>
      </c>
      <c r="H91" s="11"/>
      <c r="I91" s="11" t="s">
        <v>1059</v>
      </c>
      <c r="J91" s="11" t="s">
        <v>1060</v>
      </c>
      <c r="K91" s="11" t="s">
        <v>1061</v>
      </c>
      <c r="L91" s="11" t="s">
        <v>1062</v>
      </c>
      <c r="M91" s="11"/>
      <c r="N91" s="14" t="n">
        <v>3</v>
      </c>
      <c r="O91" s="14" t="n">
        <v>3</v>
      </c>
      <c r="P91" s="14" t="n">
        <v>2</v>
      </c>
      <c r="Q91" s="14"/>
      <c r="R91" s="12" t="n">
        <f aca="false">IF(OR(N91="",P91=""),"",ROUND(N91*O91/P91,1))</f>
        <v>4.5</v>
      </c>
      <c r="S91" s="13" t="n">
        <f aca="false">IF(R91="","",IF(Q91="Y",1,IF(P91&gt;='Read me'!$B$16,3,IF(AND(R91&gt;='Read me'!$B$14,P91&lt;='Read me'!$B$15),1,2))))</f>
        <v>2</v>
      </c>
    </row>
    <row r="92" customFormat="false" ht="15" hidden="false" customHeight="false" outlineLevel="0" collapsed="false">
      <c r="A92" s="11" t="s">
        <v>1063</v>
      </c>
      <c r="B92" s="11" t="s">
        <v>32</v>
      </c>
      <c r="C92" s="11" t="s">
        <v>87</v>
      </c>
      <c r="D92" s="11" t="s">
        <v>88</v>
      </c>
      <c r="E92" s="11" t="s">
        <v>765</v>
      </c>
      <c r="F92" s="11" t="s">
        <v>1064</v>
      </c>
      <c r="G92" s="11" t="s">
        <v>1065</v>
      </c>
      <c r="H92" s="11"/>
      <c r="I92" s="11" t="s">
        <v>1066</v>
      </c>
      <c r="J92" s="11" t="s">
        <v>1067</v>
      </c>
      <c r="K92" s="11" t="s">
        <v>870</v>
      </c>
      <c r="L92" s="11" t="s">
        <v>1068</v>
      </c>
      <c r="M92" s="11"/>
      <c r="N92" s="14" t="n">
        <v>3</v>
      </c>
      <c r="O92" s="14" t="n">
        <v>2</v>
      </c>
      <c r="P92" s="14" t="n">
        <v>1</v>
      </c>
      <c r="Q92" s="14"/>
      <c r="R92" s="12" t="n">
        <f aca="false">IF(OR(N92="",P92=""),"",ROUND(N92*O92/P92,1))</f>
        <v>6</v>
      </c>
      <c r="S92" s="13" t="n">
        <f aca="false">IF(R92="","",IF(Q92="Y",1,IF(P92&gt;='Read me'!$B$16,3,IF(AND(R92&gt;='Read me'!$B$14,P92&lt;='Read me'!$B$15),1,2))))</f>
        <v>1</v>
      </c>
    </row>
    <row r="93" customFormat="false" ht="23.85" hidden="false" customHeight="false" outlineLevel="0" collapsed="false">
      <c r="A93" s="11" t="s">
        <v>1069</v>
      </c>
      <c r="B93" s="11" t="s">
        <v>32</v>
      </c>
      <c r="C93" s="11" t="s">
        <v>87</v>
      </c>
      <c r="D93" s="11" t="s">
        <v>88</v>
      </c>
      <c r="E93" s="11" t="s">
        <v>765</v>
      </c>
      <c r="F93" s="11" t="s">
        <v>1070</v>
      </c>
      <c r="G93" s="11" t="s">
        <v>1071</v>
      </c>
      <c r="H93" s="11"/>
      <c r="I93" s="11" t="s">
        <v>1072</v>
      </c>
      <c r="J93" s="11" t="s">
        <v>1073</v>
      </c>
      <c r="K93" s="11" t="s">
        <v>1028</v>
      </c>
      <c r="L93" s="11" t="s">
        <v>1074</v>
      </c>
      <c r="M93" s="11" t="s">
        <v>1075</v>
      </c>
      <c r="N93" s="14" t="n">
        <v>1</v>
      </c>
      <c r="O93" s="14" t="n">
        <v>2</v>
      </c>
      <c r="P93" s="14" t="n">
        <v>2</v>
      </c>
      <c r="Q93" s="14"/>
      <c r="R93" s="12" t="n">
        <f aca="false">IF(OR(N93="",P93=""),"",ROUND(N93*O93/P93,1))</f>
        <v>1</v>
      </c>
      <c r="S93" s="13" t="n">
        <f aca="false">IF(R93="","",IF(Q93="Y",1,IF(P93&gt;='Read me'!$B$16,3,IF(AND(R93&gt;='Read me'!$B$14,P93&lt;='Read me'!$B$15),1,2))))</f>
        <v>2</v>
      </c>
    </row>
    <row r="94" customFormat="false" ht="23.85" hidden="false" customHeight="false" outlineLevel="0" collapsed="false">
      <c r="A94" s="11" t="s">
        <v>1076</v>
      </c>
      <c r="B94" s="11" t="s">
        <v>32</v>
      </c>
      <c r="C94" s="11" t="s">
        <v>87</v>
      </c>
      <c r="D94" s="11" t="s">
        <v>88</v>
      </c>
      <c r="E94" s="11" t="s">
        <v>765</v>
      </c>
      <c r="F94" s="11" t="s">
        <v>1012</v>
      </c>
      <c r="G94" s="11" t="s">
        <v>1013</v>
      </c>
      <c r="H94" s="11" t="s">
        <v>1077</v>
      </c>
      <c r="I94" s="11" t="s">
        <v>836</v>
      </c>
      <c r="J94" s="11" t="s">
        <v>1078</v>
      </c>
      <c r="K94" s="11" t="s">
        <v>762</v>
      </c>
      <c r="L94" s="11" t="s">
        <v>1079</v>
      </c>
      <c r="M94" s="11"/>
      <c r="N94" s="14" t="n">
        <v>2</v>
      </c>
      <c r="O94" s="14" t="n">
        <v>3</v>
      </c>
      <c r="P94" s="14" t="n">
        <v>3</v>
      </c>
      <c r="Q94" s="14" t="s">
        <v>538</v>
      </c>
      <c r="R94" s="12" t="n">
        <f aca="false">IF(OR(N94="",P94=""),"",ROUND(N94*O94/P94,1))</f>
        <v>2</v>
      </c>
      <c r="S94" s="13" t="n">
        <f aca="false">IF(R94="","",IF(Q94="Y",1,IF(P94&gt;='Read me'!$B$16,3,IF(AND(R94&gt;='Read me'!$B$14,P94&lt;='Read me'!$B$15),1,2))))</f>
        <v>1</v>
      </c>
    </row>
    <row r="95" customFormat="false" ht="15" hidden="false" customHeight="false" outlineLevel="0" collapsed="false">
      <c r="A95" s="11" t="s">
        <v>1080</v>
      </c>
      <c r="B95" s="11" t="s">
        <v>32</v>
      </c>
      <c r="C95" s="11" t="s">
        <v>87</v>
      </c>
      <c r="D95" s="11" t="s">
        <v>88</v>
      </c>
      <c r="E95" s="11" t="s">
        <v>1081</v>
      </c>
      <c r="F95" s="11" t="s">
        <v>1082</v>
      </c>
      <c r="G95" s="11" t="s">
        <v>1083</v>
      </c>
      <c r="H95" s="11"/>
      <c r="I95" s="11" t="s">
        <v>1084</v>
      </c>
      <c r="J95" s="11" t="s">
        <v>1085</v>
      </c>
      <c r="K95" s="11" t="s">
        <v>1086</v>
      </c>
      <c r="L95" s="11" t="s">
        <v>1087</v>
      </c>
      <c r="M95" s="11"/>
      <c r="N95" s="14" t="n">
        <v>5</v>
      </c>
      <c r="O95" s="14" t="n">
        <v>4</v>
      </c>
      <c r="P95" s="14" t="n">
        <v>1</v>
      </c>
      <c r="Q95" s="14" t="s">
        <v>538</v>
      </c>
      <c r="R95" s="12" t="n">
        <f aca="false">IF(OR(N95="",P95=""),"",ROUND(N95*O95/P95,1))</f>
        <v>20</v>
      </c>
      <c r="S95" s="13" t="n">
        <f aca="false">IF(R95="","",IF(Q95="Y",1,IF(P95&gt;='Read me'!$B$16,3,IF(AND(R95&gt;='Read me'!$B$14,P95&lt;='Read me'!$B$15),1,2))))</f>
        <v>1</v>
      </c>
    </row>
    <row r="96" customFormat="false" ht="15" hidden="false" customHeight="false" outlineLevel="0" collapsed="false">
      <c r="A96" s="11" t="s">
        <v>1088</v>
      </c>
      <c r="B96" s="11" t="s">
        <v>32</v>
      </c>
      <c r="C96" s="11" t="s">
        <v>87</v>
      </c>
      <c r="D96" s="11" t="s">
        <v>88</v>
      </c>
      <c r="E96" s="11" t="s">
        <v>1081</v>
      </c>
      <c r="F96" s="11" t="s">
        <v>1089</v>
      </c>
      <c r="G96" s="11" t="s">
        <v>219</v>
      </c>
      <c r="H96" s="11"/>
      <c r="I96" s="11" t="s">
        <v>1090</v>
      </c>
      <c r="J96" s="11" t="s">
        <v>1091</v>
      </c>
      <c r="K96" s="11" t="s">
        <v>1092</v>
      </c>
      <c r="L96" s="11" t="s">
        <v>1093</v>
      </c>
      <c r="M96" s="11"/>
      <c r="N96" s="14" t="n">
        <v>5</v>
      </c>
      <c r="O96" s="14" t="n">
        <v>4</v>
      </c>
      <c r="P96" s="14" t="n">
        <v>2</v>
      </c>
      <c r="Q96" s="14" t="s">
        <v>538</v>
      </c>
      <c r="R96" s="12" t="n">
        <f aca="false">IF(OR(N96="",P96=""),"",ROUND(N96*O96/P96,1))</f>
        <v>10</v>
      </c>
      <c r="S96" s="13" t="n">
        <f aca="false">IF(R96="","",IF(Q96="Y",1,IF(P96&gt;='Read me'!$B$16,3,IF(AND(R96&gt;='Read me'!$B$14,P96&lt;='Read me'!$B$15),1,2))))</f>
        <v>1</v>
      </c>
    </row>
    <row r="97" customFormat="false" ht="15" hidden="false" customHeight="false" outlineLevel="0" collapsed="false">
      <c r="A97" s="11" t="s">
        <v>1094</v>
      </c>
      <c r="B97" s="11" t="s">
        <v>32</v>
      </c>
      <c r="C97" s="11" t="s">
        <v>87</v>
      </c>
      <c r="D97" s="11" t="s">
        <v>88</v>
      </c>
      <c r="E97" s="11" t="s">
        <v>1081</v>
      </c>
      <c r="F97" s="11" t="s">
        <v>1095</v>
      </c>
      <c r="G97" s="11" t="s">
        <v>219</v>
      </c>
      <c r="H97" s="11" t="s">
        <v>1096</v>
      </c>
      <c r="I97" s="11" t="s">
        <v>512</v>
      </c>
      <c r="J97" s="11" t="s">
        <v>1097</v>
      </c>
      <c r="K97" s="11" t="s">
        <v>1098</v>
      </c>
      <c r="L97" s="11"/>
      <c r="M97" s="11"/>
      <c r="N97" s="14" t="n">
        <v>3</v>
      </c>
      <c r="O97" s="14" t="n">
        <v>3</v>
      </c>
      <c r="P97" s="14" t="n">
        <v>2</v>
      </c>
      <c r="Q97" s="14"/>
      <c r="R97" s="12" t="n">
        <f aca="false">IF(OR(N97="",P97=""),"",ROUND(N97*O97/P97,1))</f>
        <v>4.5</v>
      </c>
      <c r="S97" s="13" t="n">
        <f aca="false">IF(R97="","",IF(Q97="Y",1,IF(P97&gt;='Read me'!$B$16,3,IF(AND(R97&gt;='Read me'!$B$14,P97&lt;='Read me'!$B$15),1,2))))</f>
        <v>2</v>
      </c>
    </row>
    <row r="98" customFormat="false" ht="15" hidden="false" customHeight="false" outlineLevel="0" collapsed="false">
      <c r="A98" s="11" t="s">
        <v>1099</v>
      </c>
      <c r="B98" s="11" t="s">
        <v>32</v>
      </c>
      <c r="C98" s="11" t="s">
        <v>87</v>
      </c>
      <c r="D98" s="11" t="s">
        <v>88</v>
      </c>
      <c r="E98" s="11" t="s">
        <v>1081</v>
      </c>
      <c r="F98" s="11" t="s">
        <v>1100</v>
      </c>
      <c r="G98" s="11" t="s">
        <v>1083</v>
      </c>
      <c r="H98" s="11"/>
      <c r="I98" s="11" t="s">
        <v>1101</v>
      </c>
      <c r="J98" s="11" t="s">
        <v>1102</v>
      </c>
      <c r="K98" s="11" t="s">
        <v>1103</v>
      </c>
      <c r="L98" s="11"/>
      <c r="M98" s="11"/>
      <c r="N98" s="14" t="n">
        <v>3</v>
      </c>
      <c r="O98" s="14" t="n">
        <v>3</v>
      </c>
      <c r="P98" s="14" t="n">
        <v>1</v>
      </c>
      <c r="Q98" s="14"/>
      <c r="R98" s="12" t="n">
        <f aca="false">IF(OR(N98="",P98=""),"",ROUND(N98*O98/P98,1))</f>
        <v>9</v>
      </c>
      <c r="S98" s="13" t="n">
        <f aca="false">IF(R98="","",IF(Q98="Y",1,IF(P98&gt;='Read me'!$B$16,3,IF(AND(R98&gt;='Read me'!$B$14,P98&lt;='Read me'!$B$15),1,2))))</f>
        <v>1</v>
      </c>
    </row>
    <row r="99" customFormat="false" ht="15" hidden="false" customHeight="false" outlineLevel="0" collapsed="false">
      <c r="A99" s="11" t="s">
        <v>1104</v>
      </c>
      <c r="B99" s="11" t="s">
        <v>32</v>
      </c>
      <c r="C99" s="11" t="s">
        <v>87</v>
      </c>
      <c r="D99" s="11" t="s">
        <v>88</v>
      </c>
      <c r="E99" s="11" t="s">
        <v>1081</v>
      </c>
      <c r="F99" s="11" t="s">
        <v>1105</v>
      </c>
      <c r="G99" s="11" t="s">
        <v>1106</v>
      </c>
      <c r="H99" s="11"/>
      <c r="I99" s="11" t="s">
        <v>1107</v>
      </c>
      <c r="J99" s="11" t="s">
        <v>1108</v>
      </c>
      <c r="K99" s="11" t="s">
        <v>1109</v>
      </c>
      <c r="L99" s="11" t="s">
        <v>1110</v>
      </c>
      <c r="M99" s="11"/>
      <c r="N99" s="14" t="n">
        <v>2</v>
      </c>
      <c r="O99" s="14" t="n">
        <v>2</v>
      </c>
      <c r="P99" s="14" t="n">
        <v>2</v>
      </c>
      <c r="Q99" s="14"/>
      <c r="R99" s="12" t="n">
        <f aca="false">IF(OR(N99="",P99=""),"",ROUND(N99*O99/P99,1))</f>
        <v>2</v>
      </c>
      <c r="S99" s="13" t="n">
        <f aca="false">IF(R99="","",IF(Q99="Y",1,IF(P99&gt;='Read me'!$B$16,3,IF(AND(R99&gt;='Read me'!$B$14,P99&lt;='Read me'!$B$15),1,2))))</f>
        <v>2</v>
      </c>
    </row>
    <row r="100" customFormat="false" ht="15" hidden="false" customHeight="false" outlineLevel="0" collapsed="false">
      <c r="A100" s="11" t="s">
        <v>1111</v>
      </c>
      <c r="B100" s="11" t="s">
        <v>32</v>
      </c>
      <c r="C100" s="11" t="s">
        <v>87</v>
      </c>
      <c r="D100" s="11" t="s">
        <v>88</v>
      </c>
      <c r="E100" s="11" t="s">
        <v>1081</v>
      </c>
      <c r="F100" s="11" t="s">
        <v>1112</v>
      </c>
      <c r="G100" s="11" t="s">
        <v>1083</v>
      </c>
      <c r="H100" s="11"/>
      <c r="I100" s="11" t="s">
        <v>1113</v>
      </c>
      <c r="J100" s="11" t="s">
        <v>1114</v>
      </c>
      <c r="K100" s="11" t="s">
        <v>1028</v>
      </c>
      <c r="L100" s="11" t="s">
        <v>1115</v>
      </c>
      <c r="M100" s="11"/>
      <c r="N100" s="14" t="n">
        <v>2</v>
      </c>
      <c r="O100" s="14" t="n">
        <v>2</v>
      </c>
      <c r="P100" s="14" t="n">
        <v>1</v>
      </c>
      <c r="Q100" s="14"/>
      <c r="R100" s="12" t="n">
        <f aca="false">IF(OR(N100="",P100=""),"",ROUND(N100*O100/P100,1))</f>
        <v>4</v>
      </c>
      <c r="S100" s="13" t="n">
        <f aca="false">IF(R100="","",IF(Q100="Y",1,IF(P100&gt;='Read me'!$B$16,3,IF(AND(R100&gt;='Read me'!$B$14,P100&lt;='Read me'!$B$15),1,2))))</f>
        <v>2</v>
      </c>
    </row>
    <row r="101" customFormat="false" ht="15" hidden="false" customHeight="false" outlineLevel="0" collapsed="false">
      <c r="A101" s="11" t="s">
        <v>1116</v>
      </c>
      <c r="B101" s="11" t="s">
        <v>32</v>
      </c>
      <c r="C101" s="11" t="s">
        <v>87</v>
      </c>
      <c r="D101" s="11" t="s">
        <v>88</v>
      </c>
      <c r="E101" s="11" t="s">
        <v>1081</v>
      </c>
      <c r="F101" s="11" t="s">
        <v>1117</v>
      </c>
      <c r="G101" s="11" t="s">
        <v>1118</v>
      </c>
      <c r="H101" s="11"/>
      <c r="I101" s="11" t="s">
        <v>1119</v>
      </c>
      <c r="J101" s="11" t="s">
        <v>1120</v>
      </c>
      <c r="K101" s="11" t="s">
        <v>1121</v>
      </c>
      <c r="L101" s="11"/>
      <c r="M101" s="11"/>
      <c r="N101" s="14" t="n">
        <v>3</v>
      </c>
      <c r="O101" s="14" t="n">
        <v>3</v>
      </c>
      <c r="P101" s="14" t="n">
        <v>1</v>
      </c>
      <c r="Q101" s="14"/>
      <c r="R101" s="12" t="n">
        <f aca="false">IF(OR(N101="",P101=""),"",ROUND(N101*O101/P101,1))</f>
        <v>9</v>
      </c>
      <c r="S101" s="13" t="n">
        <f aca="false">IF(R101="","",IF(Q101="Y",1,IF(P101&gt;='Read me'!$B$16,3,IF(AND(R101&gt;='Read me'!$B$14,P101&lt;='Read me'!$B$15),1,2))))</f>
        <v>1</v>
      </c>
    </row>
    <row r="102" customFormat="false" ht="23.85" hidden="false" customHeight="false" outlineLevel="0" collapsed="false">
      <c r="A102" s="11" t="s">
        <v>1122</v>
      </c>
      <c r="B102" s="11" t="s">
        <v>32</v>
      </c>
      <c r="C102" s="11" t="s">
        <v>87</v>
      </c>
      <c r="D102" s="11" t="s">
        <v>88</v>
      </c>
      <c r="E102" s="11" t="s">
        <v>1081</v>
      </c>
      <c r="F102" s="11" t="s">
        <v>1082</v>
      </c>
      <c r="G102" s="11" t="s">
        <v>1083</v>
      </c>
      <c r="H102" s="11" t="s">
        <v>1123</v>
      </c>
      <c r="I102" s="11" t="s">
        <v>1124</v>
      </c>
      <c r="J102" s="11" t="s">
        <v>1125</v>
      </c>
      <c r="K102" s="11" t="s">
        <v>675</v>
      </c>
      <c r="L102" s="11" t="s">
        <v>1126</v>
      </c>
      <c r="M102" s="11"/>
      <c r="N102" s="14" t="n">
        <v>2</v>
      </c>
      <c r="O102" s="14" t="n">
        <v>3</v>
      </c>
      <c r="P102" s="14" t="n">
        <v>3</v>
      </c>
      <c r="Q102" s="14" t="s">
        <v>538</v>
      </c>
      <c r="R102" s="12" t="n">
        <f aca="false">IF(OR(N102="",P102=""),"",ROUND(N102*O102/P102,1))</f>
        <v>2</v>
      </c>
      <c r="S102" s="13" t="n">
        <f aca="false">IF(R102="","",IF(Q102="Y",1,IF(P102&gt;='Read me'!$B$16,3,IF(AND(R102&gt;='Read me'!$B$14,P102&lt;='Read me'!$B$15),1,2))))</f>
        <v>1</v>
      </c>
    </row>
    <row r="103" customFormat="false" ht="23.85" hidden="false" customHeight="false" outlineLevel="0" collapsed="false">
      <c r="A103" s="11" t="s">
        <v>1127</v>
      </c>
      <c r="B103" s="11" t="s">
        <v>32</v>
      </c>
      <c r="C103" s="11" t="s">
        <v>87</v>
      </c>
      <c r="D103" s="11" t="s">
        <v>88</v>
      </c>
      <c r="E103" s="11" t="s">
        <v>1081</v>
      </c>
      <c r="F103" s="11" t="s">
        <v>1089</v>
      </c>
      <c r="G103" s="11" t="s">
        <v>219</v>
      </c>
      <c r="H103" s="11" t="s">
        <v>1128</v>
      </c>
      <c r="I103" s="11" t="s">
        <v>512</v>
      </c>
      <c r="J103" s="11" t="s">
        <v>1129</v>
      </c>
      <c r="K103" s="11" t="s">
        <v>1130</v>
      </c>
      <c r="L103" s="11" t="s">
        <v>1131</v>
      </c>
      <c r="M103" s="11"/>
      <c r="N103" s="14" t="n">
        <v>2</v>
      </c>
      <c r="O103" s="14" t="n">
        <v>3</v>
      </c>
      <c r="P103" s="14" t="n">
        <v>3</v>
      </c>
      <c r="Q103" s="14" t="s">
        <v>538</v>
      </c>
      <c r="R103" s="12" t="n">
        <f aca="false">IF(OR(N103="",P103=""),"",ROUND(N103*O103/P103,1))</f>
        <v>2</v>
      </c>
      <c r="S103" s="13" t="n">
        <f aca="false">IF(R103="","",IF(Q103="Y",1,IF(P103&gt;='Read me'!$B$16,3,IF(AND(R103&gt;='Read me'!$B$14,P103&lt;='Read me'!$B$15),1,2))))</f>
        <v>1</v>
      </c>
    </row>
    <row r="104" customFormat="false" ht="15" hidden="false" customHeight="false" outlineLevel="0" collapsed="false">
      <c r="A104" s="11" t="s">
        <v>1132</v>
      </c>
      <c r="B104" s="11" t="s">
        <v>32</v>
      </c>
      <c r="C104" s="11" t="s">
        <v>87</v>
      </c>
      <c r="D104" s="11" t="s">
        <v>88</v>
      </c>
      <c r="E104" s="11" t="s">
        <v>1133</v>
      </c>
      <c r="F104" s="11" t="s">
        <v>1134</v>
      </c>
      <c r="G104" s="11" t="s">
        <v>1135</v>
      </c>
      <c r="H104" s="11"/>
      <c r="I104" s="11" t="s">
        <v>1136</v>
      </c>
      <c r="J104" s="11" t="s">
        <v>1137</v>
      </c>
      <c r="K104" s="11" t="s">
        <v>1138</v>
      </c>
      <c r="L104" s="11" t="s">
        <v>1139</v>
      </c>
      <c r="M104" s="11"/>
      <c r="N104" s="14" t="n">
        <v>3</v>
      </c>
      <c r="O104" s="14" t="n">
        <v>2</v>
      </c>
      <c r="P104" s="14" t="n">
        <v>1</v>
      </c>
      <c r="Q104" s="14"/>
      <c r="R104" s="12" t="n">
        <f aca="false">IF(OR(N104="",P104=""),"",ROUND(N104*O104/P104,1))</f>
        <v>6</v>
      </c>
      <c r="S104" s="13" t="n">
        <f aca="false">IF(R104="","",IF(Q104="Y",1,IF(P104&gt;='Read me'!$B$16,3,IF(AND(R104&gt;='Read me'!$B$14,P104&lt;='Read me'!$B$15),1,2))))</f>
        <v>1</v>
      </c>
    </row>
    <row r="105" customFormat="false" ht="15" hidden="false" customHeight="false" outlineLevel="0" collapsed="false">
      <c r="A105" s="11" t="s">
        <v>1140</v>
      </c>
      <c r="B105" s="11" t="s">
        <v>32</v>
      </c>
      <c r="C105" s="11" t="s">
        <v>87</v>
      </c>
      <c r="D105" s="11" t="s">
        <v>88</v>
      </c>
      <c r="E105" s="11" t="s">
        <v>1133</v>
      </c>
      <c r="F105" s="11" t="s">
        <v>1141</v>
      </c>
      <c r="G105" s="11" t="s">
        <v>1142</v>
      </c>
      <c r="H105" s="11"/>
      <c r="I105" s="11" t="s">
        <v>1143</v>
      </c>
      <c r="J105" s="11" t="s">
        <v>1144</v>
      </c>
      <c r="K105" s="11" t="s">
        <v>1145</v>
      </c>
      <c r="L105" s="11"/>
      <c r="M105" s="11"/>
      <c r="N105" s="14" t="n">
        <v>2</v>
      </c>
      <c r="O105" s="14" t="n">
        <v>4</v>
      </c>
      <c r="P105" s="14" t="n">
        <v>1</v>
      </c>
      <c r="Q105" s="14"/>
      <c r="R105" s="12" t="n">
        <f aca="false">IF(OR(N105="",P105=""),"",ROUND(N105*O105/P105,1))</f>
        <v>8</v>
      </c>
      <c r="S105" s="13" t="n">
        <f aca="false">IF(R105="","",IF(Q105="Y",1,IF(P105&gt;='Read me'!$B$16,3,IF(AND(R105&gt;='Read me'!$B$14,P105&lt;='Read me'!$B$15),1,2))))</f>
        <v>1</v>
      </c>
    </row>
    <row r="106" customFormat="false" ht="15" hidden="false" customHeight="false" outlineLevel="0" collapsed="false">
      <c r="A106" s="11" t="s">
        <v>1146</v>
      </c>
      <c r="B106" s="11" t="s">
        <v>32</v>
      </c>
      <c r="C106" s="11" t="s">
        <v>87</v>
      </c>
      <c r="D106" s="11" t="s">
        <v>88</v>
      </c>
      <c r="E106" s="11" t="s">
        <v>1133</v>
      </c>
      <c r="F106" s="11" t="s">
        <v>1147</v>
      </c>
      <c r="G106" s="11" t="s">
        <v>1148</v>
      </c>
      <c r="H106" s="11"/>
      <c r="I106" s="11" t="s">
        <v>1149</v>
      </c>
      <c r="J106" s="11" t="s">
        <v>1150</v>
      </c>
      <c r="K106" s="11" t="s">
        <v>1151</v>
      </c>
      <c r="L106" s="11" t="s">
        <v>1152</v>
      </c>
      <c r="M106" s="11" t="s">
        <v>1153</v>
      </c>
      <c r="N106" s="14" t="n">
        <v>1</v>
      </c>
      <c r="O106" s="14" t="n">
        <v>3</v>
      </c>
      <c r="P106" s="14" t="n">
        <v>4</v>
      </c>
      <c r="Q106" s="14"/>
      <c r="R106" s="12" t="n">
        <f aca="false">IF(OR(N106="",P106=""),"",ROUND(N106*O106/P106,1))</f>
        <v>0.8</v>
      </c>
      <c r="S106" s="13" t="n">
        <f aca="false">IF(R106="","",IF(Q106="Y",1,IF(P106&gt;='Read me'!$B$16,3,IF(AND(R106&gt;='Read me'!$B$14,P106&lt;='Read me'!$B$15),1,2))))</f>
        <v>3</v>
      </c>
    </row>
    <row r="107" customFormat="false" ht="23.85" hidden="false" customHeight="false" outlineLevel="0" collapsed="false">
      <c r="A107" s="11" t="s">
        <v>1154</v>
      </c>
      <c r="B107" s="11" t="s">
        <v>32</v>
      </c>
      <c r="C107" s="11" t="s">
        <v>91</v>
      </c>
      <c r="D107" s="11" t="s">
        <v>92</v>
      </c>
      <c r="E107" s="11" t="s">
        <v>765</v>
      </c>
      <c r="F107" s="11" t="s">
        <v>1155</v>
      </c>
      <c r="G107" s="11" t="s">
        <v>1156</v>
      </c>
      <c r="H107" s="11" t="s">
        <v>1157</v>
      </c>
      <c r="I107" s="11" t="s">
        <v>512</v>
      </c>
      <c r="J107" s="11" t="s">
        <v>1158</v>
      </c>
      <c r="K107" s="11" t="s">
        <v>1159</v>
      </c>
      <c r="L107" s="11" t="s">
        <v>1160</v>
      </c>
      <c r="M107" s="11" t="s">
        <v>1161</v>
      </c>
      <c r="N107" s="14" t="n">
        <v>3</v>
      </c>
      <c r="O107" s="14" t="n">
        <v>4</v>
      </c>
      <c r="P107" s="14" t="n">
        <v>4</v>
      </c>
      <c r="Q107" s="14"/>
      <c r="R107" s="12" t="n">
        <f aca="false">IF(OR(N107="",P107=""),"",ROUND(N107*O107/P107,1))</f>
        <v>3</v>
      </c>
      <c r="S107" s="13" t="n">
        <f aca="false">IF(R107="","",IF(Q107="Y",1,IF(P107&gt;='Read me'!$B$16,3,IF(AND(R107&gt;='Read me'!$B$14,P107&lt;='Read me'!$B$15),1,2))))</f>
        <v>3</v>
      </c>
    </row>
    <row r="108" customFormat="false" ht="15" hidden="false" customHeight="false" outlineLevel="0" collapsed="false">
      <c r="A108" s="11" t="s">
        <v>1162</v>
      </c>
      <c r="B108" s="11" t="s">
        <v>32</v>
      </c>
      <c r="C108" s="11" t="s">
        <v>91</v>
      </c>
      <c r="D108" s="11" t="s">
        <v>92</v>
      </c>
      <c r="E108" s="11" t="s">
        <v>1081</v>
      </c>
      <c r="F108" s="11" t="s">
        <v>1163</v>
      </c>
      <c r="G108" s="11" t="s">
        <v>1164</v>
      </c>
      <c r="H108" s="11" t="s">
        <v>1165</v>
      </c>
      <c r="I108" s="11" t="s">
        <v>1166</v>
      </c>
      <c r="J108" s="11" t="s">
        <v>1167</v>
      </c>
      <c r="K108" s="11" t="s">
        <v>1168</v>
      </c>
      <c r="L108" s="11" t="s">
        <v>1169</v>
      </c>
      <c r="M108" s="11"/>
      <c r="N108" s="14" t="n">
        <v>1</v>
      </c>
      <c r="O108" s="14" t="n">
        <v>3</v>
      </c>
      <c r="P108" s="14" t="n">
        <v>4</v>
      </c>
      <c r="Q108" s="14"/>
      <c r="R108" s="12" t="n">
        <f aca="false">IF(OR(N108="",P108=""),"",ROUND(N108*O108/P108,1))</f>
        <v>0.8</v>
      </c>
      <c r="S108" s="13" t="n">
        <f aca="false">IF(R108="","",IF(Q108="Y",1,IF(P108&gt;='Read me'!$B$16,3,IF(AND(R108&gt;='Read me'!$B$14,P108&lt;='Read me'!$B$15),1,2))))</f>
        <v>3</v>
      </c>
    </row>
    <row r="109" customFormat="false" ht="46.25" hidden="false" customHeight="false" outlineLevel="0" collapsed="false">
      <c r="A109" s="11" t="s">
        <v>1170</v>
      </c>
      <c r="B109" s="11" t="s">
        <v>32</v>
      </c>
      <c r="C109" s="11" t="s">
        <v>91</v>
      </c>
      <c r="D109" s="11" t="s">
        <v>92</v>
      </c>
      <c r="E109" s="11" t="s">
        <v>1081</v>
      </c>
      <c r="F109" s="11" t="s">
        <v>1171</v>
      </c>
      <c r="G109" s="11" t="s">
        <v>1172</v>
      </c>
      <c r="H109" s="11" t="s">
        <v>1173</v>
      </c>
      <c r="I109" s="11" t="s">
        <v>1174</v>
      </c>
      <c r="J109" s="11" t="s">
        <v>1175</v>
      </c>
      <c r="K109" s="11" t="s">
        <v>1176</v>
      </c>
      <c r="L109" s="11" t="s">
        <v>1177</v>
      </c>
      <c r="M109" s="11" t="s">
        <v>1178</v>
      </c>
      <c r="N109" s="14" t="n">
        <v>1</v>
      </c>
      <c r="O109" s="14" t="n">
        <v>3</v>
      </c>
      <c r="P109" s="14" t="n">
        <v>5</v>
      </c>
      <c r="Q109" s="14"/>
      <c r="R109" s="12" t="n">
        <f aca="false">IF(OR(N109="",P109=""),"",ROUND(N109*O109/P109,1))</f>
        <v>0.6</v>
      </c>
      <c r="S109" s="13" t="n">
        <f aca="false">IF(R109="","",IF(Q109="Y",1,IF(P109&gt;='Read me'!$B$16,3,IF(AND(R109&gt;='Read me'!$B$14,P109&lt;='Read me'!$B$15),1,2))))</f>
        <v>3</v>
      </c>
    </row>
    <row r="110" customFormat="false" ht="15" hidden="false" customHeight="false" outlineLevel="0" collapsed="false">
      <c r="A110" s="11" t="s">
        <v>1179</v>
      </c>
      <c r="B110" s="11" t="s">
        <v>32</v>
      </c>
      <c r="C110" s="11" t="s">
        <v>91</v>
      </c>
      <c r="D110" s="11" t="s">
        <v>92</v>
      </c>
      <c r="E110" s="11" t="s">
        <v>1081</v>
      </c>
      <c r="F110" s="11" t="s">
        <v>1180</v>
      </c>
      <c r="G110" s="11" t="s">
        <v>1181</v>
      </c>
      <c r="H110" s="11" t="s">
        <v>1182</v>
      </c>
      <c r="I110" s="11" t="s">
        <v>1183</v>
      </c>
      <c r="J110" s="11" t="s">
        <v>1184</v>
      </c>
      <c r="K110" s="11" t="s">
        <v>675</v>
      </c>
      <c r="L110" s="11" t="s">
        <v>1185</v>
      </c>
      <c r="M110" s="11"/>
      <c r="N110" s="14" t="n">
        <v>1</v>
      </c>
      <c r="O110" s="14" t="n">
        <v>3</v>
      </c>
      <c r="P110" s="14" t="n">
        <v>4</v>
      </c>
      <c r="Q110" s="14"/>
      <c r="R110" s="12" t="n">
        <f aca="false">IF(OR(N110="",P110=""),"",ROUND(N110*O110/P110,1))</f>
        <v>0.8</v>
      </c>
      <c r="S110" s="13" t="n">
        <f aca="false">IF(R110="","",IF(Q110="Y",1,IF(P110&gt;='Read me'!$B$16,3,IF(AND(R110&gt;='Read me'!$B$14,P110&lt;='Read me'!$B$15),1,2))))</f>
        <v>3</v>
      </c>
    </row>
    <row r="111" customFormat="false" ht="15" hidden="false" customHeight="false" outlineLevel="0" collapsed="false">
      <c r="A111" s="11" t="s">
        <v>1186</v>
      </c>
      <c r="B111" s="11" t="s">
        <v>32</v>
      </c>
      <c r="C111" s="11" t="s">
        <v>91</v>
      </c>
      <c r="D111" s="11" t="s">
        <v>92</v>
      </c>
      <c r="E111" s="11" t="s">
        <v>1187</v>
      </c>
      <c r="F111" s="11" t="s">
        <v>1188</v>
      </c>
      <c r="G111" s="11" t="s">
        <v>1189</v>
      </c>
      <c r="H111" s="11"/>
      <c r="I111" s="11" t="s">
        <v>512</v>
      </c>
      <c r="J111" s="11" t="s">
        <v>1190</v>
      </c>
      <c r="K111" s="11" t="s">
        <v>1092</v>
      </c>
      <c r="L111" s="11"/>
      <c r="M111" s="11"/>
      <c r="N111" s="14" t="n">
        <v>4</v>
      </c>
      <c r="O111" s="14" t="n">
        <v>3</v>
      </c>
      <c r="P111" s="14" t="n">
        <v>2</v>
      </c>
      <c r="Q111" s="14"/>
      <c r="R111" s="12" t="n">
        <f aca="false">IF(OR(N111="",P111=""),"",ROUND(N111*O111/P111,1))</f>
        <v>6</v>
      </c>
      <c r="S111" s="13" t="n">
        <f aca="false">IF(R111="","",IF(Q111="Y",1,IF(P111&gt;='Read me'!$B$16,3,IF(AND(R111&gt;='Read me'!$B$14,P111&lt;='Read me'!$B$15),1,2))))</f>
        <v>1</v>
      </c>
    </row>
    <row r="112" customFormat="false" ht="46.25" hidden="false" customHeight="false" outlineLevel="0" collapsed="false">
      <c r="A112" s="11" t="s">
        <v>1191</v>
      </c>
      <c r="B112" s="11" t="s">
        <v>32</v>
      </c>
      <c r="C112" s="11" t="s">
        <v>91</v>
      </c>
      <c r="D112" s="11" t="s">
        <v>92</v>
      </c>
      <c r="E112" s="11" t="s">
        <v>1187</v>
      </c>
      <c r="F112" s="11" t="s">
        <v>1188</v>
      </c>
      <c r="G112" s="11" t="s">
        <v>1192</v>
      </c>
      <c r="H112" s="11" t="s">
        <v>1193</v>
      </c>
      <c r="I112" s="11" t="s">
        <v>512</v>
      </c>
      <c r="J112" s="11" t="s">
        <v>1194</v>
      </c>
      <c r="K112" s="11" t="s">
        <v>1176</v>
      </c>
      <c r="L112" s="11" t="s">
        <v>1195</v>
      </c>
      <c r="M112" s="11" t="s">
        <v>1196</v>
      </c>
      <c r="N112" s="14" t="n">
        <v>2</v>
      </c>
      <c r="O112" s="14" t="n">
        <v>4</v>
      </c>
      <c r="P112" s="14" t="n">
        <v>5</v>
      </c>
      <c r="Q112" s="14"/>
      <c r="R112" s="12" t="n">
        <f aca="false">IF(OR(N112="",P112=""),"",ROUND(N112*O112/P112,1))</f>
        <v>1.6</v>
      </c>
      <c r="S112" s="13" t="n">
        <f aca="false">IF(R112="","",IF(Q112="Y",1,IF(P112&gt;='Read me'!$B$16,3,IF(AND(R112&gt;='Read me'!$B$14,P112&lt;='Read me'!$B$15),1,2))))</f>
        <v>3</v>
      </c>
    </row>
    <row r="113" customFormat="false" ht="23.85" hidden="false" customHeight="false" outlineLevel="0" collapsed="false">
      <c r="A113" s="11" t="s">
        <v>1197</v>
      </c>
      <c r="B113" s="11" t="s">
        <v>32</v>
      </c>
      <c r="C113" s="11" t="s">
        <v>91</v>
      </c>
      <c r="D113" s="11" t="s">
        <v>92</v>
      </c>
      <c r="E113" s="11" t="s">
        <v>1187</v>
      </c>
      <c r="F113" s="11" t="s">
        <v>1198</v>
      </c>
      <c r="G113" s="11" t="s">
        <v>946</v>
      </c>
      <c r="H113" s="11"/>
      <c r="I113" s="11" t="s">
        <v>512</v>
      </c>
      <c r="J113" s="11" t="s">
        <v>1199</v>
      </c>
      <c r="K113" s="11" t="s">
        <v>1200</v>
      </c>
      <c r="L113" s="11" t="s">
        <v>1201</v>
      </c>
      <c r="M113" s="11"/>
      <c r="N113" s="14" t="n">
        <v>2</v>
      </c>
      <c r="O113" s="14" t="n">
        <v>5</v>
      </c>
      <c r="P113" s="14" t="n">
        <v>5</v>
      </c>
      <c r="Q113" s="14"/>
      <c r="R113" s="12" t="n">
        <f aca="false">IF(OR(N113="",P113=""),"",ROUND(N113*O113/P113,1))</f>
        <v>2</v>
      </c>
      <c r="S113" s="13" t="n">
        <f aca="false">IF(R113="","",IF(Q113="Y",1,IF(P113&gt;='Read me'!$B$16,3,IF(AND(R113&gt;='Read me'!$B$14,P113&lt;='Read me'!$B$15),1,2))))</f>
        <v>3</v>
      </c>
    </row>
    <row r="114" customFormat="false" ht="15" hidden="false" customHeight="false" outlineLevel="0" collapsed="false">
      <c r="A114" s="11" t="s">
        <v>1202</v>
      </c>
      <c r="B114" s="11" t="s">
        <v>32</v>
      </c>
      <c r="C114" s="11" t="s">
        <v>91</v>
      </c>
      <c r="D114" s="11" t="s">
        <v>92</v>
      </c>
      <c r="E114" s="11" t="s">
        <v>1187</v>
      </c>
      <c r="F114" s="11" t="s">
        <v>1198</v>
      </c>
      <c r="G114" s="11" t="s">
        <v>1083</v>
      </c>
      <c r="H114" s="11" t="s">
        <v>1203</v>
      </c>
      <c r="I114" s="11" t="s">
        <v>512</v>
      </c>
      <c r="J114" s="11" t="s">
        <v>1204</v>
      </c>
      <c r="K114" s="11" t="s">
        <v>1205</v>
      </c>
      <c r="L114" s="11" t="s">
        <v>1206</v>
      </c>
      <c r="M114" s="11"/>
      <c r="N114" s="14" t="n">
        <v>2</v>
      </c>
      <c r="O114" s="14" t="n">
        <v>5</v>
      </c>
      <c r="P114" s="14" t="n">
        <v>5</v>
      </c>
      <c r="Q114" s="14"/>
      <c r="R114" s="12" t="n">
        <f aca="false">IF(OR(N114="",P114=""),"",ROUND(N114*O114/P114,1))</f>
        <v>2</v>
      </c>
      <c r="S114" s="13" t="n">
        <f aca="false">IF(R114="","",IF(Q114="Y",1,IF(P114&gt;='Read me'!$B$16,3,IF(AND(R114&gt;='Read me'!$B$14,P114&lt;='Read me'!$B$15),1,2))))</f>
        <v>3</v>
      </c>
    </row>
    <row r="115" customFormat="false" ht="15" hidden="false" customHeight="false" outlineLevel="0" collapsed="false">
      <c r="A115" s="11" t="s">
        <v>1207</v>
      </c>
      <c r="B115" s="11" t="s">
        <v>32</v>
      </c>
      <c r="C115" s="11" t="s">
        <v>91</v>
      </c>
      <c r="D115" s="11" t="s">
        <v>92</v>
      </c>
      <c r="E115" s="11" t="s">
        <v>1187</v>
      </c>
      <c r="F115" s="11" t="s">
        <v>1208</v>
      </c>
      <c r="G115" s="11" t="s">
        <v>1209</v>
      </c>
      <c r="H115" s="11" t="s">
        <v>1210</v>
      </c>
      <c r="I115" s="11" t="s">
        <v>512</v>
      </c>
      <c r="J115" s="11" t="s">
        <v>1211</v>
      </c>
      <c r="K115" s="11" t="s">
        <v>1212</v>
      </c>
      <c r="L115" s="11" t="s">
        <v>1213</v>
      </c>
      <c r="M115" s="11"/>
      <c r="N115" s="14" t="n">
        <v>1</v>
      </c>
      <c r="O115" s="14" t="n">
        <v>4</v>
      </c>
      <c r="P115" s="14" t="n">
        <v>5</v>
      </c>
      <c r="Q115" s="14"/>
      <c r="R115" s="12" t="n">
        <f aca="false">IF(OR(N115="",P115=""),"",ROUND(N115*O115/P115,1))</f>
        <v>0.8</v>
      </c>
      <c r="S115" s="13" t="n">
        <f aca="false">IF(R115="","",IF(Q115="Y",1,IF(P115&gt;='Read me'!$B$16,3,IF(AND(R115&gt;='Read me'!$B$14,P115&lt;='Read me'!$B$15),1,2))))</f>
        <v>3</v>
      </c>
    </row>
    <row r="116" customFormat="false" ht="15" hidden="false" customHeight="false" outlineLevel="0" collapsed="false">
      <c r="A116" s="11" t="s">
        <v>1214</v>
      </c>
      <c r="B116" s="11" t="s">
        <v>32</v>
      </c>
      <c r="C116" s="11" t="s">
        <v>91</v>
      </c>
      <c r="D116" s="11" t="s">
        <v>92</v>
      </c>
      <c r="E116" s="11" t="s">
        <v>1187</v>
      </c>
      <c r="F116" s="11" t="s">
        <v>1208</v>
      </c>
      <c r="G116" s="11" t="s">
        <v>752</v>
      </c>
      <c r="H116" s="11" t="s">
        <v>1215</v>
      </c>
      <c r="I116" s="11" t="s">
        <v>512</v>
      </c>
      <c r="J116" s="11" t="s">
        <v>1216</v>
      </c>
      <c r="K116" s="11" t="s">
        <v>1168</v>
      </c>
      <c r="L116" s="11"/>
      <c r="M116" s="11"/>
      <c r="N116" s="14" t="n">
        <v>1</v>
      </c>
      <c r="O116" s="14" t="n">
        <v>3</v>
      </c>
      <c r="P116" s="14" t="n">
        <v>5</v>
      </c>
      <c r="Q116" s="14"/>
      <c r="R116" s="12" t="n">
        <f aca="false">IF(OR(N116="",P116=""),"",ROUND(N116*O116/P116,1))</f>
        <v>0.6</v>
      </c>
      <c r="S116" s="13" t="n">
        <f aca="false">IF(R116="","",IF(Q116="Y",1,IF(P116&gt;='Read me'!$B$16,3,IF(AND(R116&gt;='Read me'!$B$14,P116&lt;='Read me'!$B$15),1,2))))</f>
        <v>3</v>
      </c>
    </row>
    <row r="117" customFormat="false" ht="23.85" hidden="false" customHeight="false" outlineLevel="0" collapsed="false">
      <c r="A117" s="11" t="s">
        <v>1217</v>
      </c>
      <c r="B117" s="11" t="s">
        <v>32</v>
      </c>
      <c r="C117" s="11" t="s">
        <v>91</v>
      </c>
      <c r="D117" s="11" t="s">
        <v>92</v>
      </c>
      <c r="E117" s="11" t="s">
        <v>1187</v>
      </c>
      <c r="F117" s="11" t="s">
        <v>1218</v>
      </c>
      <c r="G117" s="11" t="s">
        <v>1219</v>
      </c>
      <c r="H117" s="11"/>
      <c r="I117" s="11" t="s">
        <v>1220</v>
      </c>
      <c r="J117" s="11" t="s">
        <v>1221</v>
      </c>
      <c r="K117" s="11" t="s">
        <v>1222</v>
      </c>
      <c r="L117" s="11" t="s">
        <v>1223</v>
      </c>
      <c r="M117" s="11" t="s">
        <v>1224</v>
      </c>
      <c r="N117" s="14" t="n">
        <v>2</v>
      </c>
      <c r="O117" s="14" t="n">
        <v>4</v>
      </c>
      <c r="P117" s="14" t="n">
        <v>4</v>
      </c>
      <c r="Q117" s="14"/>
      <c r="R117" s="12" t="n">
        <f aca="false">IF(OR(N117="",P117=""),"",ROUND(N117*O117/P117,1))</f>
        <v>2</v>
      </c>
      <c r="S117" s="13" t="n">
        <f aca="false">IF(R117="","",IF(Q117="Y",1,IF(P117&gt;='Read me'!$B$16,3,IF(AND(R117&gt;='Read me'!$B$14,P117&lt;='Read me'!$B$15),1,2))))</f>
        <v>3</v>
      </c>
    </row>
    <row r="118" customFormat="false" ht="23.85" hidden="false" customHeight="false" outlineLevel="0" collapsed="false">
      <c r="A118" s="11" t="s">
        <v>1225</v>
      </c>
      <c r="B118" s="11" t="s">
        <v>32</v>
      </c>
      <c r="C118" s="11" t="s">
        <v>91</v>
      </c>
      <c r="D118" s="11" t="s">
        <v>92</v>
      </c>
      <c r="E118" s="11" t="s">
        <v>1187</v>
      </c>
      <c r="F118" s="11" t="s">
        <v>1226</v>
      </c>
      <c r="G118" s="11" t="s">
        <v>1227</v>
      </c>
      <c r="H118" s="11" t="s">
        <v>1228</v>
      </c>
      <c r="I118" s="11" t="s">
        <v>512</v>
      </c>
      <c r="J118" s="11" t="s">
        <v>1229</v>
      </c>
      <c r="K118" s="11" t="s">
        <v>1159</v>
      </c>
      <c r="L118" s="11" t="s">
        <v>1230</v>
      </c>
      <c r="M118" s="11"/>
      <c r="N118" s="14" t="n">
        <v>2</v>
      </c>
      <c r="O118" s="14" t="n">
        <v>4</v>
      </c>
      <c r="P118" s="14" t="n">
        <v>4</v>
      </c>
      <c r="Q118" s="14"/>
      <c r="R118" s="12" t="n">
        <f aca="false">IF(OR(N118="",P118=""),"",ROUND(N118*O118/P118,1))</f>
        <v>2</v>
      </c>
      <c r="S118" s="13" t="n">
        <f aca="false">IF(R118="","",IF(Q118="Y",1,IF(P118&gt;='Read me'!$B$16,3,IF(AND(R118&gt;='Read me'!$B$14,P118&lt;='Read me'!$B$15),1,2))))</f>
        <v>3</v>
      </c>
    </row>
    <row r="119" customFormat="false" ht="15" hidden="false" customHeight="false" outlineLevel="0" collapsed="false">
      <c r="A119" s="11" t="s">
        <v>1231</v>
      </c>
      <c r="B119" s="11" t="s">
        <v>32</v>
      </c>
      <c r="C119" s="11" t="s">
        <v>91</v>
      </c>
      <c r="D119" s="11" t="s">
        <v>92</v>
      </c>
      <c r="E119" s="11" t="s">
        <v>1187</v>
      </c>
      <c r="F119" s="11" t="s">
        <v>1232</v>
      </c>
      <c r="G119" s="11" t="s">
        <v>1233</v>
      </c>
      <c r="H119" s="11"/>
      <c r="I119" s="11" t="s">
        <v>1234</v>
      </c>
      <c r="J119" s="11" t="s">
        <v>1235</v>
      </c>
      <c r="K119" s="11" t="s">
        <v>997</v>
      </c>
      <c r="L119" s="11" t="s">
        <v>1236</v>
      </c>
      <c r="M119" s="11"/>
      <c r="N119" s="14" t="n">
        <v>2</v>
      </c>
      <c r="O119" s="14" t="n">
        <v>4</v>
      </c>
      <c r="P119" s="14" t="n">
        <v>2</v>
      </c>
      <c r="Q119" s="14"/>
      <c r="R119" s="12" t="n">
        <f aca="false">IF(OR(N119="",P119=""),"",ROUND(N119*O119/P119,1))</f>
        <v>4</v>
      </c>
      <c r="S119" s="13" t="n">
        <f aca="false">IF(R119="","",IF(Q119="Y",1,IF(P119&gt;='Read me'!$B$16,3,IF(AND(R119&gt;='Read me'!$B$14,P119&lt;='Read me'!$B$15),1,2))))</f>
        <v>2</v>
      </c>
    </row>
    <row r="120" customFormat="false" ht="15" hidden="false" customHeight="false" outlineLevel="0" collapsed="false">
      <c r="A120" s="11" t="s">
        <v>1237</v>
      </c>
      <c r="B120" s="11" t="s">
        <v>32</v>
      </c>
      <c r="C120" s="11" t="s">
        <v>91</v>
      </c>
      <c r="D120" s="11" t="s">
        <v>92</v>
      </c>
      <c r="E120" s="11" t="s">
        <v>1187</v>
      </c>
      <c r="F120" s="11" t="s">
        <v>1238</v>
      </c>
      <c r="G120" s="11" t="s">
        <v>1239</v>
      </c>
      <c r="H120" s="11" t="s">
        <v>1240</v>
      </c>
      <c r="I120" s="11" t="s">
        <v>512</v>
      </c>
      <c r="J120" s="11" t="s">
        <v>1241</v>
      </c>
      <c r="K120" s="11" t="s">
        <v>675</v>
      </c>
      <c r="L120" s="11"/>
      <c r="M120" s="11"/>
      <c r="N120" s="14" t="n">
        <v>1</v>
      </c>
      <c r="O120" s="14" t="n">
        <v>3</v>
      </c>
      <c r="P120" s="14" t="n">
        <v>5</v>
      </c>
      <c r="Q120" s="14"/>
      <c r="R120" s="12" t="n">
        <f aca="false">IF(OR(N120="",P120=""),"",ROUND(N120*O120/P120,1))</f>
        <v>0.6</v>
      </c>
      <c r="S120" s="13" t="n">
        <f aca="false">IF(R120="","",IF(Q120="Y",1,IF(P120&gt;='Read me'!$B$16,3,IF(AND(R120&gt;='Read me'!$B$14,P120&lt;='Read me'!$B$15),1,2))))</f>
        <v>3</v>
      </c>
    </row>
    <row r="121" customFormat="false" ht="15" hidden="false" customHeight="false" outlineLevel="0" collapsed="false">
      <c r="A121" s="11" t="s">
        <v>1242</v>
      </c>
      <c r="B121" s="11" t="s">
        <v>32</v>
      </c>
      <c r="C121" s="11" t="s">
        <v>91</v>
      </c>
      <c r="D121" s="11" t="s">
        <v>92</v>
      </c>
      <c r="E121" s="11" t="s">
        <v>1187</v>
      </c>
      <c r="F121" s="11" t="s">
        <v>1243</v>
      </c>
      <c r="G121" s="11" t="s">
        <v>1244</v>
      </c>
      <c r="H121" s="11" t="s">
        <v>1245</v>
      </c>
      <c r="I121" s="11" t="s">
        <v>1246</v>
      </c>
      <c r="J121" s="11" t="s">
        <v>1247</v>
      </c>
      <c r="K121" s="11" t="s">
        <v>675</v>
      </c>
      <c r="L121" s="11" t="s">
        <v>1248</v>
      </c>
      <c r="M121" s="11" t="s">
        <v>1249</v>
      </c>
      <c r="N121" s="14" t="n">
        <v>1</v>
      </c>
      <c r="O121" s="14" t="n">
        <v>3</v>
      </c>
      <c r="P121" s="14" t="n">
        <v>4</v>
      </c>
      <c r="Q121" s="14"/>
      <c r="R121" s="12" t="n">
        <f aca="false">IF(OR(N121="",P121=""),"",ROUND(N121*O121/P121,1))</f>
        <v>0.8</v>
      </c>
      <c r="S121" s="13" t="n">
        <f aca="false">IF(R121="","",IF(Q121="Y",1,IF(P121&gt;='Read me'!$B$16,3,IF(AND(R121&gt;='Read me'!$B$14,P121&lt;='Read me'!$B$15),1,2))))</f>
        <v>3</v>
      </c>
    </row>
    <row r="122" customFormat="false" ht="23.85" hidden="false" customHeight="false" outlineLevel="0" collapsed="false">
      <c r="A122" s="11" t="s">
        <v>1250</v>
      </c>
      <c r="B122" s="11" t="s">
        <v>32</v>
      </c>
      <c r="C122" s="11" t="s">
        <v>95</v>
      </c>
      <c r="D122" s="11" t="s">
        <v>96</v>
      </c>
      <c r="E122" s="11" t="s">
        <v>751</v>
      </c>
      <c r="F122" s="11" t="s">
        <v>1251</v>
      </c>
      <c r="G122" s="11" t="s">
        <v>1252</v>
      </c>
      <c r="H122" s="11"/>
      <c r="I122" s="11" t="s">
        <v>1251</v>
      </c>
      <c r="J122" s="11" t="s">
        <v>1253</v>
      </c>
      <c r="K122" s="11" t="s">
        <v>1254</v>
      </c>
      <c r="L122" s="11" t="s">
        <v>1255</v>
      </c>
      <c r="M122" s="11" t="s">
        <v>1256</v>
      </c>
      <c r="N122" s="14" t="n">
        <v>5</v>
      </c>
      <c r="O122" s="14" t="n">
        <v>5</v>
      </c>
      <c r="P122" s="14" t="n">
        <v>3</v>
      </c>
      <c r="Q122" s="14" t="s">
        <v>538</v>
      </c>
      <c r="R122" s="12" t="n">
        <f aca="false">IF(OR(N122="",P122=""),"",ROUND(N122*O122/P122,1))</f>
        <v>8.3</v>
      </c>
      <c r="S122" s="13" t="n">
        <f aca="false">IF(R122="","",IF(Q122="Y",1,IF(P122&gt;='Read me'!$B$16,3,IF(AND(R122&gt;='Read me'!$B$14,P122&lt;='Read me'!$B$15),1,2))))</f>
        <v>1</v>
      </c>
    </row>
    <row r="123" customFormat="false" ht="23.85" hidden="false" customHeight="false" outlineLevel="0" collapsed="false">
      <c r="A123" s="11" t="s">
        <v>1257</v>
      </c>
      <c r="B123" s="11" t="s">
        <v>32</v>
      </c>
      <c r="C123" s="11" t="s">
        <v>95</v>
      </c>
      <c r="D123" s="11" t="s">
        <v>96</v>
      </c>
      <c r="E123" s="11" t="s">
        <v>751</v>
      </c>
      <c r="F123" s="11" t="s">
        <v>1258</v>
      </c>
      <c r="G123" s="11" t="s">
        <v>1259</v>
      </c>
      <c r="H123" s="11"/>
      <c r="I123" s="11" t="s">
        <v>1260</v>
      </c>
      <c r="J123" s="11" t="s">
        <v>1261</v>
      </c>
      <c r="K123" s="11" t="s">
        <v>1262</v>
      </c>
      <c r="L123" s="11" t="s">
        <v>1263</v>
      </c>
      <c r="M123" s="11" t="s">
        <v>1264</v>
      </c>
      <c r="N123" s="14" t="n">
        <v>5</v>
      </c>
      <c r="O123" s="14" t="n">
        <v>5</v>
      </c>
      <c r="P123" s="14" t="n">
        <v>3</v>
      </c>
      <c r="Q123" s="14" t="s">
        <v>538</v>
      </c>
      <c r="R123" s="12" t="n">
        <f aca="false">IF(OR(N123="",P123=""),"",ROUND(N123*O123/P123,1))</f>
        <v>8.3</v>
      </c>
      <c r="S123" s="13" t="n">
        <f aca="false">IF(R123="","",IF(Q123="Y",1,IF(P123&gt;='Read me'!$B$16,3,IF(AND(R123&gt;='Read me'!$B$14,P123&lt;='Read me'!$B$15),1,2))))</f>
        <v>1</v>
      </c>
    </row>
    <row r="124" customFormat="false" ht="23.85" hidden="false" customHeight="false" outlineLevel="0" collapsed="false">
      <c r="A124" s="11" t="s">
        <v>1265</v>
      </c>
      <c r="B124" s="11" t="s">
        <v>32</v>
      </c>
      <c r="C124" s="11" t="s">
        <v>95</v>
      </c>
      <c r="D124" s="11" t="s">
        <v>96</v>
      </c>
      <c r="E124" s="11" t="s">
        <v>751</v>
      </c>
      <c r="F124" s="11" t="s">
        <v>1266</v>
      </c>
      <c r="G124" s="11" t="s">
        <v>1267</v>
      </c>
      <c r="H124" s="11"/>
      <c r="I124" s="11" t="s">
        <v>1268</v>
      </c>
      <c r="J124" s="11" t="s">
        <v>1269</v>
      </c>
      <c r="K124" s="11" t="s">
        <v>1270</v>
      </c>
      <c r="L124" s="11"/>
      <c r="M124" s="11"/>
      <c r="N124" s="14" t="n">
        <v>4</v>
      </c>
      <c r="O124" s="14" t="n">
        <v>4</v>
      </c>
      <c r="P124" s="14" t="n">
        <v>2</v>
      </c>
      <c r="Q124" s="14" t="s">
        <v>538</v>
      </c>
      <c r="R124" s="12" t="n">
        <f aca="false">IF(OR(N124="",P124=""),"",ROUND(N124*O124/P124,1))</f>
        <v>8</v>
      </c>
      <c r="S124" s="13" t="n">
        <f aca="false">IF(R124="","",IF(Q124="Y",1,IF(P124&gt;='Read me'!$B$16,3,IF(AND(R124&gt;='Read me'!$B$14,P124&lt;='Read me'!$B$15),1,2))))</f>
        <v>1</v>
      </c>
    </row>
    <row r="125" customFormat="false" ht="23.85" hidden="false" customHeight="false" outlineLevel="0" collapsed="false">
      <c r="A125" s="11" t="s">
        <v>1271</v>
      </c>
      <c r="B125" s="11" t="s">
        <v>32</v>
      </c>
      <c r="C125" s="11" t="s">
        <v>95</v>
      </c>
      <c r="D125" s="11" t="s">
        <v>96</v>
      </c>
      <c r="E125" s="11" t="s">
        <v>751</v>
      </c>
      <c r="F125" s="11" t="s">
        <v>1272</v>
      </c>
      <c r="G125" s="11" t="s">
        <v>1273</v>
      </c>
      <c r="H125" s="11"/>
      <c r="I125" s="11" t="s">
        <v>1274</v>
      </c>
      <c r="J125" s="11" t="s">
        <v>1275</v>
      </c>
      <c r="K125" s="11" t="s">
        <v>1276</v>
      </c>
      <c r="L125" s="11" t="s">
        <v>1277</v>
      </c>
      <c r="M125" s="11"/>
      <c r="N125" s="14" t="n">
        <v>3</v>
      </c>
      <c r="O125" s="14" t="n">
        <v>3</v>
      </c>
      <c r="P125" s="14" t="n">
        <v>2</v>
      </c>
      <c r="Q125" s="14"/>
      <c r="R125" s="12" t="n">
        <f aca="false">IF(OR(N125="",P125=""),"",ROUND(N125*O125/P125,1))</f>
        <v>4.5</v>
      </c>
      <c r="S125" s="13" t="n">
        <f aca="false">IF(R125="","",IF(Q125="Y",1,IF(P125&gt;='Read me'!$B$16,3,IF(AND(R125&gt;='Read me'!$B$14,P125&lt;='Read me'!$B$15),1,2))))</f>
        <v>2</v>
      </c>
    </row>
    <row r="126" customFormat="false" ht="23.85" hidden="false" customHeight="false" outlineLevel="0" collapsed="false">
      <c r="A126" s="11" t="s">
        <v>1278</v>
      </c>
      <c r="B126" s="11" t="s">
        <v>32</v>
      </c>
      <c r="C126" s="11" t="s">
        <v>95</v>
      </c>
      <c r="D126" s="11" t="s">
        <v>96</v>
      </c>
      <c r="E126" s="11" t="s">
        <v>751</v>
      </c>
      <c r="F126" s="11" t="s">
        <v>1259</v>
      </c>
      <c r="G126" s="11" t="s">
        <v>1279</v>
      </c>
      <c r="H126" s="11" t="s">
        <v>1280</v>
      </c>
      <c r="I126" s="11" t="s">
        <v>1251</v>
      </c>
      <c r="J126" s="11" t="s">
        <v>1281</v>
      </c>
      <c r="K126" s="11" t="s">
        <v>1282</v>
      </c>
      <c r="L126" s="11"/>
      <c r="M126" s="11"/>
      <c r="N126" s="14" t="n">
        <v>4</v>
      </c>
      <c r="O126" s="14" t="n">
        <v>3</v>
      </c>
      <c r="P126" s="14" t="n">
        <v>2</v>
      </c>
      <c r="Q126" s="14"/>
      <c r="R126" s="12" t="n">
        <f aca="false">IF(OR(N126="",P126=""),"",ROUND(N126*O126/P126,1))</f>
        <v>6</v>
      </c>
      <c r="S126" s="13" t="n">
        <f aca="false">IF(R126="","",IF(Q126="Y",1,IF(P126&gt;='Read me'!$B$16,3,IF(AND(R126&gt;='Read me'!$B$14,P126&lt;='Read me'!$B$15),1,2))))</f>
        <v>1</v>
      </c>
    </row>
    <row r="127" customFormat="false" ht="23.85" hidden="false" customHeight="false" outlineLevel="0" collapsed="false">
      <c r="A127" s="11" t="s">
        <v>1283</v>
      </c>
      <c r="B127" s="11" t="s">
        <v>32</v>
      </c>
      <c r="C127" s="11" t="s">
        <v>95</v>
      </c>
      <c r="D127" s="11" t="s">
        <v>96</v>
      </c>
      <c r="E127" s="11" t="s">
        <v>751</v>
      </c>
      <c r="F127" s="11" t="s">
        <v>1284</v>
      </c>
      <c r="G127" s="11" t="s">
        <v>1285</v>
      </c>
      <c r="H127" s="11" t="s">
        <v>1286</v>
      </c>
      <c r="I127" s="11" t="s">
        <v>754</v>
      </c>
      <c r="J127" s="11" t="s">
        <v>1287</v>
      </c>
      <c r="K127" s="11" t="s">
        <v>616</v>
      </c>
      <c r="L127" s="11" t="s">
        <v>1288</v>
      </c>
      <c r="M127" s="11"/>
      <c r="N127" s="14" t="n">
        <v>2</v>
      </c>
      <c r="O127" s="14" t="n">
        <v>3</v>
      </c>
      <c r="P127" s="14" t="n">
        <v>4</v>
      </c>
      <c r="Q127" s="14" t="s">
        <v>538</v>
      </c>
      <c r="R127" s="12" t="n">
        <f aca="false">IF(OR(N127="",P127=""),"",ROUND(N127*O127/P127,1))</f>
        <v>1.5</v>
      </c>
      <c r="S127" s="13" t="n">
        <f aca="false">IF(R127="","",IF(Q127="Y",1,IF(P127&gt;='Read me'!$B$16,3,IF(AND(R127&gt;='Read me'!$B$14,P127&lt;='Read me'!$B$15),1,2))))</f>
        <v>1</v>
      </c>
    </row>
    <row r="128" customFormat="false" ht="23.85" hidden="false" customHeight="false" outlineLevel="0" collapsed="false">
      <c r="A128" s="11" t="s">
        <v>1289</v>
      </c>
      <c r="B128" s="11" t="s">
        <v>32</v>
      </c>
      <c r="C128" s="11" t="s">
        <v>95</v>
      </c>
      <c r="D128" s="11" t="s">
        <v>96</v>
      </c>
      <c r="E128" s="11" t="s">
        <v>751</v>
      </c>
      <c r="F128" s="11" t="s">
        <v>1290</v>
      </c>
      <c r="G128" s="11" t="s">
        <v>1291</v>
      </c>
      <c r="H128" s="11" t="s">
        <v>1292</v>
      </c>
      <c r="I128" s="11" t="s">
        <v>754</v>
      </c>
      <c r="J128" s="11" t="s">
        <v>1293</v>
      </c>
      <c r="K128" s="11" t="s">
        <v>1294</v>
      </c>
      <c r="L128" s="11" t="s">
        <v>1295</v>
      </c>
      <c r="M128" s="11" t="s">
        <v>1296</v>
      </c>
      <c r="N128" s="14" t="n">
        <v>2</v>
      </c>
      <c r="O128" s="14" t="n">
        <v>3</v>
      </c>
      <c r="P128" s="14" t="n">
        <v>4</v>
      </c>
      <c r="Q128" s="14" t="s">
        <v>538</v>
      </c>
      <c r="R128" s="12" t="n">
        <f aca="false">IF(OR(N128="",P128=""),"",ROUND(N128*O128/P128,1))</f>
        <v>1.5</v>
      </c>
      <c r="S128" s="13" t="n">
        <f aca="false">IF(R128="","",IF(Q128="Y",1,IF(P128&gt;='Read me'!$B$16,3,IF(AND(R128&gt;='Read me'!$B$14,P128&lt;='Read me'!$B$15),1,2))))</f>
        <v>1</v>
      </c>
    </row>
    <row r="129" customFormat="false" ht="23.85" hidden="false" customHeight="false" outlineLevel="0" collapsed="false">
      <c r="A129" s="11" t="s">
        <v>1297</v>
      </c>
      <c r="B129" s="11" t="s">
        <v>32</v>
      </c>
      <c r="C129" s="11" t="s">
        <v>95</v>
      </c>
      <c r="D129" s="11" t="s">
        <v>96</v>
      </c>
      <c r="E129" s="11" t="s">
        <v>751</v>
      </c>
      <c r="F129" s="11" t="s">
        <v>1298</v>
      </c>
      <c r="G129" s="11" t="s">
        <v>1299</v>
      </c>
      <c r="H129" s="11" t="s">
        <v>680</v>
      </c>
      <c r="I129" s="11" t="s">
        <v>754</v>
      </c>
      <c r="J129" s="11" t="s">
        <v>1300</v>
      </c>
      <c r="K129" s="11" t="s">
        <v>683</v>
      </c>
      <c r="L129" s="11" t="s">
        <v>1301</v>
      </c>
      <c r="M129" s="11"/>
      <c r="N129" s="14" t="n">
        <v>3</v>
      </c>
      <c r="O129" s="14" t="n">
        <v>3</v>
      </c>
      <c r="P129" s="14" t="n">
        <v>4</v>
      </c>
      <c r="Q129" s="14" t="s">
        <v>538</v>
      </c>
      <c r="R129" s="12" t="n">
        <f aca="false">IF(OR(N129="",P129=""),"",ROUND(N129*O129/P129,1))</f>
        <v>2.3</v>
      </c>
      <c r="S129" s="13" t="n">
        <f aca="false">IF(R129="","",IF(Q129="Y",1,IF(P129&gt;='Read me'!$B$16,3,IF(AND(R129&gt;='Read me'!$B$14,P129&lt;='Read me'!$B$15),1,2))))</f>
        <v>1</v>
      </c>
    </row>
    <row r="130" customFormat="false" ht="35.05" hidden="false" customHeight="false" outlineLevel="0" collapsed="false">
      <c r="A130" s="11" t="s">
        <v>1302</v>
      </c>
      <c r="B130" s="11" t="s">
        <v>32</v>
      </c>
      <c r="C130" s="11" t="s">
        <v>95</v>
      </c>
      <c r="D130" s="11" t="s">
        <v>96</v>
      </c>
      <c r="E130" s="11" t="s">
        <v>751</v>
      </c>
      <c r="F130" s="11" t="s">
        <v>1303</v>
      </c>
      <c r="G130" s="11" t="s">
        <v>1304</v>
      </c>
      <c r="H130" s="11"/>
      <c r="I130" s="11" t="s">
        <v>1305</v>
      </c>
      <c r="J130" s="11" t="s">
        <v>1306</v>
      </c>
      <c r="K130" s="11" t="s">
        <v>1307</v>
      </c>
      <c r="L130" s="11" t="s">
        <v>1308</v>
      </c>
      <c r="M130" s="11" t="s">
        <v>1309</v>
      </c>
      <c r="N130" s="14" t="n">
        <v>2</v>
      </c>
      <c r="O130" s="14" t="n">
        <v>3</v>
      </c>
      <c r="P130" s="14" t="n">
        <v>2</v>
      </c>
      <c r="Q130" s="14"/>
      <c r="R130" s="12" t="n">
        <f aca="false">IF(OR(N130="",P130=""),"",ROUND(N130*O130/P130,1))</f>
        <v>3</v>
      </c>
      <c r="S130" s="13" t="n">
        <f aca="false">IF(R130="","",IF(Q130="Y",1,IF(P130&gt;='Read me'!$B$16,3,IF(AND(R130&gt;='Read me'!$B$14,P130&lt;='Read me'!$B$15),1,2))))</f>
        <v>2</v>
      </c>
    </row>
    <row r="131" customFormat="false" ht="23.85" hidden="false" customHeight="false" outlineLevel="0" collapsed="false">
      <c r="A131" s="11" t="s">
        <v>1310</v>
      </c>
      <c r="B131" s="11" t="s">
        <v>32</v>
      </c>
      <c r="C131" s="11" t="s">
        <v>95</v>
      </c>
      <c r="D131" s="11" t="s">
        <v>96</v>
      </c>
      <c r="E131" s="11" t="s">
        <v>751</v>
      </c>
      <c r="F131" s="11" t="s">
        <v>1311</v>
      </c>
      <c r="G131" s="11" t="s">
        <v>1312</v>
      </c>
      <c r="H131" s="11"/>
      <c r="I131" s="11" t="s">
        <v>1313</v>
      </c>
      <c r="J131" s="11" t="s">
        <v>1314</v>
      </c>
      <c r="K131" s="11" t="s">
        <v>916</v>
      </c>
      <c r="L131" s="11" t="s">
        <v>1315</v>
      </c>
      <c r="M131" s="11" t="s">
        <v>1316</v>
      </c>
      <c r="N131" s="14" t="n">
        <v>2</v>
      </c>
      <c r="O131" s="14" t="n">
        <v>4</v>
      </c>
      <c r="P131" s="14" t="n">
        <v>4</v>
      </c>
      <c r="Q131" s="14"/>
      <c r="R131" s="12" t="n">
        <f aca="false">IF(OR(N131="",P131=""),"",ROUND(N131*O131/P131,1))</f>
        <v>2</v>
      </c>
      <c r="S131" s="13" t="n">
        <f aca="false">IF(R131="","",IF(Q131="Y",1,IF(P131&gt;='Read me'!$B$16,3,IF(AND(R131&gt;='Read me'!$B$14,P131&lt;='Read me'!$B$15),1,2))))</f>
        <v>3</v>
      </c>
    </row>
    <row r="132" customFormat="false" ht="23.85" hidden="false" customHeight="false" outlineLevel="0" collapsed="false">
      <c r="A132" s="11" t="s">
        <v>1317</v>
      </c>
      <c r="B132" s="11" t="s">
        <v>32</v>
      </c>
      <c r="C132" s="11" t="s">
        <v>95</v>
      </c>
      <c r="D132" s="11" t="s">
        <v>96</v>
      </c>
      <c r="E132" s="11" t="s">
        <v>751</v>
      </c>
      <c r="F132" s="11" t="s">
        <v>1318</v>
      </c>
      <c r="G132" s="11" t="s">
        <v>1319</v>
      </c>
      <c r="H132" s="11"/>
      <c r="I132" s="11" t="s">
        <v>1320</v>
      </c>
      <c r="J132" s="11" t="s">
        <v>1321</v>
      </c>
      <c r="K132" s="11" t="s">
        <v>1322</v>
      </c>
      <c r="L132" s="11" t="s">
        <v>1323</v>
      </c>
      <c r="M132" s="11"/>
      <c r="N132" s="14" t="n">
        <v>2</v>
      </c>
      <c r="O132" s="14" t="n">
        <v>3</v>
      </c>
      <c r="P132" s="14" t="n">
        <v>2</v>
      </c>
      <c r="Q132" s="14"/>
      <c r="R132" s="12" t="n">
        <f aca="false">IF(OR(N132="",P132=""),"",ROUND(N132*O132/P132,1))</f>
        <v>3</v>
      </c>
      <c r="S132" s="13" t="n">
        <f aca="false">IF(R132="","",IF(Q132="Y",1,IF(P132&gt;='Read me'!$B$16,3,IF(AND(R132&gt;='Read me'!$B$14,P132&lt;='Read me'!$B$15),1,2))))</f>
        <v>2</v>
      </c>
    </row>
    <row r="133" customFormat="false" ht="23.85" hidden="false" customHeight="false" outlineLevel="0" collapsed="false">
      <c r="A133" s="11" t="s">
        <v>1324</v>
      </c>
      <c r="B133" s="11" t="s">
        <v>32</v>
      </c>
      <c r="C133" s="11" t="s">
        <v>95</v>
      </c>
      <c r="D133" s="11" t="s">
        <v>96</v>
      </c>
      <c r="E133" s="11" t="s">
        <v>751</v>
      </c>
      <c r="F133" s="11" t="s">
        <v>1325</v>
      </c>
      <c r="G133" s="11" t="s">
        <v>1326</v>
      </c>
      <c r="H133" s="11"/>
      <c r="I133" s="11" t="s">
        <v>1327</v>
      </c>
      <c r="J133" s="11" t="s">
        <v>1328</v>
      </c>
      <c r="K133" s="11" t="s">
        <v>1329</v>
      </c>
      <c r="L133" s="11"/>
      <c r="M133" s="11"/>
      <c r="N133" s="14" t="n">
        <v>5</v>
      </c>
      <c r="O133" s="14" t="n">
        <v>4</v>
      </c>
      <c r="P133" s="14" t="n">
        <v>1</v>
      </c>
      <c r="Q133" s="14" t="s">
        <v>538</v>
      </c>
      <c r="R133" s="12" t="n">
        <f aca="false">IF(OR(N133="",P133=""),"",ROUND(N133*O133/P133,1))</f>
        <v>20</v>
      </c>
      <c r="S133" s="13" t="n">
        <f aca="false">IF(R133="","",IF(Q133="Y",1,IF(P133&gt;='Read me'!$B$16,3,IF(AND(R133&gt;='Read me'!$B$14,P133&lt;='Read me'!$B$15),1,2))))</f>
        <v>1</v>
      </c>
    </row>
    <row r="134" customFormat="false" ht="23.85" hidden="false" customHeight="false" outlineLevel="0" collapsed="false">
      <c r="A134" s="11" t="s">
        <v>1330</v>
      </c>
      <c r="B134" s="11" t="s">
        <v>32</v>
      </c>
      <c r="C134" s="11" t="s">
        <v>95</v>
      </c>
      <c r="D134" s="11" t="s">
        <v>96</v>
      </c>
      <c r="E134" s="11" t="s">
        <v>751</v>
      </c>
      <c r="F134" s="11" t="s">
        <v>1331</v>
      </c>
      <c r="G134" s="11" t="s">
        <v>1332</v>
      </c>
      <c r="H134" s="11" t="s">
        <v>1333</v>
      </c>
      <c r="I134" s="11" t="s">
        <v>1327</v>
      </c>
      <c r="J134" s="11" t="s">
        <v>1334</v>
      </c>
      <c r="K134" s="11" t="s">
        <v>762</v>
      </c>
      <c r="L134" s="11" t="s">
        <v>1335</v>
      </c>
      <c r="M134" s="11"/>
      <c r="N134" s="14" t="n">
        <v>2</v>
      </c>
      <c r="O134" s="14" t="n">
        <v>3</v>
      </c>
      <c r="P134" s="14" t="n">
        <v>4</v>
      </c>
      <c r="Q134" s="14"/>
      <c r="R134" s="12" t="n">
        <f aca="false">IF(OR(N134="",P134=""),"",ROUND(N134*O134/P134,1))</f>
        <v>1.5</v>
      </c>
      <c r="S134" s="13" t="n">
        <f aca="false">IF(R134="","",IF(Q134="Y",1,IF(P134&gt;='Read me'!$B$16,3,IF(AND(R134&gt;='Read me'!$B$14,P134&lt;='Read me'!$B$15),1,2))))</f>
        <v>3</v>
      </c>
    </row>
    <row r="135" customFormat="false" ht="23.85" hidden="false" customHeight="false" outlineLevel="0" collapsed="false">
      <c r="A135" s="11" t="s">
        <v>1336</v>
      </c>
      <c r="B135" s="11" t="s">
        <v>32</v>
      </c>
      <c r="C135" s="11" t="s">
        <v>95</v>
      </c>
      <c r="D135" s="11" t="s">
        <v>96</v>
      </c>
      <c r="E135" s="11" t="s">
        <v>751</v>
      </c>
      <c r="F135" s="11" t="s">
        <v>1337</v>
      </c>
      <c r="G135" s="11" t="s">
        <v>1338</v>
      </c>
      <c r="H135" s="11"/>
      <c r="I135" s="11" t="s">
        <v>1339</v>
      </c>
      <c r="J135" s="11" t="s">
        <v>1340</v>
      </c>
      <c r="K135" s="11" t="s">
        <v>1341</v>
      </c>
      <c r="L135" s="11" t="s">
        <v>1342</v>
      </c>
      <c r="M135" s="11"/>
      <c r="N135" s="14" t="n">
        <v>2</v>
      </c>
      <c r="O135" s="14" t="n">
        <v>3</v>
      </c>
      <c r="P135" s="14" t="n">
        <v>3</v>
      </c>
      <c r="Q135" s="14"/>
      <c r="R135" s="12" t="n">
        <f aca="false">IF(OR(N135="",P135=""),"",ROUND(N135*O135/P135,1))</f>
        <v>2</v>
      </c>
      <c r="S135" s="13" t="n">
        <f aca="false">IF(R135="","",IF(Q135="Y",1,IF(P135&gt;='Read me'!$B$16,3,IF(AND(R135&gt;='Read me'!$B$14,P135&lt;='Read me'!$B$15),1,2))))</f>
        <v>2</v>
      </c>
    </row>
    <row r="136" customFormat="false" ht="23.85" hidden="false" customHeight="false" outlineLevel="0" collapsed="false">
      <c r="A136" s="11" t="s">
        <v>1343</v>
      </c>
      <c r="B136" s="11" t="s">
        <v>32</v>
      </c>
      <c r="C136" s="11" t="s">
        <v>95</v>
      </c>
      <c r="D136" s="11" t="s">
        <v>96</v>
      </c>
      <c r="E136" s="11" t="s">
        <v>751</v>
      </c>
      <c r="F136" s="11" t="s">
        <v>1344</v>
      </c>
      <c r="G136" s="11" t="s">
        <v>1345</v>
      </c>
      <c r="H136" s="11"/>
      <c r="I136" s="11" t="s">
        <v>1346</v>
      </c>
      <c r="J136" s="11" t="s">
        <v>1347</v>
      </c>
      <c r="K136" s="11" t="s">
        <v>1348</v>
      </c>
      <c r="L136" s="11" t="s">
        <v>1349</v>
      </c>
      <c r="M136" s="11" t="s">
        <v>1350</v>
      </c>
      <c r="N136" s="14" t="n">
        <v>2</v>
      </c>
      <c r="O136" s="14" t="n">
        <v>3</v>
      </c>
      <c r="P136" s="14" t="n">
        <v>3</v>
      </c>
      <c r="Q136" s="14"/>
      <c r="R136" s="12" t="n">
        <f aca="false">IF(OR(N136="",P136=""),"",ROUND(N136*O136/P136,1))</f>
        <v>2</v>
      </c>
      <c r="S136" s="13" t="n">
        <f aca="false">IF(R136="","",IF(Q136="Y",1,IF(P136&gt;='Read me'!$B$16,3,IF(AND(R136&gt;='Read me'!$B$14,P136&lt;='Read me'!$B$15),1,2))))</f>
        <v>2</v>
      </c>
    </row>
    <row r="137" customFormat="false" ht="23.85" hidden="false" customHeight="false" outlineLevel="0" collapsed="false">
      <c r="A137" s="11" t="s">
        <v>1351</v>
      </c>
      <c r="B137" s="11" t="s">
        <v>32</v>
      </c>
      <c r="C137" s="11" t="s">
        <v>95</v>
      </c>
      <c r="D137" s="11" t="s">
        <v>96</v>
      </c>
      <c r="E137" s="11" t="s">
        <v>1133</v>
      </c>
      <c r="F137" s="11" t="s">
        <v>1352</v>
      </c>
      <c r="G137" s="11" t="s">
        <v>1353</v>
      </c>
      <c r="H137" s="11"/>
      <c r="I137" s="11" t="s">
        <v>1354</v>
      </c>
      <c r="J137" s="11" t="s">
        <v>1355</v>
      </c>
      <c r="K137" s="11" t="s">
        <v>1356</v>
      </c>
      <c r="L137" s="11" t="s">
        <v>1357</v>
      </c>
      <c r="M137" s="11"/>
      <c r="N137" s="14" t="n">
        <v>4</v>
      </c>
      <c r="O137" s="14" t="n">
        <v>3</v>
      </c>
      <c r="P137" s="14" t="n">
        <v>1</v>
      </c>
      <c r="Q137" s="14"/>
      <c r="R137" s="12" t="n">
        <f aca="false">IF(OR(N137="",P137=""),"",ROUND(N137*O137/P137,1))</f>
        <v>12</v>
      </c>
      <c r="S137" s="13" t="n">
        <f aca="false">IF(R137="","",IF(Q137="Y",1,IF(P137&gt;='Read me'!$B$16,3,IF(AND(R137&gt;='Read me'!$B$14,P137&lt;='Read me'!$B$15),1,2))))</f>
        <v>1</v>
      </c>
    </row>
    <row r="138" customFormat="false" ht="23.85" hidden="false" customHeight="false" outlineLevel="0" collapsed="false">
      <c r="A138" s="11" t="s">
        <v>1358</v>
      </c>
      <c r="B138" s="11" t="s">
        <v>32</v>
      </c>
      <c r="C138" s="11" t="s">
        <v>95</v>
      </c>
      <c r="D138" s="11" t="s">
        <v>96</v>
      </c>
      <c r="E138" s="11" t="s">
        <v>1133</v>
      </c>
      <c r="F138" s="11" t="s">
        <v>1359</v>
      </c>
      <c r="G138" s="11" t="s">
        <v>1360</v>
      </c>
      <c r="H138" s="11"/>
      <c r="I138" s="11" t="s">
        <v>1361</v>
      </c>
      <c r="J138" s="11" t="s">
        <v>1362</v>
      </c>
      <c r="K138" s="11" t="s">
        <v>1363</v>
      </c>
      <c r="L138" s="11" t="s">
        <v>1364</v>
      </c>
      <c r="M138" s="11"/>
      <c r="N138" s="14" t="n">
        <v>3</v>
      </c>
      <c r="O138" s="14" t="n">
        <v>3</v>
      </c>
      <c r="P138" s="14" t="n">
        <v>3</v>
      </c>
      <c r="Q138" s="14"/>
      <c r="R138" s="12" t="n">
        <f aca="false">IF(OR(N138="",P138=""),"",ROUND(N138*O138/P138,1))</f>
        <v>3</v>
      </c>
      <c r="S138" s="13" t="n">
        <f aca="false">IF(R138="","",IF(Q138="Y",1,IF(P138&gt;='Read me'!$B$16,3,IF(AND(R138&gt;='Read me'!$B$14,P138&lt;='Read me'!$B$15),1,2))))</f>
        <v>2</v>
      </c>
    </row>
    <row r="139" customFormat="false" ht="23.85" hidden="false" customHeight="false" outlineLevel="0" collapsed="false">
      <c r="A139" s="11" t="s">
        <v>1365</v>
      </c>
      <c r="B139" s="11" t="s">
        <v>32</v>
      </c>
      <c r="C139" s="11" t="s">
        <v>95</v>
      </c>
      <c r="D139" s="11" t="s">
        <v>96</v>
      </c>
      <c r="E139" s="11" t="s">
        <v>1133</v>
      </c>
      <c r="F139" s="11" t="s">
        <v>1366</v>
      </c>
      <c r="G139" s="11" t="s">
        <v>1367</v>
      </c>
      <c r="H139" s="11"/>
      <c r="I139" s="11" t="s">
        <v>1368</v>
      </c>
      <c r="J139" s="11" t="s">
        <v>1369</v>
      </c>
      <c r="K139" s="11" t="s">
        <v>997</v>
      </c>
      <c r="L139" s="11"/>
      <c r="M139" s="11" t="s">
        <v>1370</v>
      </c>
      <c r="N139" s="14" t="n">
        <v>3</v>
      </c>
      <c r="O139" s="14" t="n">
        <v>2</v>
      </c>
      <c r="P139" s="14" t="n">
        <v>1</v>
      </c>
      <c r="Q139" s="14"/>
      <c r="R139" s="12" t="n">
        <f aca="false">IF(OR(N139="",P139=""),"",ROUND(N139*O139/P139,1))</f>
        <v>6</v>
      </c>
      <c r="S139" s="13" t="n">
        <f aca="false">IF(R139="","",IF(Q139="Y",1,IF(P139&gt;='Read me'!$B$16,3,IF(AND(R139&gt;='Read me'!$B$14,P139&lt;='Read me'!$B$15),1,2))))</f>
        <v>1</v>
      </c>
    </row>
    <row r="140" customFormat="false" ht="23.85" hidden="false" customHeight="false" outlineLevel="0" collapsed="false">
      <c r="A140" s="11" t="s">
        <v>1371</v>
      </c>
      <c r="B140" s="11" t="s">
        <v>32</v>
      </c>
      <c r="C140" s="11" t="s">
        <v>95</v>
      </c>
      <c r="D140" s="11" t="s">
        <v>96</v>
      </c>
      <c r="E140" s="11" t="s">
        <v>1372</v>
      </c>
      <c r="F140" s="11" t="s">
        <v>1373</v>
      </c>
      <c r="G140" s="11" t="s">
        <v>1374</v>
      </c>
      <c r="H140" s="11"/>
      <c r="I140" s="11" t="s">
        <v>1375</v>
      </c>
      <c r="J140" s="11" t="s">
        <v>1376</v>
      </c>
      <c r="K140" s="11" t="s">
        <v>1377</v>
      </c>
      <c r="L140" s="11" t="s">
        <v>601</v>
      </c>
      <c r="M140" s="11"/>
      <c r="N140" s="14" t="n">
        <v>5</v>
      </c>
      <c r="O140" s="14" t="n">
        <v>4</v>
      </c>
      <c r="P140" s="14" t="n">
        <v>1</v>
      </c>
      <c r="Q140" s="14"/>
      <c r="R140" s="12" t="n">
        <f aca="false">IF(OR(N140="",P140=""),"",ROUND(N140*O140/P140,1))</f>
        <v>20</v>
      </c>
      <c r="S140" s="13" t="n">
        <f aca="false">IF(R140="","",IF(Q140="Y",1,IF(P140&gt;='Read me'!$B$16,3,IF(AND(R140&gt;='Read me'!$B$14,P140&lt;='Read me'!$B$15),1,2))))</f>
        <v>1</v>
      </c>
    </row>
    <row r="141" customFormat="false" ht="23.85" hidden="false" customHeight="false" outlineLevel="0" collapsed="false">
      <c r="A141" s="11" t="s">
        <v>1378</v>
      </c>
      <c r="B141" s="11" t="s">
        <v>32</v>
      </c>
      <c r="C141" s="11" t="s">
        <v>95</v>
      </c>
      <c r="D141" s="11" t="s">
        <v>96</v>
      </c>
      <c r="E141" s="11" t="s">
        <v>1372</v>
      </c>
      <c r="F141" s="11" t="s">
        <v>1379</v>
      </c>
      <c r="G141" s="11" t="s">
        <v>1380</v>
      </c>
      <c r="H141" s="11"/>
      <c r="I141" s="11" t="s">
        <v>1381</v>
      </c>
      <c r="J141" s="11" t="s">
        <v>1382</v>
      </c>
      <c r="K141" s="11" t="s">
        <v>1383</v>
      </c>
      <c r="L141" s="11" t="s">
        <v>1384</v>
      </c>
      <c r="M141" s="11" t="s">
        <v>1385</v>
      </c>
      <c r="N141" s="14" t="n">
        <v>3</v>
      </c>
      <c r="O141" s="14" t="n">
        <v>4</v>
      </c>
      <c r="P141" s="14" t="n">
        <v>3</v>
      </c>
      <c r="Q141" s="14"/>
      <c r="R141" s="12" t="n">
        <f aca="false">IF(OR(N141="",P141=""),"",ROUND(N141*O141/P141,1))</f>
        <v>4</v>
      </c>
      <c r="S141" s="13" t="n">
        <f aca="false">IF(R141="","",IF(Q141="Y",1,IF(P141&gt;='Read me'!$B$16,3,IF(AND(R141&gt;='Read me'!$B$14,P141&lt;='Read me'!$B$15),1,2))))</f>
        <v>2</v>
      </c>
    </row>
    <row r="142" customFormat="false" ht="23.85" hidden="false" customHeight="false" outlineLevel="0" collapsed="false">
      <c r="A142" s="11" t="s">
        <v>1386</v>
      </c>
      <c r="B142" s="11" t="s">
        <v>32</v>
      </c>
      <c r="C142" s="11" t="s">
        <v>95</v>
      </c>
      <c r="D142" s="11" t="s">
        <v>96</v>
      </c>
      <c r="E142" s="11" t="s">
        <v>1372</v>
      </c>
      <c r="F142" s="11" t="s">
        <v>1387</v>
      </c>
      <c r="G142" s="11" t="s">
        <v>1388</v>
      </c>
      <c r="H142" s="11"/>
      <c r="I142" s="11" t="s">
        <v>1389</v>
      </c>
      <c r="J142" s="11" t="s">
        <v>1390</v>
      </c>
      <c r="K142" s="11" t="s">
        <v>1391</v>
      </c>
      <c r="L142" s="11"/>
      <c r="M142" s="11"/>
      <c r="N142" s="14" t="n">
        <v>3</v>
      </c>
      <c r="O142" s="14" t="n">
        <v>3</v>
      </c>
      <c r="P142" s="14" t="n">
        <v>1</v>
      </c>
      <c r="Q142" s="14"/>
      <c r="R142" s="12" t="n">
        <f aca="false">IF(OR(N142="",P142=""),"",ROUND(N142*O142/P142,1))</f>
        <v>9</v>
      </c>
      <c r="S142" s="13" t="n">
        <f aca="false">IF(R142="","",IF(Q142="Y",1,IF(P142&gt;='Read me'!$B$16,3,IF(AND(R142&gt;='Read me'!$B$14,P142&lt;='Read me'!$B$15),1,2))))</f>
        <v>1</v>
      </c>
    </row>
    <row r="143" customFormat="false" ht="23.85" hidden="false" customHeight="false" outlineLevel="0" collapsed="false">
      <c r="A143" s="11" t="s">
        <v>1392</v>
      </c>
      <c r="B143" s="11" t="s">
        <v>32</v>
      </c>
      <c r="C143" s="11" t="s">
        <v>95</v>
      </c>
      <c r="D143" s="11" t="s">
        <v>96</v>
      </c>
      <c r="E143" s="11" t="s">
        <v>1372</v>
      </c>
      <c r="F143" s="11" t="s">
        <v>1393</v>
      </c>
      <c r="G143" s="11" t="s">
        <v>1374</v>
      </c>
      <c r="H143" s="11"/>
      <c r="I143" s="11" t="s">
        <v>512</v>
      </c>
      <c r="J143" s="11" t="s">
        <v>1394</v>
      </c>
      <c r="K143" s="11" t="s">
        <v>1395</v>
      </c>
      <c r="L143" s="11" t="s">
        <v>1396</v>
      </c>
      <c r="M143" s="11"/>
      <c r="N143" s="14" t="n">
        <v>3</v>
      </c>
      <c r="O143" s="14" t="n">
        <v>4</v>
      </c>
      <c r="P143" s="14" t="n">
        <v>2</v>
      </c>
      <c r="Q143" s="14"/>
      <c r="R143" s="12" t="n">
        <f aca="false">IF(OR(N143="",P143=""),"",ROUND(N143*O143/P143,1))</f>
        <v>6</v>
      </c>
      <c r="S143" s="13" t="n">
        <f aca="false">IF(R143="","",IF(Q143="Y",1,IF(P143&gt;='Read me'!$B$16,3,IF(AND(R143&gt;='Read me'!$B$14,P143&lt;='Read me'!$B$15),1,2))))</f>
        <v>1</v>
      </c>
    </row>
    <row r="144" customFormat="false" ht="23.85" hidden="false" customHeight="false" outlineLevel="0" collapsed="false">
      <c r="A144" s="11" t="s">
        <v>1397</v>
      </c>
      <c r="B144" s="11" t="s">
        <v>32</v>
      </c>
      <c r="C144" s="11" t="s">
        <v>95</v>
      </c>
      <c r="D144" s="11" t="s">
        <v>96</v>
      </c>
      <c r="E144" s="11" t="s">
        <v>1372</v>
      </c>
      <c r="F144" s="11" t="s">
        <v>1398</v>
      </c>
      <c r="G144" s="11" t="s">
        <v>1399</v>
      </c>
      <c r="H144" s="11"/>
      <c r="I144" s="11" t="s">
        <v>1400</v>
      </c>
      <c r="J144" s="11" t="s">
        <v>1401</v>
      </c>
      <c r="K144" s="11" t="s">
        <v>1402</v>
      </c>
      <c r="L144" s="11" t="s">
        <v>1403</v>
      </c>
      <c r="M144" s="11"/>
      <c r="N144" s="14" t="n">
        <v>4</v>
      </c>
      <c r="O144" s="14" t="n">
        <v>4</v>
      </c>
      <c r="P144" s="14" t="n">
        <v>1</v>
      </c>
      <c r="Q144" s="14"/>
      <c r="R144" s="12" t="n">
        <f aca="false">IF(OR(N144="",P144=""),"",ROUND(N144*O144/P144,1))</f>
        <v>16</v>
      </c>
      <c r="S144" s="13" t="n">
        <f aca="false">IF(R144="","",IF(Q144="Y",1,IF(P144&gt;='Read me'!$B$16,3,IF(AND(R144&gt;='Read me'!$B$14,P144&lt;='Read me'!$B$15),1,2))))</f>
        <v>1</v>
      </c>
    </row>
    <row r="145" customFormat="false" ht="23.85" hidden="false" customHeight="false" outlineLevel="0" collapsed="false">
      <c r="A145" s="11" t="s">
        <v>1404</v>
      </c>
      <c r="B145" s="11" t="s">
        <v>32</v>
      </c>
      <c r="C145" s="11" t="s">
        <v>95</v>
      </c>
      <c r="D145" s="11" t="s">
        <v>96</v>
      </c>
      <c r="E145" s="11" t="s">
        <v>1372</v>
      </c>
      <c r="F145" s="11" t="s">
        <v>1405</v>
      </c>
      <c r="G145" s="11" t="s">
        <v>1406</v>
      </c>
      <c r="H145" s="11"/>
      <c r="I145" s="11" t="s">
        <v>1407</v>
      </c>
      <c r="J145" s="11" t="s">
        <v>1408</v>
      </c>
      <c r="K145" s="11" t="s">
        <v>1409</v>
      </c>
      <c r="L145" s="11" t="s">
        <v>1410</v>
      </c>
      <c r="M145" s="11" t="s">
        <v>1411</v>
      </c>
      <c r="N145" s="14" t="n">
        <v>4</v>
      </c>
      <c r="O145" s="14" t="n">
        <v>3</v>
      </c>
      <c r="P145" s="14" t="n">
        <v>2</v>
      </c>
      <c r="Q145" s="14"/>
      <c r="R145" s="12" t="n">
        <f aca="false">IF(OR(N145="",P145=""),"",ROUND(N145*O145/P145,1))</f>
        <v>6</v>
      </c>
      <c r="S145" s="13" t="n">
        <f aca="false">IF(R145="","",IF(Q145="Y",1,IF(P145&gt;='Read me'!$B$16,3,IF(AND(R145&gt;='Read me'!$B$14,P145&lt;='Read me'!$B$15),1,2))))</f>
        <v>1</v>
      </c>
    </row>
    <row r="146" customFormat="false" ht="23.85" hidden="false" customHeight="false" outlineLevel="0" collapsed="false">
      <c r="A146" s="11" t="s">
        <v>1412</v>
      </c>
      <c r="B146" s="11" t="s">
        <v>32</v>
      </c>
      <c r="C146" s="11" t="s">
        <v>95</v>
      </c>
      <c r="D146" s="11" t="s">
        <v>96</v>
      </c>
      <c r="E146" s="11" t="s">
        <v>1372</v>
      </c>
      <c r="F146" s="11" t="s">
        <v>1413</v>
      </c>
      <c r="G146" s="11" t="s">
        <v>1414</v>
      </c>
      <c r="H146" s="11"/>
      <c r="I146" s="11" t="s">
        <v>1415</v>
      </c>
      <c r="J146" s="11" t="s">
        <v>1416</v>
      </c>
      <c r="K146" s="11" t="s">
        <v>1417</v>
      </c>
      <c r="L146" s="11" t="s">
        <v>1418</v>
      </c>
      <c r="M146" s="11"/>
      <c r="N146" s="14" t="n">
        <v>1</v>
      </c>
      <c r="O146" s="14" t="n">
        <v>3</v>
      </c>
      <c r="P146" s="14" t="n">
        <v>4</v>
      </c>
      <c r="Q146" s="14"/>
      <c r="R146" s="12" t="n">
        <f aca="false">IF(OR(N146="",P146=""),"",ROUND(N146*O146/P146,1))</f>
        <v>0.8</v>
      </c>
      <c r="S146" s="13" t="n">
        <f aca="false">IF(R146="","",IF(Q146="Y",1,IF(P146&gt;='Read me'!$B$16,3,IF(AND(R146&gt;='Read me'!$B$14,P146&lt;='Read me'!$B$15),1,2))))</f>
        <v>3</v>
      </c>
    </row>
    <row r="147" customFormat="false" ht="23.85" hidden="false" customHeight="false" outlineLevel="0" collapsed="false">
      <c r="A147" s="11" t="s">
        <v>1419</v>
      </c>
      <c r="B147" s="11" t="s">
        <v>32</v>
      </c>
      <c r="C147" s="11" t="s">
        <v>95</v>
      </c>
      <c r="D147" s="11" t="s">
        <v>96</v>
      </c>
      <c r="E147" s="11" t="s">
        <v>1372</v>
      </c>
      <c r="F147" s="11" t="s">
        <v>1420</v>
      </c>
      <c r="G147" s="11" t="s">
        <v>1421</v>
      </c>
      <c r="H147" s="11"/>
      <c r="I147" s="11" t="s">
        <v>1422</v>
      </c>
      <c r="J147" s="11" t="s">
        <v>1423</v>
      </c>
      <c r="K147" s="11" t="s">
        <v>1424</v>
      </c>
      <c r="L147" s="11" t="s">
        <v>1425</v>
      </c>
      <c r="M147" s="11"/>
      <c r="N147" s="14" t="n">
        <v>2</v>
      </c>
      <c r="O147" s="14" t="n">
        <v>3</v>
      </c>
      <c r="P147" s="14" t="n">
        <v>3</v>
      </c>
      <c r="Q147" s="14"/>
      <c r="R147" s="12" t="n">
        <f aca="false">IF(OR(N147="",P147=""),"",ROUND(N147*O147/P147,1))</f>
        <v>2</v>
      </c>
      <c r="S147" s="13" t="n">
        <f aca="false">IF(R147="","",IF(Q147="Y",1,IF(P147&gt;='Read me'!$B$16,3,IF(AND(R147&gt;='Read me'!$B$14,P147&lt;='Read me'!$B$15),1,2))))</f>
        <v>2</v>
      </c>
    </row>
    <row r="148" customFormat="false" ht="23.85" hidden="false" customHeight="false" outlineLevel="0" collapsed="false">
      <c r="A148" s="11" t="s">
        <v>1426</v>
      </c>
      <c r="B148" s="11" t="s">
        <v>33</v>
      </c>
      <c r="C148" s="11" t="s">
        <v>99</v>
      </c>
      <c r="D148" s="11" t="s">
        <v>100</v>
      </c>
      <c r="E148" s="11" t="s">
        <v>476</v>
      </c>
      <c r="F148" s="11" t="s">
        <v>1427</v>
      </c>
      <c r="G148" s="11" t="s">
        <v>597</v>
      </c>
      <c r="H148" s="11"/>
      <c r="I148" s="11" t="s">
        <v>1428</v>
      </c>
      <c r="J148" s="11" t="s">
        <v>1429</v>
      </c>
      <c r="K148" s="11" t="s">
        <v>1430</v>
      </c>
      <c r="L148" s="11" t="s">
        <v>1431</v>
      </c>
      <c r="M148" s="11"/>
      <c r="N148" s="14" t="n">
        <v>4</v>
      </c>
      <c r="O148" s="14" t="n">
        <v>4</v>
      </c>
      <c r="P148" s="14" t="n">
        <v>1</v>
      </c>
      <c r="Q148" s="14"/>
      <c r="R148" s="12" t="n">
        <f aca="false">IF(OR(N148="",P148=""),"",ROUND(N148*O148/P148,1))</f>
        <v>16</v>
      </c>
      <c r="S148" s="13" t="n">
        <f aca="false">IF(R148="","",IF(Q148="Y",1,IF(P148&gt;='Read me'!$B$16,3,IF(AND(R148&gt;='Read me'!$B$14,P148&lt;='Read me'!$B$15),1,2))))</f>
        <v>1</v>
      </c>
    </row>
    <row r="149" customFormat="false" ht="35.05" hidden="false" customHeight="false" outlineLevel="0" collapsed="false">
      <c r="A149" s="11" t="s">
        <v>1432</v>
      </c>
      <c r="B149" s="11" t="s">
        <v>33</v>
      </c>
      <c r="C149" s="11" t="s">
        <v>99</v>
      </c>
      <c r="D149" s="11" t="s">
        <v>100</v>
      </c>
      <c r="E149" s="11" t="s">
        <v>476</v>
      </c>
      <c r="F149" s="11" t="s">
        <v>1433</v>
      </c>
      <c r="G149" s="11" t="s">
        <v>1434</v>
      </c>
      <c r="H149" s="11"/>
      <c r="I149" s="11" t="s">
        <v>512</v>
      </c>
      <c r="J149" s="11" t="s">
        <v>1435</v>
      </c>
      <c r="K149" s="11" t="s">
        <v>1436</v>
      </c>
      <c r="L149" s="11" t="s">
        <v>1437</v>
      </c>
      <c r="M149" s="11" t="s">
        <v>516</v>
      </c>
      <c r="N149" s="14" t="n">
        <v>3</v>
      </c>
      <c r="O149" s="14" t="n">
        <v>4</v>
      </c>
      <c r="P149" s="14" t="n">
        <v>2</v>
      </c>
      <c r="Q149" s="14"/>
      <c r="R149" s="12" t="n">
        <f aca="false">IF(OR(N149="",P149=""),"",ROUND(N149*O149/P149,1))</f>
        <v>6</v>
      </c>
      <c r="S149" s="13" t="n">
        <f aca="false">IF(R149="","",IF(Q149="Y",1,IF(P149&gt;='Read me'!$B$16,3,IF(AND(R149&gt;='Read me'!$B$14,P149&lt;='Read me'!$B$15),1,2))))</f>
        <v>1</v>
      </c>
    </row>
    <row r="150" customFormat="false" ht="23.85" hidden="false" customHeight="false" outlineLevel="0" collapsed="false">
      <c r="A150" s="11" t="s">
        <v>1438</v>
      </c>
      <c r="B150" s="11" t="s">
        <v>33</v>
      </c>
      <c r="C150" s="11" t="s">
        <v>99</v>
      </c>
      <c r="D150" s="11" t="s">
        <v>100</v>
      </c>
      <c r="E150" s="11" t="s">
        <v>532</v>
      </c>
      <c r="F150" s="11" t="s">
        <v>1439</v>
      </c>
      <c r="G150" s="11" t="s">
        <v>484</v>
      </c>
      <c r="H150" s="11"/>
      <c r="I150" s="11" t="s">
        <v>1440</v>
      </c>
      <c r="J150" s="11" t="s">
        <v>535</v>
      </c>
      <c r="K150" s="11" t="s">
        <v>1441</v>
      </c>
      <c r="L150" s="11" t="s">
        <v>1442</v>
      </c>
      <c r="M150" s="11"/>
      <c r="N150" s="14" t="n">
        <v>5</v>
      </c>
      <c r="O150" s="14" t="n">
        <v>5</v>
      </c>
      <c r="P150" s="14" t="n">
        <v>2</v>
      </c>
      <c r="Q150" s="14"/>
      <c r="R150" s="12" t="n">
        <f aca="false">IF(OR(N150="",P150=""),"",ROUND(N150*O150/P150,1))</f>
        <v>12.5</v>
      </c>
      <c r="S150" s="13" t="n">
        <f aca="false">IF(R150="","",IF(Q150="Y",1,IF(P150&gt;='Read me'!$B$16,3,IF(AND(R150&gt;='Read me'!$B$14,P150&lt;='Read me'!$B$15),1,2))))</f>
        <v>1</v>
      </c>
    </row>
    <row r="151" customFormat="false" ht="35.05" hidden="false" customHeight="false" outlineLevel="0" collapsed="false">
      <c r="A151" s="11" t="s">
        <v>1443</v>
      </c>
      <c r="B151" s="11" t="s">
        <v>33</v>
      </c>
      <c r="C151" s="11" t="s">
        <v>99</v>
      </c>
      <c r="D151" s="11" t="s">
        <v>100</v>
      </c>
      <c r="E151" s="11" t="s">
        <v>532</v>
      </c>
      <c r="F151" s="11" t="s">
        <v>1439</v>
      </c>
      <c r="G151" s="11" t="s">
        <v>540</v>
      </c>
      <c r="H151" s="11"/>
      <c r="I151" s="11" t="s">
        <v>1444</v>
      </c>
      <c r="J151" s="11" t="s">
        <v>1445</v>
      </c>
      <c r="K151" s="11" t="s">
        <v>1446</v>
      </c>
      <c r="L151" s="11" t="s">
        <v>1447</v>
      </c>
      <c r="M151" s="11" t="s">
        <v>1448</v>
      </c>
      <c r="N151" s="14" t="n">
        <v>4</v>
      </c>
      <c r="O151" s="14" t="n">
        <v>4</v>
      </c>
      <c r="P151" s="14" t="n">
        <v>2</v>
      </c>
      <c r="Q151" s="14"/>
      <c r="R151" s="12" t="n">
        <f aca="false">IF(OR(N151="",P151=""),"",ROUND(N151*O151/P151,1))</f>
        <v>8</v>
      </c>
      <c r="S151" s="13" t="n">
        <f aca="false">IF(R151="","",IF(Q151="Y",1,IF(P151&gt;='Read me'!$B$16,3,IF(AND(R151&gt;='Read me'!$B$14,P151&lt;='Read me'!$B$15),1,2))))</f>
        <v>1</v>
      </c>
    </row>
    <row r="152" customFormat="false" ht="23.85" hidden="false" customHeight="false" outlineLevel="0" collapsed="false">
      <c r="A152" s="11" t="s">
        <v>1449</v>
      </c>
      <c r="B152" s="11" t="s">
        <v>33</v>
      </c>
      <c r="C152" s="11" t="s">
        <v>99</v>
      </c>
      <c r="D152" s="11" t="s">
        <v>100</v>
      </c>
      <c r="E152" s="11" t="s">
        <v>532</v>
      </c>
      <c r="F152" s="11" t="s">
        <v>1439</v>
      </c>
      <c r="G152" s="11" t="s">
        <v>1450</v>
      </c>
      <c r="H152" s="11"/>
      <c r="I152" s="11" t="s">
        <v>1451</v>
      </c>
      <c r="J152" s="11" t="s">
        <v>1452</v>
      </c>
      <c r="K152" s="11" t="s">
        <v>1453</v>
      </c>
      <c r="L152" s="11" t="s">
        <v>1454</v>
      </c>
      <c r="M152" s="11"/>
      <c r="N152" s="14" t="n">
        <v>4</v>
      </c>
      <c r="O152" s="14" t="n">
        <v>3</v>
      </c>
      <c r="P152" s="14" t="n">
        <v>1</v>
      </c>
      <c r="Q152" s="14"/>
      <c r="R152" s="12" t="n">
        <f aca="false">IF(OR(N152="",P152=""),"",ROUND(N152*O152/P152,1))</f>
        <v>12</v>
      </c>
      <c r="S152" s="13" t="n">
        <f aca="false">IF(R152="","",IF(Q152="Y",1,IF(P152&gt;='Read me'!$B$16,3,IF(AND(R152&gt;='Read me'!$B$14,P152&lt;='Read me'!$B$15),1,2))))</f>
        <v>1</v>
      </c>
    </row>
    <row r="153" customFormat="false" ht="35.05" hidden="false" customHeight="false" outlineLevel="0" collapsed="false">
      <c r="A153" s="11" t="s">
        <v>1455</v>
      </c>
      <c r="B153" s="11" t="s">
        <v>33</v>
      </c>
      <c r="C153" s="11" t="s">
        <v>99</v>
      </c>
      <c r="D153" s="11" t="s">
        <v>100</v>
      </c>
      <c r="E153" s="11" t="s">
        <v>532</v>
      </c>
      <c r="F153" s="11" t="s">
        <v>1439</v>
      </c>
      <c r="G153" s="11" t="s">
        <v>497</v>
      </c>
      <c r="H153" s="11"/>
      <c r="I153" s="11" t="s">
        <v>1456</v>
      </c>
      <c r="J153" s="11" t="s">
        <v>1457</v>
      </c>
      <c r="K153" s="11" t="s">
        <v>1458</v>
      </c>
      <c r="L153" s="11" t="s">
        <v>1459</v>
      </c>
      <c r="M153" s="11"/>
      <c r="N153" s="14" t="n">
        <v>4</v>
      </c>
      <c r="O153" s="14" t="n">
        <v>4</v>
      </c>
      <c r="P153" s="14" t="n">
        <v>3</v>
      </c>
      <c r="Q153" s="14"/>
      <c r="R153" s="12" t="n">
        <f aca="false">IF(OR(N153="",P153=""),"",ROUND(N153*O153/P153,1))</f>
        <v>5.3</v>
      </c>
      <c r="S153" s="13" t="n">
        <f aca="false">IF(R153="","",IF(Q153="Y",1,IF(P153&gt;='Read me'!$B$16,3,IF(AND(R153&gt;='Read me'!$B$14,P153&lt;='Read me'!$B$15),1,2))))</f>
        <v>2</v>
      </c>
    </row>
    <row r="154" customFormat="false" ht="23.85" hidden="false" customHeight="false" outlineLevel="0" collapsed="false">
      <c r="A154" s="11" t="s">
        <v>1460</v>
      </c>
      <c r="B154" s="11" t="s">
        <v>33</v>
      </c>
      <c r="C154" s="11" t="s">
        <v>99</v>
      </c>
      <c r="D154" s="11" t="s">
        <v>100</v>
      </c>
      <c r="E154" s="11" t="s">
        <v>532</v>
      </c>
      <c r="F154" s="11" t="s">
        <v>1439</v>
      </c>
      <c r="G154" s="11" t="s">
        <v>1461</v>
      </c>
      <c r="H154" s="11"/>
      <c r="I154" s="11" t="s">
        <v>1462</v>
      </c>
      <c r="J154" s="11" t="s">
        <v>1463</v>
      </c>
      <c r="K154" s="11" t="s">
        <v>1464</v>
      </c>
      <c r="L154" s="11" t="s">
        <v>1465</v>
      </c>
      <c r="M154" s="11"/>
      <c r="N154" s="14" t="n">
        <v>3</v>
      </c>
      <c r="O154" s="14" t="n">
        <v>4</v>
      </c>
      <c r="P154" s="14" t="n">
        <v>3</v>
      </c>
      <c r="Q154" s="14"/>
      <c r="R154" s="12" t="n">
        <f aca="false">IF(OR(N154="",P154=""),"",ROUND(N154*O154/P154,1))</f>
        <v>4</v>
      </c>
      <c r="S154" s="13" t="n">
        <f aca="false">IF(R154="","",IF(Q154="Y",1,IF(P154&gt;='Read me'!$B$16,3,IF(AND(R154&gt;='Read me'!$B$14,P154&lt;='Read me'!$B$15),1,2))))</f>
        <v>2</v>
      </c>
    </row>
    <row r="155" customFormat="false" ht="35.05" hidden="false" customHeight="false" outlineLevel="0" collapsed="false">
      <c r="A155" s="11" t="s">
        <v>1466</v>
      </c>
      <c r="B155" s="11" t="s">
        <v>33</v>
      </c>
      <c r="C155" s="11" t="s">
        <v>99</v>
      </c>
      <c r="D155" s="11" t="s">
        <v>100</v>
      </c>
      <c r="E155" s="11" t="s">
        <v>532</v>
      </c>
      <c r="F155" s="11" t="s">
        <v>1439</v>
      </c>
      <c r="G155" s="11" t="s">
        <v>1304</v>
      </c>
      <c r="H155" s="11"/>
      <c r="I155" s="11" t="s">
        <v>1467</v>
      </c>
      <c r="J155" s="11" t="s">
        <v>1468</v>
      </c>
      <c r="K155" s="11" t="s">
        <v>1469</v>
      </c>
      <c r="L155" s="11" t="s">
        <v>1470</v>
      </c>
      <c r="M155" s="11" t="s">
        <v>1471</v>
      </c>
      <c r="N155" s="14" t="n">
        <v>4</v>
      </c>
      <c r="O155" s="14" t="n">
        <v>4</v>
      </c>
      <c r="P155" s="14" t="n">
        <v>2</v>
      </c>
      <c r="Q155" s="14"/>
      <c r="R155" s="12" t="n">
        <f aca="false">IF(OR(N155="",P155=""),"",ROUND(N155*O155/P155,1))</f>
        <v>8</v>
      </c>
      <c r="S155" s="13" t="n">
        <f aca="false">IF(R155="","",IF(Q155="Y",1,IF(P155&gt;='Read me'!$B$16,3,IF(AND(R155&gt;='Read me'!$B$14,P155&lt;='Read me'!$B$15),1,2))))</f>
        <v>1</v>
      </c>
    </row>
    <row r="156" customFormat="false" ht="35.05" hidden="false" customHeight="false" outlineLevel="0" collapsed="false">
      <c r="A156" s="11" t="s">
        <v>1472</v>
      </c>
      <c r="B156" s="11" t="s">
        <v>33</v>
      </c>
      <c r="C156" s="11" t="s">
        <v>99</v>
      </c>
      <c r="D156" s="11" t="s">
        <v>100</v>
      </c>
      <c r="E156" s="11" t="s">
        <v>532</v>
      </c>
      <c r="F156" s="11" t="s">
        <v>1439</v>
      </c>
      <c r="G156" s="11" t="s">
        <v>1473</v>
      </c>
      <c r="H156" s="11"/>
      <c r="I156" s="11" t="s">
        <v>1474</v>
      </c>
      <c r="J156" s="11" t="s">
        <v>1475</v>
      </c>
      <c r="K156" s="11" t="s">
        <v>1476</v>
      </c>
      <c r="L156" s="11" t="s">
        <v>1477</v>
      </c>
      <c r="M156" s="11"/>
      <c r="N156" s="14" t="n">
        <v>2</v>
      </c>
      <c r="O156" s="14" t="n">
        <v>4</v>
      </c>
      <c r="P156" s="14" t="n">
        <v>4</v>
      </c>
      <c r="Q156" s="14"/>
      <c r="R156" s="12" t="n">
        <f aca="false">IF(OR(N156="",P156=""),"",ROUND(N156*O156/P156,1))</f>
        <v>2</v>
      </c>
      <c r="S156" s="13" t="n">
        <f aca="false">IF(R156="","",IF(Q156="Y",1,IF(P156&gt;='Read me'!$B$16,3,IF(AND(R156&gt;='Read me'!$B$14,P156&lt;='Read me'!$B$15),1,2))))</f>
        <v>3</v>
      </c>
    </row>
    <row r="157" customFormat="false" ht="23.85" hidden="false" customHeight="false" outlineLevel="0" collapsed="false">
      <c r="A157" s="11" t="s">
        <v>1478</v>
      </c>
      <c r="B157" s="11" t="s">
        <v>33</v>
      </c>
      <c r="C157" s="11" t="s">
        <v>99</v>
      </c>
      <c r="D157" s="11" t="s">
        <v>100</v>
      </c>
      <c r="E157" s="11" t="s">
        <v>532</v>
      </c>
      <c r="F157" s="11" t="s">
        <v>1439</v>
      </c>
      <c r="G157" s="11" t="s">
        <v>1479</v>
      </c>
      <c r="H157" s="11"/>
      <c r="I157" s="11" t="s">
        <v>1480</v>
      </c>
      <c r="J157" s="11" t="s">
        <v>1481</v>
      </c>
      <c r="K157" s="11" t="s">
        <v>1482</v>
      </c>
      <c r="L157" s="11" t="s">
        <v>1483</v>
      </c>
      <c r="M157" s="11" t="s">
        <v>1484</v>
      </c>
      <c r="N157" s="14" t="n">
        <v>2</v>
      </c>
      <c r="O157" s="14" t="n">
        <v>5</v>
      </c>
      <c r="P157" s="14" t="n">
        <v>2</v>
      </c>
      <c r="Q157" s="14"/>
      <c r="R157" s="12" t="n">
        <f aca="false">IF(OR(N157="",P157=""),"",ROUND(N157*O157/P157,1))</f>
        <v>5</v>
      </c>
      <c r="S157" s="13" t="n">
        <f aca="false">IF(R157="","",IF(Q157="Y",1,IF(P157&gt;='Read me'!$B$16,3,IF(AND(R157&gt;='Read me'!$B$14,P157&lt;='Read me'!$B$15),1,2))))</f>
        <v>2</v>
      </c>
    </row>
    <row r="158" customFormat="false" ht="23.85" hidden="false" customHeight="false" outlineLevel="0" collapsed="false">
      <c r="A158" s="11" t="s">
        <v>1485</v>
      </c>
      <c r="B158" s="11" t="s">
        <v>33</v>
      </c>
      <c r="C158" s="11" t="s">
        <v>99</v>
      </c>
      <c r="D158" s="11" t="s">
        <v>100</v>
      </c>
      <c r="E158" s="11" t="s">
        <v>532</v>
      </c>
      <c r="F158" s="11" t="s">
        <v>1439</v>
      </c>
      <c r="G158" s="11" t="s">
        <v>1486</v>
      </c>
      <c r="H158" s="11"/>
      <c r="I158" s="11" t="s">
        <v>1487</v>
      </c>
      <c r="J158" s="11" t="s">
        <v>1488</v>
      </c>
      <c r="K158" s="11" t="s">
        <v>1489</v>
      </c>
      <c r="L158" s="11" t="s">
        <v>1490</v>
      </c>
      <c r="M158" s="11"/>
      <c r="N158" s="14" t="n">
        <v>3</v>
      </c>
      <c r="O158" s="14" t="n">
        <v>4</v>
      </c>
      <c r="P158" s="14" t="n">
        <v>2</v>
      </c>
      <c r="Q158" s="14"/>
      <c r="R158" s="12" t="n">
        <f aca="false">IF(OR(N158="",P158=""),"",ROUND(N158*O158/P158,1))</f>
        <v>6</v>
      </c>
      <c r="S158" s="13" t="n">
        <f aca="false">IF(R158="","",IF(Q158="Y",1,IF(P158&gt;='Read me'!$B$16,3,IF(AND(R158&gt;='Read me'!$B$14,P158&lt;='Read me'!$B$15),1,2))))</f>
        <v>1</v>
      </c>
    </row>
    <row r="159" customFormat="false" ht="35.05" hidden="false" customHeight="false" outlineLevel="0" collapsed="false">
      <c r="A159" s="11" t="s">
        <v>1491</v>
      </c>
      <c r="B159" s="11" t="s">
        <v>33</v>
      </c>
      <c r="C159" s="11" t="s">
        <v>99</v>
      </c>
      <c r="D159" s="11" t="s">
        <v>100</v>
      </c>
      <c r="E159" s="11" t="s">
        <v>532</v>
      </c>
      <c r="F159" s="11" t="s">
        <v>1439</v>
      </c>
      <c r="G159" s="11" t="s">
        <v>1492</v>
      </c>
      <c r="H159" s="11"/>
      <c r="I159" s="11" t="s">
        <v>1493</v>
      </c>
      <c r="J159" s="11" t="s">
        <v>1494</v>
      </c>
      <c r="K159" s="11" t="s">
        <v>1495</v>
      </c>
      <c r="L159" s="11" t="s">
        <v>1496</v>
      </c>
      <c r="M159" s="11" t="s">
        <v>1497</v>
      </c>
      <c r="N159" s="14" t="n">
        <v>2</v>
      </c>
      <c r="O159" s="14" t="n">
        <v>3</v>
      </c>
      <c r="P159" s="14" t="n">
        <v>2</v>
      </c>
      <c r="Q159" s="14"/>
      <c r="R159" s="12" t="n">
        <f aca="false">IF(OR(N159="",P159=""),"",ROUND(N159*O159/P159,1))</f>
        <v>3</v>
      </c>
      <c r="S159" s="13" t="n">
        <f aca="false">IF(R159="","",IF(Q159="Y",1,IF(P159&gt;='Read me'!$B$16,3,IF(AND(R159&gt;='Read me'!$B$14,P159&lt;='Read me'!$B$15),1,2))))</f>
        <v>2</v>
      </c>
    </row>
    <row r="160" customFormat="false" ht="35.05" hidden="false" customHeight="false" outlineLevel="0" collapsed="false">
      <c r="A160" s="11" t="s">
        <v>1498</v>
      </c>
      <c r="B160" s="11" t="s">
        <v>33</v>
      </c>
      <c r="C160" s="11" t="s">
        <v>99</v>
      </c>
      <c r="D160" s="11" t="s">
        <v>100</v>
      </c>
      <c r="E160" s="11" t="s">
        <v>532</v>
      </c>
      <c r="F160" s="11" t="s">
        <v>1499</v>
      </c>
      <c r="G160" s="11" t="s">
        <v>1500</v>
      </c>
      <c r="H160" s="11"/>
      <c r="I160" s="11" t="s">
        <v>1501</v>
      </c>
      <c r="J160" s="11" t="s">
        <v>1502</v>
      </c>
      <c r="K160" s="11" t="s">
        <v>1503</v>
      </c>
      <c r="L160" s="11" t="s">
        <v>1504</v>
      </c>
      <c r="M160" s="11" t="s">
        <v>1505</v>
      </c>
      <c r="N160" s="14" t="n">
        <v>2</v>
      </c>
      <c r="O160" s="14" t="n">
        <v>3</v>
      </c>
      <c r="P160" s="14" t="n">
        <v>2</v>
      </c>
      <c r="Q160" s="14"/>
      <c r="R160" s="12" t="n">
        <f aca="false">IF(OR(N160="",P160=""),"",ROUND(N160*O160/P160,1))</f>
        <v>3</v>
      </c>
      <c r="S160" s="13" t="n">
        <f aca="false">IF(R160="","",IF(Q160="Y",1,IF(P160&gt;='Read me'!$B$16,3,IF(AND(R160&gt;='Read me'!$B$14,P160&lt;='Read me'!$B$15),1,2))))</f>
        <v>2</v>
      </c>
    </row>
    <row r="161" customFormat="false" ht="15" hidden="false" customHeight="false" outlineLevel="0" collapsed="false">
      <c r="A161" s="11" t="s">
        <v>1506</v>
      </c>
      <c r="B161" s="11" t="s">
        <v>33</v>
      </c>
      <c r="C161" s="11" t="s">
        <v>99</v>
      </c>
      <c r="D161" s="11" t="s">
        <v>100</v>
      </c>
      <c r="E161" s="11" t="s">
        <v>532</v>
      </c>
      <c r="F161" s="11" t="s">
        <v>552</v>
      </c>
      <c r="G161" s="11" t="s">
        <v>1507</v>
      </c>
      <c r="H161" s="11"/>
      <c r="I161" s="11" t="s">
        <v>1508</v>
      </c>
      <c r="J161" s="11" t="s">
        <v>555</v>
      </c>
      <c r="K161" s="11" t="s">
        <v>556</v>
      </c>
      <c r="L161" s="11" t="s">
        <v>1509</v>
      </c>
      <c r="M161" s="11"/>
      <c r="N161" s="14" t="n">
        <v>5</v>
      </c>
      <c r="O161" s="14" t="n">
        <v>3</v>
      </c>
      <c r="P161" s="14" t="n">
        <v>1</v>
      </c>
      <c r="Q161" s="14"/>
      <c r="R161" s="12" t="n">
        <f aca="false">IF(OR(N161="",P161=""),"",ROUND(N161*O161/P161,1))</f>
        <v>15</v>
      </c>
      <c r="S161" s="13" t="n">
        <f aca="false">IF(R161="","",IF(Q161="Y",1,IF(P161&gt;='Read me'!$B$16,3,IF(AND(R161&gt;='Read me'!$B$14,P161&lt;='Read me'!$B$15),1,2))))</f>
        <v>1</v>
      </c>
    </row>
    <row r="162" customFormat="false" ht="23.85" hidden="false" customHeight="false" outlineLevel="0" collapsed="false">
      <c r="A162" s="11" t="s">
        <v>1510</v>
      </c>
      <c r="B162" s="11" t="s">
        <v>33</v>
      </c>
      <c r="C162" s="11" t="s">
        <v>99</v>
      </c>
      <c r="D162" s="11" t="s">
        <v>100</v>
      </c>
      <c r="E162" s="11" t="s">
        <v>532</v>
      </c>
      <c r="F162" s="11" t="s">
        <v>552</v>
      </c>
      <c r="G162" s="11" t="s">
        <v>1511</v>
      </c>
      <c r="H162" s="11"/>
      <c r="I162" s="11" t="s">
        <v>1512</v>
      </c>
      <c r="J162" s="11" t="s">
        <v>1513</v>
      </c>
      <c r="K162" s="11" t="s">
        <v>1514</v>
      </c>
      <c r="L162" s="11" t="s">
        <v>1515</v>
      </c>
      <c r="M162" s="11" t="s">
        <v>1516</v>
      </c>
      <c r="N162" s="14" t="n">
        <v>2</v>
      </c>
      <c r="O162" s="14" t="n">
        <v>3</v>
      </c>
      <c r="P162" s="14" t="n">
        <v>2</v>
      </c>
      <c r="Q162" s="14"/>
      <c r="R162" s="12" t="n">
        <f aca="false">IF(OR(N162="",P162=""),"",ROUND(N162*O162/P162,1))</f>
        <v>3</v>
      </c>
      <c r="S162" s="13" t="n">
        <f aca="false">IF(R162="","",IF(Q162="Y",1,IF(P162&gt;='Read me'!$B$16,3,IF(AND(R162&gt;='Read me'!$B$14,P162&lt;='Read me'!$B$15),1,2))))</f>
        <v>2</v>
      </c>
    </row>
    <row r="163" customFormat="false" ht="35.05" hidden="false" customHeight="false" outlineLevel="0" collapsed="false">
      <c r="A163" s="11" t="s">
        <v>1517</v>
      </c>
      <c r="B163" s="11" t="s">
        <v>33</v>
      </c>
      <c r="C163" s="11" t="s">
        <v>99</v>
      </c>
      <c r="D163" s="11" t="s">
        <v>100</v>
      </c>
      <c r="E163" s="11" t="s">
        <v>532</v>
      </c>
      <c r="F163" s="11" t="s">
        <v>726</v>
      </c>
      <c r="G163" s="11" t="s">
        <v>1518</v>
      </c>
      <c r="H163" s="11"/>
      <c r="I163" s="11" t="s">
        <v>1519</v>
      </c>
      <c r="J163" s="11" t="s">
        <v>1520</v>
      </c>
      <c r="K163" s="11" t="s">
        <v>1521</v>
      </c>
      <c r="L163" s="11" t="s">
        <v>1522</v>
      </c>
      <c r="M163" s="11"/>
      <c r="N163" s="14" t="n">
        <v>2</v>
      </c>
      <c r="O163" s="14" t="n">
        <v>4</v>
      </c>
      <c r="P163" s="14" t="n">
        <v>3</v>
      </c>
      <c r="Q163" s="14"/>
      <c r="R163" s="12" t="n">
        <f aca="false">IF(OR(N163="",P163=""),"",ROUND(N163*O163/P163,1))</f>
        <v>2.7</v>
      </c>
      <c r="S163" s="13" t="n">
        <f aca="false">IF(R163="","",IF(Q163="Y",1,IF(P163&gt;='Read me'!$B$16,3,IF(AND(R163&gt;='Read me'!$B$14,P163&lt;='Read me'!$B$15),1,2))))</f>
        <v>2</v>
      </c>
    </row>
    <row r="164" customFormat="false" ht="23.85" hidden="false" customHeight="false" outlineLevel="0" collapsed="false">
      <c r="A164" s="11" t="s">
        <v>1523</v>
      </c>
      <c r="B164" s="11" t="s">
        <v>33</v>
      </c>
      <c r="C164" s="11" t="s">
        <v>99</v>
      </c>
      <c r="D164" s="11" t="s">
        <v>100</v>
      </c>
      <c r="E164" s="11" t="s">
        <v>532</v>
      </c>
      <c r="F164" s="11" t="s">
        <v>603</v>
      </c>
      <c r="G164" s="11" t="s">
        <v>604</v>
      </c>
      <c r="H164" s="11" t="s">
        <v>605</v>
      </c>
      <c r="I164" s="11" t="s">
        <v>1524</v>
      </c>
      <c r="J164" s="11" t="s">
        <v>607</v>
      </c>
      <c r="K164" s="11" t="s">
        <v>1525</v>
      </c>
      <c r="L164" s="11" t="s">
        <v>1526</v>
      </c>
      <c r="M164" s="11"/>
      <c r="N164" s="14" t="n">
        <v>3</v>
      </c>
      <c r="O164" s="14" t="n">
        <v>3</v>
      </c>
      <c r="P164" s="14" t="n">
        <v>1</v>
      </c>
      <c r="Q164" s="14"/>
      <c r="R164" s="12" t="n">
        <f aca="false">IF(OR(N164="",P164=""),"",ROUND(N164*O164/P164,1))</f>
        <v>9</v>
      </c>
      <c r="S164" s="13" t="n">
        <f aca="false">IF(R164="","",IF(Q164="Y",1,IF(P164&gt;='Read me'!$B$16,3,IF(AND(R164&gt;='Read me'!$B$14,P164&lt;='Read me'!$B$15),1,2))))</f>
        <v>1</v>
      </c>
    </row>
    <row r="165" customFormat="false" ht="23.85" hidden="false" customHeight="false" outlineLevel="0" collapsed="false">
      <c r="A165" s="11" t="s">
        <v>1527</v>
      </c>
      <c r="B165" s="11" t="s">
        <v>33</v>
      </c>
      <c r="C165" s="11" t="s">
        <v>99</v>
      </c>
      <c r="D165" s="11" t="s">
        <v>100</v>
      </c>
      <c r="E165" s="11" t="s">
        <v>532</v>
      </c>
      <c r="F165" s="11" t="s">
        <v>611</v>
      </c>
      <c r="G165" s="11" t="s">
        <v>612</v>
      </c>
      <c r="H165" s="11" t="s">
        <v>613</v>
      </c>
      <c r="I165" s="11" t="s">
        <v>614</v>
      </c>
      <c r="J165" s="11" t="s">
        <v>1528</v>
      </c>
      <c r="K165" s="11" t="s">
        <v>935</v>
      </c>
      <c r="L165" s="11" t="s">
        <v>1529</v>
      </c>
      <c r="M165" s="11"/>
      <c r="N165" s="14" t="n">
        <v>2</v>
      </c>
      <c r="O165" s="14" t="n">
        <v>2</v>
      </c>
      <c r="P165" s="14" t="n">
        <v>2</v>
      </c>
      <c r="Q165" s="14"/>
      <c r="R165" s="12" t="n">
        <f aca="false">IF(OR(N165="",P165=""),"",ROUND(N165*O165/P165,1))</f>
        <v>2</v>
      </c>
      <c r="S165" s="13" t="n">
        <f aca="false">IF(R165="","",IF(Q165="Y",1,IF(P165&gt;='Read me'!$B$16,3,IF(AND(R165&gt;='Read me'!$B$14,P165&lt;='Read me'!$B$15),1,2))))</f>
        <v>2</v>
      </c>
    </row>
    <row r="166" customFormat="false" ht="23.85" hidden="false" customHeight="false" outlineLevel="0" collapsed="false">
      <c r="A166" s="11" t="s">
        <v>1530</v>
      </c>
      <c r="B166" s="11" t="s">
        <v>33</v>
      </c>
      <c r="C166" s="11" t="s">
        <v>99</v>
      </c>
      <c r="D166" s="11" t="s">
        <v>100</v>
      </c>
      <c r="E166" s="11" t="s">
        <v>626</v>
      </c>
      <c r="F166" s="11" t="s">
        <v>1531</v>
      </c>
      <c r="G166" s="11" t="s">
        <v>628</v>
      </c>
      <c r="H166" s="11"/>
      <c r="I166" s="11" t="s">
        <v>1532</v>
      </c>
      <c r="J166" s="11" t="s">
        <v>1533</v>
      </c>
      <c r="K166" s="11" t="s">
        <v>529</v>
      </c>
      <c r="L166" s="11" t="s">
        <v>1534</v>
      </c>
      <c r="M166" s="11"/>
      <c r="N166" s="14" t="n">
        <v>4</v>
      </c>
      <c r="O166" s="14" t="n">
        <v>4</v>
      </c>
      <c r="P166" s="14" t="n">
        <v>1</v>
      </c>
      <c r="Q166" s="14"/>
      <c r="R166" s="12" t="n">
        <f aca="false">IF(OR(N166="",P166=""),"",ROUND(N166*O166/P166,1))</f>
        <v>16</v>
      </c>
      <c r="S166" s="13" t="n">
        <f aca="false">IF(R166="","",IF(Q166="Y",1,IF(P166&gt;='Read me'!$B$16,3,IF(AND(R166&gt;='Read me'!$B$14,P166&lt;='Read me'!$B$15),1,2))))</f>
        <v>1</v>
      </c>
    </row>
    <row r="167" customFormat="false" ht="23.85" hidden="false" customHeight="false" outlineLevel="0" collapsed="false">
      <c r="A167" s="11" t="s">
        <v>1535</v>
      </c>
      <c r="B167" s="11" t="s">
        <v>33</v>
      </c>
      <c r="C167" s="11" t="s">
        <v>99</v>
      </c>
      <c r="D167" s="11" t="s">
        <v>100</v>
      </c>
      <c r="E167" s="11" t="s">
        <v>626</v>
      </c>
      <c r="F167" s="11" t="s">
        <v>1536</v>
      </c>
      <c r="G167" s="11" t="s">
        <v>1537</v>
      </c>
      <c r="H167" s="11"/>
      <c r="I167" s="11" t="s">
        <v>1538</v>
      </c>
      <c r="J167" s="11" t="s">
        <v>1539</v>
      </c>
      <c r="K167" s="11" t="s">
        <v>1540</v>
      </c>
      <c r="L167" s="11" t="s">
        <v>1541</v>
      </c>
      <c r="M167" s="11"/>
      <c r="N167" s="14" t="n">
        <v>4</v>
      </c>
      <c r="O167" s="14" t="n">
        <v>3</v>
      </c>
      <c r="P167" s="14" t="n">
        <v>2</v>
      </c>
      <c r="Q167" s="14"/>
      <c r="R167" s="12" t="n">
        <f aca="false">IF(OR(N167="",P167=""),"",ROUND(N167*O167/P167,1))</f>
        <v>6</v>
      </c>
      <c r="S167" s="13" t="n">
        <f aca="false">IF(R167="","",IF(Q167="Y",1,IF(P167&gt;='Read me'!$B$16,3,IF(AND(R167&gt;='Read me'!$B$14,P167&lt;='Read me'!$B$15),1,2))))</f>
        <v>1</v>
      </c>
    </row>
    <row r="168" customFormat="false" ht="23.85" hidden="false" customHeight="false" outlineLevel="0" collapsed="false">
      <c r="A168" s="11" t="s">
        <v>1542</v>
      </c>
      <c r="B168" s="11" t="s">
        <v>33</v>
      </c>
      <c r="C168" s="11" t="s">
        <v>99</v>
      </c>
      <c r="D168" s="11" t="s">
        <v>100</v>
      </c>
      <c r="E168" s="11" t="s">
        <v>626</v>
      </c>
      <c r="F168" s="11" t="s">
        <v>1543</v>
      </c>
      <c r="G168" s="11" t="s">
        <v>1544</v>
      </c>
      <c r="H168" s="11"/>
      <c r="I168" s="11" t="s">
        <v>1545</v>
      </c>
      <c r="J168" s="11" t="s">
        <v>1546</v>
      </c>
      <c r="K168" s="11" t="s">
        <v>1547</v>
      </c>
      <c r="L168" s="11" t="s">
        <v>1548</v>
      </c>
      <c r="M168" s="11"/>
      <c r="N168" s="14" t="n">
        <v>5</v>
      </c>
      <c r="O168" s="14" t="n">
        <v>4</v>
      </c>
      <c r="P168" s="14" t="n">
        <v>2</v>
      </c>
      <c r="Q168" s="14"/>
      <c r="R168" s="12" t="n">
        <f aca="false">IF(OR(N168="",P168=""),"",ROUND(N168*O168/P168,1))</f>
        <v>10</v>
      </c>
      <c r="S168" s="13" t="n">
        <f aca="false">IF(R168="","",IF(Q168="Y",1,IF(P168&gt;='Read me'!$B$16,3,IF(AND(R168&gt;='Read me'!$B$14,P168&lt;='Read me'!$B$15),1,2))))</f>
        <v>1</v>
      </c>
    </row>
    <row r="169" customFormat="false" ht="23.85" hidden="false" customHeight="false" outlineLevel="0" collapsed="false">
      <c r="A169" s="11" t="s">
        <v>1549</v>
      </c>
      <c r="B169" s="11" t="s">
        <v>33</v>
      </c>
      <c r="C169" s="11" t="s">
        <v>99</v>
      </c>
      <c r="D169" s="11" t="s">
        <v>100</v>
      </c>
      <c r="E169" s="11" t="s">
        <v>626</v>
      </c>
      <c r="F169" s="11" t="s">
        <v>1550</v>
      </c>
      <c r="G169" s="11" t="s">
        <v>1551</v>
      </c>
      <c r="H169" s="11"/>
      <c r="I169" s="11" t="s">
        <v>1552</v>
      </c>
      <c r="J169" s="11" t="s">
        <v>1553</v>
      </c>
      <c r="K169" s="11" t="s">
        <v>1554</v>
      </c>
      <c r="L169" s="11" t="s">
        <v>1555</v>
      </c>
      <c r="M169" s="11"/>
      <c r="N169" s="14" t="n">
        <v>5</v>
      </c>
      <c r="O169" s="14" t="n">
        <v>4</v>
      </c>
      <c r="P169" s="14" t="n">
        <v>3</v>
      </c>
      <c r="Q169" s="14"/>
      <c r="R169" s="12" t="n">
        <f aca="false">IF(OR(N169="",P169=""),"",ROUND(N169*O169/P169,1))</f>
        <v>6.7</v>
      </c>
      <c r="S169" s="13" t="n">
        <f aca="false">IF(R169="","",IF(Q169="Y",1,IF(P169&gt;='Read me'!$B$16,3,IF(AND(R169&gt;='Read me'!$B$14,P169&lt;='Read me'!$B$15),1,2))))</f>
        <v>2</v>
      </c>
    </row>
    <row r="170" customFormat="false" ht="57.45" hidden="false" customHeight="false" outlineLevel="0" collapsed="false">
      <c r="A170" s="11" t="s">
        <v>1556</v>
      </c>
      <c r="B170" s="11" t="s">
        <v>33</v>
      </c>
      <c r="C170" s="11" t="s">
        <v>99</v>
      </c>
      <c r="D170" s="11" t="s">
        <v>100</v>
      </c>
      <c r="E170" s="11" t="s">
        <v>626</v>
      </c>
      <c r="F170" s="11" t="s">
        <v>1557</v>
      </c>
      <c r="G170" s="11" t="s">
        <v>1558</v>
      </c>
      <c r="H170" s="11"/>
      <c r="I170" s="11" t="s">
        <v>1559</v>
      </c>
      <c r="J170" s="11" t="s">
        <v>1560</v>
      </c>
      <c r="K170" s="11" t="s">
        <v>1322</v>
      </c>
      <c r="L170" s="11" t="s">
        <v>1561</v>
      </c>
      <c r="M170" s="11" t="s">
        <v>1562</v>
      </c>
      <c r="N170" s="14" t="n">
        <v>4</v>
      </c>
      <c r="O170" s="14" t="n">
        <v>4</v>
      </c>
      <c r="P170" s="14" t="n">
        <v>3</v>
      </c>
      <c r="Q170" s="14"/>
      <c r="R170" s="12" t="n">
        <f aca="false">IF(OR(N170="",P170=""),"",ROUND(N170*O170/P170,1))</f>
        <v>5.3</v>
      </c>
      <c r="S170" s="13" t="n">
        <f aca="false">IF(R170="","",IF(Q170="Y",1,IF(P170&gt;='Read me'!$B$16,3,IF(AND(R170&gt;='Read me'!$B$14,P170&lt;='Read me'!$B$15),1,2))))</f>
        <v>2</v>
      </c>
    </row>
    <row r="171" customFormat="false" ht="23.85" hidden="false" customHeight="false" outlineLevel="0" collapsed="false">
      <c r="A171" s="11" t="s">
        <v>1563</v>
      </c>
      <c r="B171" s="11" t="s">
        <v>33</v>
      </c>
      <c r="C171" s="11" t="s">
        <v>99</v>
      </c>
      <c r="D171" s="11" t="s">
        <v>100</v>
      </c>
      <c r="E171" s="11" t="s">
        <v>626</v>
      </c>
      <c r="F171" s="11" t="s">
        <v>1439</v>
      </c>
      <c r="G171" s="11" t="s">
        <v>679</v>
      </c>
      <c r="H171" s="11" t="s">
        <v>1564</v>
      </c>
      <c r="I171" s="11" t="s">
        <v>1565</v>
      </c>
      <c r="J171" s="11" t="s">
        <v>1566</v>
      </c>
      <c r="K171" s="11" t="s">
        <v>935</v>
      </c>
      <c r="L171" s="11" t="s">
        <v>684</v>
      </c>
      <c r="M171" s="11"/>
      <c r="N171" s="14" t="n">
        <v>3</v>
      </c>
      <c r="O171" s="14" t="n">
        <v>3</v>
      </c>
      <c r="P171" s="14" t="n">
        <v>3</v>
      </c>
      <c r="Q171" s="14"/>
      <c r="R171" s="12" t="n">
        <f aca="false">IF(OR(N171="",P171=""),"",ROUND(N171*O171/P171,1))</f>
        <v>3</v>
      </c>
      <c r="S171" s="13" t="n">
        <f aca="false">IF(R171="","",IF(Q171="Y",1,IF(P171&gt;='Read me'!$B$16,3,IF(AND(R171&gt;='Read me'!$B$14,P171&lt;='Read me'!$B$15),1,2))))</f>
        <v>2</v>
      </c>
    </row>
    <row r="172" customFormat="false" ht="23.85" hidden="false" customHeight="false" outlineLevel="0" collapsed="false">
      <c r="A172" s="11" t="s">
        <v>1567</v>
      </c>
      <c r="B172" s="11" t="s">
        <v>33</v>
      </c>
      <c r="C172" s="11" t="s">
        <v>99</v>
      </c>
      <c r="D172" s="11" t="s">
        <v>100</v>
      </c>
      <c r="E172" s="11" t="s">
        <v>626</v>
      </c>
      <c r="F172" s="11" t="s">
        <v>1439</v>
      </c>
      <c r="G172" s="11" t="s">
        <v>1568</v>
      </c>
      <c r="H172" s="11" t="s">
        <v>686</v>
      </c>
      <c r="I172" s="11" t="s">
        <v>1569</v>
      </c>
      <c r="J172" s="11" t="s">
        <v>1570</v>
      </c>
      <c r="K172" s="11" t="s">
        <v>1571</v>
      </c>
      <c r="L172" s="11" t="s">
        <v>1572</v>
      </c>
      <c r="M172" s="11"/>
      <c r="N172" s="14" t="n">
        <v>3</v>
      </c>
      <c r="O172" s="14" t="n">
        <v>3</v>
      </c>
      <c r="P172" s="14" t="n">
        <v>2</v>
      </c>
      <c r="Q172" s="14"/>
      <c r="R172" s="12" t="n">
        <f aca="false">IF(OR(N172="",P172=""),"",ROUND(N172*O172/P172,1))</f>
        <v>4.5</v>
      </c>
      <c r="S172" s="13" t="n">
        <f aca="false">IF(R172="","",IF(Q172="Y",1,IF(P172&gt;='Read me'!$B$16,3,IF(AND(R172&gt;='Read me'!$B$14,P172&lt;='Read me'!$B$15),1,2))))</f>
        <v>2</v>
      </c>
    </row>
    <row r="173" customFormat="false" ht="35.05" hidden="false" customHeight="false" outlineLevel="0" collapsed="false">
      <c r="A173" s="11" t="s">
        <v>1573</v>
      </c>
      <c r="B173" s="11" t="s">
        <v>33</v>
      </c>
      <c r="C173" s="11" t="s">
        <v>99</v>
      </c>
      <c r="D173" s="11" t="s">
        <v>100</v>
      </c>
      <c r="E173" s="11" t="s">
        <v>751</v>
      </c>
      <c r="F173" s="11" t="s">
        <v>1251</v>
      </c>
      <c r="G173" s="11" t="s">
        <v>1252</v>
      </c>
      <c r="H173" s="11"/>
      <c r="I173" s="11" t="s">
        <v>1251</v>
      </c>
      <c r="J173" s="11" t="s">
        <v>1574</v>
      </c>
      <c r="K173" s="11" t="s">
        <v>1575</v>
      </c>
      <c r="L173" s="11" t="s">
        <v>1576</v>
      </c>
      <c r="M173" s="11" t="s">
        <v>1577</v>
      </c>
      <c r="N173" s="14" t="n">
        <v>5</v>
      </c>
      <c r="O173" s="14" t="n">
        <v>5</v>
      </c>
      <c r="P173" s="14" t="n">
        <v>3</v>
      </c>
      <c r="Q173" s="14"/>
      <c r="R173" s="12" t="n">
        <f aca="false">IF(OR(N173="",P173=""),"",ROUND(N173*O173/P173,1))</f>
        <v>8.3</v>
      </c>
      <c r="S173" s="13" t="n">
        <f aca="false">IF(R173="","",IF(Q173="Y",1,IF(P173&gt;='Read me'!$B$16,3,IF(AND(R173&gt;='Read me'!$B$14,P173&lt;='Read me'!$B$15),1,2))))</f>
        <v>2</v>
      </c>
    </row>
    <row r="174" customFormat="false" ht="23.85" hidden="false" customHeight="false" outlineLevel="0" collapsed="false">
      <c r="A174" s="11" t="s">
        <v>1578</v>
      </c>
      <c r="B174" s="11" t="s">
        <v>33</v>
      </c>
      <c r="C174" s="11" t="s">
        <v>99</v>
      </c>
      <c r="D174" s="11" t="s">
        <v>100</v>
      </c>
      <c r="E174" s="11" t="s">
        <v>751</v>
      </c>
      <c r="F174" s="11" t="s">
        <v>1258</v>
      </c>
      <c r="G174" s="11" t="s">
        <v>1259</v>
      </c>
      <c r="H174" s="11"/>
      <c r="I174" s="11" t="s">
        <v>1260</v>
      </c>
      <c r="J174" s="11" t="s">
        <v>1579</v>
      </c>
      <c r="K174" s="11" t="s">
        <v>1262</v>
      </c>
      <c r="L174" s="11" t="s">
        <v>1263</v>
      </c>
      <c r="M174" s="11" t="s">
        <v>1577</v>
      </c>
      <c r="N174" s="14" t="n">
        <v>5</v>
      </c>
      <c r="O174" s="14" t="n">
        <v>5</v>
      </c>
      <c r="P174" s="14" t="n">
        <v>3</v>
      </c>
      <c r="Q174" s="14"/>
      <c r="R174" s="12" t="n">
        <f aca="false">IF(OR(N174="",P174=""),"",ROUND(N174*O174/P174,1))</f>
        <v>8.3</v>
      </c>
      <c r="S174" s="13" t="n">
        <f aca="false">IF(R174="","",IF(Q174="Y",1,IF(P174&gt;='Read me'!$B$16,3,IF(AND(R174&gt;='Read me'!$B$14,P174&lt;='Read me'!$B$15),1,2))))</f>
        <v>2</v>
      </c>
    </row>
    <row r="175" customFormat="false" ht="35.05" hidden="false" customHeight="false" outlineLevel="0" collapsed="false">
      <c r="A175" s="11" t="s">
        <v>1580</v>
      </c>
      <c r="B175" s="11" t="s">
        <v>33</v>
      </c>
      <c r="C175" s="11" t="s">
        <v>99</v>
      </c>
      <c r="D175" s="11" t="s">
        <v>100</v>
      </c>
      <c r="E175" s="11" t="s">
        <v>751</v>
      </c>
      <c r="F175" s="11" t="s">
        <v>1581</v>
      </c>
      <c r="G175" s="11" t="s">
        <v>1582</v>
      </c>
      <c r="H175" s="11"/>
      <c r="I175" s="11" t="s">
        <v>1583</v>
      </c>
      <c r="J175" s="11" t="s">
        <v>1584</v>
      </c>
      <c r="K175" s="11" t="s">
        <v>1585</v>
      </c>
      <c r="L175" s="11" t="s">
        <v>1586</v>
      </c>
      <c r="M175" s="11" t="s">
        <v>1587</v>
      </c>
      <c r="N175" s="14" t="n">
        <v>3</v>
      </c>
      <c r="O175" s="14" t="n">
        <v>3</v>
      </c>
      <c r="P175" s="14" t="n">
        <v>3</v>
      </c>
      <c r="Q175" s="14"/>
      <c r="R175" s="12" t="n">
        <f aca="false">IF(OR(N175="",P175=""),"",ROUND(N175*O175/P175,1))</f>
        <v>3</v>
      </c>
      <c r="S175" s="13" t="n">
        <f aca="false">IF(R175="","",IF(Q175="Y",1,IF(P175&gt;='Read me'!$B$16,3,IF(AND(R175&gt;='Read me'!$B$14,P175&lt;='Read me'!$B$15),1,2))))</f>
        <v>2</v>
      </c>
    </row>
    <row r="176" customFormat="false" ht="23.85" hidden="false" customHeight="false" outlineLevel="0" collapsed="false">
      <c r="A176" s="11" t="s">
        <v>1588</v>
      </c>
      <c r="B176" s="11" t="s">
        <v>33</v>
      </c>
      <c r="C176" s="11" t="s">
        <v>99</v>
      </c>
      <c r="D176" s="11" t="s">
        <v>100</v>
      </c>
      <c r="E176" s="11" t="s">
        <v>751</v>
      </c>
      <c r="F176" s="11" t="s">
        <v>1311</v>
      </c>
      <c r="G176" s="11" t="s">
        <v>1312</v>
      </c>
      <c r="H176" s="11"/>
      <c r="I176" s="11" t="s">
        <v>1589</v>
      </c>
      <c r="J176" s="11" t="s">
        <v>1590</v>
      </c>
      <c r="K176" s="11" t="s">
        <v>916</v>
      </c>
      <c r="L176" s="11" t="s">
        <v>1315</v>
      </c>
      <c r="M176" s="11" t="s">
        <v>1591</v>
      </c>
      <c r="N176" s="14" t="n">
        <v>2</v>
      </c>
      <c r="O176" s="14" t="n">
        <v>4</v>
      </c>
      <c r="P176" s="14" t="n">
        <v>4</v>
      </c>
      <c r="Q176" s="14"/>
      <c r="R176" s="12" t="n">
        <f aca="false">IF(OR(N176="",P176=""),"",ROUND(N176*O176/P176,1))</f>
        <v>2</v>
      </c>
      <c r="S176" s="13" t="n">
        <f aca="false">IF(R176="","",IF(Q176="Y",1,IF(P176&gt;='Read me'!$B$16,3,IF(AND(R176&gt;='Read me'!$B$14,P176&lt;='Read me'!$B$15),1,2))))</f>
        <v>3</v>
      </c>
    </row>
    <row r="177" customFormat="false" ht="23.85" hidden="false" customHeight="false" outlineLevel="0" collapsed="false">
      <c r="A177" s="11" t="s">
        <v>1592</v>
      </c>
      <c r="B177" s="11" t="s">
        <v>33</v>
      </c>
      <c r="C177" s="11" t="s">
        <v>99</v>
      </c>
      <c r="D177" s="11" t="s">
        <v>100</v>
      </c>
      <c r="E177" s="11" t="s">
        <v>751</v>
      </c>
      <c r="F177" s="11" t="s">
        <v>1284</v>
      </c>
      <c r="G177" s="11" t="s">
        <v>1285</v>
      </c>
      <c r="H177" s="11" t="s">
        <v>1286</v>
      </c>
      <c r="I177" s="11" t="s">
        <v>754</v>
      </c>
      <c r="J177" s="11" t="s">
        <v>1593</v>
      </c>
      <c r="K177" s="11" t="s">
        <v>935</v>
      </c>
      <c r="L177" s="11" t="s">
        <v>1288</v>
      </c>
      <c r="M177" s="11"/>
      <c r="N177" s="14" t="n">
        <v>2</v>
      </c>
      <c r="O177" s="14" t="n">
        <v>3</v>
      </c>
      <c r="P177" s="14" t="n">
        <v>4</v>
      </c>
      <c r="Q177" s="14"/>
      <c r="R177" s="12" t="n">
        <f aca="false">IF(OR(N177="",P177=""),"",ROUND(N177*O177/P177,1))</f>
        <v>1.5</v>
      </c>
      <c r="S177" s="13" t="n">
        <f aca="false">IF(R177="","",IF(Q177="Y",1,IF(P177&gt;='Read me'!$B$16,3,IF(AND(R177&gt;='Read me'!$B$14,P177&lt;='Read me'!$B$15),1,2))))</f>
        <v>3</v>
      </c>
    </row>
    <row r="178" customFormat="false" ht="15" hidden="false" customHeight="false" outlineLevel="0" collapsed="false">
      <c r="A178" s="11" t="s">
        <v>1594</v>
      </c>
      <c r="B178" s="11" t="s">
        <v>33</v>
      </c>
      <c r="C178" s="11" t="s">
        <v>99</v>
      </c>
      <c r="D178" s="11" t="s">
        <v>100</v>
      </c>
      <c r="E178" s="11" t="s">
        <v>751</v>
      </c>
      <c r="F178" s="11" t="s">
        <v>1298</v>
      </c>
      <c r="G178" s="11" t="s">
        <v>1299</v>
      </c>
      <c r="H178" s="11" t="s">
        <v>1564</v>
      </c>
      <c r="I178" s="11" t="s">
        <v>754</v>
      </c>
      <c r="J178" s="11" t="s">
        <v>1595</v>
      </c>
      <c r="K178" s="11" t="s">
        <v>935</v>
      </c>
      <c r="L178" s="11" t="s">
        <v>1301</v>
      </c>
      <c r="M178" s="11"/>
      <c r="N178" s="14" t="n">
        <v>3</v>
      </c>
      <c r="O178" s="14" t="n">
        <v>3</v>
      </c>
      <c r="P178" s="14" t="n">
        <v>4</v>
      </c>
      <c r="Q178" s="14"/>
      <c r="R178" s="12" t="n">
        <f aca="false">IF(OR(N178="",P178=""),"",ROUND(N178*O178/P178,1))</f>
        <v>2.3</v>
      </c>
      <c r="S178" s="13" t="n">
        <f aca="false">IF(R178="","",IF(Q178="Y",1,IF(P178&gt;='Read me'!$B$16,3,IF(AND(R178&gt;='Read me'!$B$14,P178&lt;='Read me'!$B$15),1,2))))</f>
        <v>3</v>
      </c>
    </row>
    <row r="179" customFormat="false" ht="23.85" hidden="false" customHeight="false" outlineLevel="0" collapsed="false">
      <c r="A179" s="11" t="s">
        <v>1596</v>
      </c>
      <c r="B179" s="11" t="s">
        <v>33</v>
      </c>
      <c r="C179" s="11" t="s">
        <v>99</v>
      </c>
      <c r="D179" s="11" t="s">
        <v>100</v>
      </c>
      <c r="E179" s="11" t="s">
        <v>751</v>
      </c>
      <c r="F179" s="11" t="s">
        <v>1331</v>
      </c>
      <c r="G179" s="11" t="s">
        <v>1332</v>
      </c>
      <c r="H179" s="11" t="s">
        <v>1597</v>
      </c>
      <c r="I179" s="11" t="s">
        <v>1327</v>
      </c>
      <c r="J179" s="11" t="s">
        <v>1598</v>
      </c>
      <c r="K179" s="11" t="s">
        <v>762</v>
      </c>
      <c r="L179" s="11" t="s">
        <v>1599</v>
      </c>
      <c r="M179" s="11"/>
      <c r="N179" s="14" t="n">
        <v>2</v>
      </c>
      <c r="O179" s="14" t="n">
        <v>3</v>
      </c>
      <c r="P179" s="14" t="n">
        <v>4</v>
      </c>
      <c r="Q179" s="14"/>
      <c r="R179" s="12" t="n">
        <f aca="false">IF(OR(N179="",P179=""),"",ROUND(N179*O179/P179,1))</f>
        <v>1.5</v>
      </c>
      <c r="S179" s="13" t="n">
        <f aca="false">IF(R179="","",IF(Q179="Y",1,IF(P179&gt;='Read me'!$B$16,3,IF(AND(R179&gt;='Read me'!$B$14,P179&lt;='Read me'!$B$15),1,2))))</f>
        <v>3</v>
      </c>
    </row>
    <row r="180" customFormat="false" ht="23.85" hidden="false" customHeight="false" outlineLevel="0" collapsed="false">
      <c r="A180" s="11" t="s">
        <v>1600</v>
      </c>
      <c r="B180" s="11" t="s">
        <v>33</v>
      </c>
      <c r="C180" s="11" t="s">
        <v>99</v>
      </c>
      <c r="D180" s="11" t="s">
        <v>100</v>
      </c>
      <c r="E180" s="11" t="s">
        <v>751</v>
      </c>
      <c r="F180" s="11" t="s">
        <v>1325</v>
      </c>
      <c r="G180" s="11" t="s">
        <v>1326</v>
      </c>
      <c r="H180" s="11"/>
      <c r="I180" s="11" t="s">
        <v>1327</v>
      </c>
      <c r="J180" s="11" t="s">
        <v>1601</v>
      </c>
      <c r="K180" s="11" t="s">
        <v>1602</v>
      </c>
      <c r="L180" s="11" t="s">
        <v>1603</v>
      </c>
      <c r="M180" s="11"/>
      <c r="N180" s="14" t="n">
        <v>5</v>
      </c>
      <c r="O180" s="14" t="n">
        <v>4</v>
      </c>
      <c r="P180" s="14" t="n">
        <v>1</v>
      </c>
      <c r="Q180" s="14"/>
      <c r="R180" s="12" t="n">
        <f aca="false">IF(OR(N180="",P180=""),"",ROUND(N180*O180/P180,1))</f>
        <v>20</v>
      </c>
      <c r="S180" s="13" t="n">
        <f aca="false">IF(R180="","",IF(Q180="Y",1,IF(P180&gt;='Read me'!$B$16,3,IF(AND(R180&gt;='Read me'!$B$14,P180&lt;='Read me'!$B$15),1,2))))</f>
        <v>1</v>
      </c>
    </row>
    <row r="181" customFormat="false" ht="23.85" hidden="false" customHeight="false" outlineLevel="0" collapsed="false">
      <c r="A181" s="11" t="s">
        <v>1604</v>
      </c>
      <c r="B181" s="11" t="s">
        <v>33</v>
      </c>
      <c r="C181" s="11" t="s">
        <v>99</v>
      </c>
      <c r="D181" s="11" t="s">
        <v>100</v>
      </c>
      <c r="E181" s="11" t="s">
        <v>765</v>
      </c>
      <c r="F181" s="11" t="s">
        <v>1605</v>
      </c>
      <c r="G181" s="11" t="s">
        <v>1606</v>
      </c>
      <c r="H181" s="11"/>
      <c r="I181" s="11" t="s">
        <v>1607</v>
      </c>
      <c r="J181" s="11" t="s">
        <v>1608</v>
      </c>
      <c r="K181" s="11" t="s">
        <v>1609</v>
      </c>
      <c r="L181" s="11" t="s">
        <v>1610</v>
      </c>
      <c r="M181" s="11"/>
      <c r="N181" s="14" t="n">
        <v>2</v>
      </c>
      <c r="O181" s="14" t="n">
        <v>3</v>
      </c>
      <c r="P181" s="14" t="n">
        <v>3</v>
      </c>
      <c r="Q181" s="14"/>
      <c r="R181" s="12" t="n">
        <f aca="false">IF(OR(N181="",P181=""),"",ROUND(N181*O181/P181,1))</f>
        <v>2</v>
      </c>
      <c r="S181" s="13" t="n">
        <f aca="false">IF(R181="","",IF(Q181="Y",1,IF(P181&gt;='Read me'!$B$16,3,IF(AND(R181&gt;='Read me'!$B$14,P181&lt;='Read me'!$B$15),1,2))))</f>
        <v>2</v>
      </c>
    </row>
    <row r="182" customFormat="false" ht="35.05" hidden="false" customHeight="false" outlineLevel="0" collapsed="false">
      <c r="A182" s="11" t="s">
        <v>1611</v>
      </c>
      <c r="B182" s="11" t="s">
        <v>33</v>
      </c>
      <c r="C182" s="11" t="s">
        <v>99</v>
      </c>
      <c r="D182" s="11" t="s">
        <v>100</v>
      </c>
      <c r="E182" s="11" t="s">
        <v>765</v>
      </c>
      <c r="F182" s="11" t="s">
        <v>1612</v>
      </c>
      <c r="G182" s="11" t="s">
        <v>1613</v>
      </c>
      <c r="H182" s="11"/>
      <c r="I182" s="11" t="s">
        <v>512</v>
      </c>
      <c r="J182" s="11" t="s">
        <v>1614</v>
      </c>
      <c r="K182" s="11" t="s">
        <v>1615</v>
      </c>
      <c r="L182" s="11" t="s">
        <v>1616</v>
      </c>
      <c r="M182" s="11"/>
      <c r="N182" s="14" t="n">
        <v>2</v>
      </c>
      <c r="O182" s="14" t="n">
        <v>4</v>
      </c>
      <c r="P182" s="14" t="n">
        <v>3</v>
      </c>
      <c r="Q182" s="14"/>
      <c r="R182" s="12" t="n">
        <f aca="false">IF(OR(N182="",P182=""),"",ROUND(N182*O182/P182,1))</f>
        <v>2.7</v>
      </c>
      <c r="S182" s="13" t="n">
        <f aca="false">IF(R182="","",IF(Q182="Y",1,IF(P182&gt;='Read me'!$B$16,3,IF(AND(R182&gt;='Read me'!$B$14,P182&lt;='Read me'!$B$15),1,2))))</f>
        <v>2</v>
      </c>
    </row>
    <row r="183" customFormat="false" ht="23.85" hidden="false" customHeight="false" outlineLevel="0" collapsed="false">
      <c r="A183" s="11" t="s">
        <v>1617</v>
      </c>
      <c r="B183" s="11" t="s">
        <v>33</v>
      </c>
      <c r="C183" s="11" t="s">
        <v>99</v>
      </c>
      <c r="D183" s="11" t="s">
        <v>100</v>
      </c>
      <c r="E183" s="11" t="s">
        <v>1372</v>
      </c>
      <c r="F183" s="11" t="s">
        <v>1618</v>
      </c>
      <c r="G183" s="11" t="s">
        <v>1619</v>
      </c>
      <c r="H183" s="11"/>
      <c r="I183" s="11" t="s">
        <v>1620</v>
      </c>
      <c r="J183" s="11" t="s">
        <v>1621</v>
      </c>
      <c r="K183" s="11" t="s">
        <v>1622</v>
      </c>
      <c r="L183" s="11" t="s">
        <v>1623</v>
      </c>
      <c r="M183" s="11"/>
      <c r="N183" s="14" t="n">
        <v>3</v>
      </c>
      <c r="O183" s="14" t="n">
        <v>3</v>
      </c>
      <c r="P183" s="14" t="n">
        <v>1</v>
      </c>
      <c r="Q183" s="14"/>
      <c r="R183" s="12" t="n">
        <f aca="false">IF(OR(N183="",P183=""),"",ROUND(N183*O183/P183,1))</f>
        <v>9</v>
      </c>
      <c r="S183" s="13" t="n">
        <f aca="false">IF(R183="","",IF(Q183="Y",1,IF(P183&gt;='Read me'!$B$16,3,IF(AND(R183&gt;='Read me'!$B$14,P183&lt;='Read me'!$B$15),1,2))))</f>
        <v>1</v>
      </c>
    </row>
    <row r="184" customFormat="false" ht="23.85" hidden="false" customHeight="false" outlineLevel="0" collapsed="false">
      <c r="A184" s="11" t="s">
        <v>1624</v>
      </c>
      <c r="B184" s="11" t="s">
        <v>33</v>
      </c>
      <c r="C184" s="11" t="s">
        <v>104</v>
      </c>
      <c r="D184" s="11" t="s">
        <v>105</v>
      </c>
      <c r="E184" s="11" t="s">
        <v>532</v>
      </c>
      <c r="F184" s="11" t="s">
        <v>1625</v>
      </c>
      <c r="G184" s="11" t="s">
        <v>1626</v>
      </c>
      <c r="H184" s="11"/>
      <c r="I184" s="11" t="s">
        <v>1627</v>
      </c>
      <c r="J184" s="11" t="s">
        <v>1628</v>
      </c>
      <c r="K184" s="11" t="s">
        <v>1629</v>
      </c>
      <c r="L184" s="11" t="s">
        <v>1630</v>
      </c>
      <c r="M184" s="11" t="s">
        <v>1631</v>
      </c>
      <c r="N184" s="14" t="n">
        <v>3</v>
      </c>
      <c r="O184" s="14" t="n">
        <v>4</v>
      </c>
      <c r="P184" s="14" t="n">
        <v>3</v>
      </c>
      <c r="Q184" s="14"/>
      <c r="R184" s="12" t="n">
        <f aca="false">IF(OR(N184="",P184=""),"",ROUND(N184*O184/P184,1))</f>
        <v>4</v>
      </c>
      <c r="S184" s="13" t="n">
        <f aca="false">IF(R184="","",IF(Q184="Y",1,IF(P184&gt;='Read me'!$B$16,3,IF(AND(R184&gt;='Read me'!$B$14,P184&lt;='Read me'!$B$15),1,2))))</f>
        <v>2</v>
      </c>
    </row>
    <row r="185" customFormat="false" ht="35.05" hidden="false" customHeight="false" outlineLevel="0" collapsed="false">
      <c r="A185" s="11" t="s">
        <v>1632</v>
      </c>
      <c r="B185" s="11" t="s">
        <v>33</v>
      </c>
      <c r="C185" s="11" t="s">
        <v>104</v>
      </c>
      <c r="D185" s="11" t="s">
        <v>105</v>
      </c>
      <c r="E185" s="11" t="s">
        <v>532</v>
      </c>
      <c r="F185" s="11" t="s">
        <v>1633</v>
      </c>
      <c r="G185" s="11" t="s">
        <v>1634</v>
      </c>
      <c r="H185" s="11"/>
      <c r="I185" s="11" t="s">
        <v>1635</v>
      </c>
      <c r="J185" s="11" t="s">
        <v>1636</v>
      </c>
      <c r="K185" s="11" t="s">
        <v>1637</v>
      </c>
      <c r="L185" s="11" t="s">
        <v>1638</v>
      </c>
      <c r="M185" s="11"/>
      <c r="N185" s="14" t="n">
        <v>2</v>
      </c>
      <c r="O185" s="14" t="n">
        <v>5</v>
      </c>
      <c r="P185" s="14" t="n">
        <v>3</v>
      </c>
      <c r="Q185" s="14"/>
      <c r="R185" s="12" t="n">
        <f aca="false">IF(OR(N185="",P185=""),"",ROUND(N185*O185/P185,1))</f>
        <v>3.3</v>
      </c>
      <c r="S185" s="13" t="n">
        <f aca="false">IF(R185="","",IF(Q185="Y",1,IF(P185&gt;='Read me'!$B$16,3,IF(AND(R185&gt;='Read me'!$B$14,P185&lt;='Read me'!$B$15),1,2))))</f>
        <v>2</v>
      </c>
    </row>
    <row r="186" customFormat="false" ht="23.85" hidden="false" customHeight="false" outlineLevel="0" collapsed="false">
      <c r="A186" s="11" t="s">
        <v>1639</v>
      </c>
      <c r="B186" s="11" t="s">
        <v>33</v>
      </c>
      <c r="C186" s="11" t="s">
        <v>104</v>
      </c>
      <c r="D186" s="11" t="s">
        <v>105</v>
      </c>
      <c r="E186" s="11" t="s">
        <v>532</v>
      </c>
      <c r="F186" s="11" t="s">
        <v>1633</v>
      </c>
      <c r="G186" s="11" t="s">
        <v>497</v>
      </c>
      <c r="H186" s="11"/>
      <c r="I186" s="11" t="s">
        <v>1640</v>
      </c>
      <c r="J186" s="11" t="s">
        <v>1641</v>
      </c>
      <c r="K186" s="11" t="s">
        <v>1642</v>
      </c>
      <c r="L186" s="11" t="s">
        <v>1643</v>
      </c>
      <c r="M186" s="11"/>
      <c r="N186" s="14" t="n">
        <v>1</v>
      </c>
      <c r="O186" s="14" t="n">
        <v>3</v>
      </c>
      <c r="P186" s="14" t="n">
        <v>4</v>
      </c>
      <c r="Q186" s="14"/>
      <c r="R186" s="12" t="n">
        <f aca="false">IF(OR(N186="",P186=""),"",ROUND(N186*O186/P186,1))</f>
        <v>0.8</v>
      </c>
      <c r="S186" s="13" t="n">
        <f aca="false">IF(R186="","",IF(Q186="Y",1,IF(P186&gt;='Read me'!$B$16,3,IF(AND(R186&gt;='Read me'!$B$14,P186&lt;='Read me'!$B$15),1,2))))</f>
        <v>3</v>
      </c>
    </row>
    <row r="187" customFormat="false" ht="23.85" hidden="false" customHeight="false" outlineLevel="0" collapsed="false">
      <c r="A187" s="11" t="s">
        <v>1644</v>
      </c>
      <c r="B187" s="11" t="s">
        <v>33</v>
      </c>
      <c r="C187" s="11" t="s">
        <v>104</v>
      </c>
      <c r="D187" s="11" t="s">
        <v>105</v>
      </c>
      <c r="E187" s="11" t="s">
        <v>532</v>
      </c>
      <c r="F187" s="11" t="s">
        <v>1625</v>
      </c>
      <c r="G187" s="11" t="s">
        <v>1645</v>
      </c>
      <c r="H187" s="11"/>
      <c r="I187" s="11" t="s">
        <v>1646</v>
      </c>
      <c r="J187" s="11" t="s">
        <v>1647</v>
      </c>
      <c r="K187" s="11" t="s">
        <v>1648</v>
      </c>
      <c r="L187" s="11" t="s">
        <v>1649</v>
      </c>
      <c r="M187" s="11"/>
      <c r="N187" s="14" t="n">
        <v>2</v>
      </c>
      <c r="O187" s="14" t="n">
        <v>3</v>
      </c>
      <c r="P187" s="14" t="n">
        <v>2</v>
      </c>
      <c r="Q187" s="14"/>
      <c r="R187" s="12" t="n">
        <f aca="false">IF(OR(N187="",P187=""),"",ROUND(N187*O187/P187,1))</f>
        <v>3</v>
      </c>
      <c r="S187" s="13" t="n">
        <f aca="false">IF(R187="","",IF(Q187="Y",1,IF(P187&gt;='Read me'!$B$16,3,IF(AND(R187&gt;='Read me'!$B$14,P187&lt;='Read me'!$B$15),1,2))))</f>
        <v>2</v>
      </c>
    </row>
    <row r="188" customFormat="false" ht="46.25" hidden="false" customHeight="false" outlineLevel="0" collapsed="false">
      <c r="A188" s="11" t="s">
        <v>1650</v>
      </c>
      <c r="B188" s="11" t="s">
        <v>33</v>
      </c>
      <c r="C188" s="11" t="s">
        <v>104</v>
      </c>
      <c r="D188" s="11" t="s">
        <v>105</v>
      </c>
      <c r="E188" s="11" t="s">
        <v>532</v>
      </c>
      <c r="F188" s="11" t="s">
        <v>1625</v>
      </c>
      <c r="G188" s="11" t="s">
        <v>1651</v>
      </c>
      <c r="H188" s="11"/>
      <c r="I188" s="11" t="s">
        <v>1652</v>
      </c>
      <c r="J188" s="11" t="s">
        <v>1653</v>
      </c>
      <c r="K188" s="11" t="s">
        <v>1654</v>
      </c>
      <c r="L188" s="11" t="s">
        <v>1655</v>
      </c>
      <c r="M188" s="11" t="s">
        <v>1656</v>
      </c>
      <c r="N188" s="14" t="n">
        <v>1</v>
      </c>
      <c r="O188" s="14" t="n">
        <v>3</v>
      </c>
      <c r="P188" s="14" t="n">
        <v>4</v>
      </c>
      <c r="Q188" s="14"/>
      <c r="R188" s="12" t="n">
        <f aca="false">IF(OR(N188="",P188=""),"",ROUND(N188*O188/P188,1))</f>
        <v>0.8</v>
      </c>
      <c r="S188" s="13" t="n">
        <f aca="false">IF(R188="","",IF(Q188="Y",1,IF(P188&gt;='Read me'!$B$16,3,IF(AND(R188&gt;='Read me'!$B$14,P188&lt;='Read me'!$B$15),1,2))))</f>
        <v>3</v>
      </c>
    </row>
    <row r="189" customFormat="false" ht="23.85" hidden="false" customHeight="false" outlineLevel="0" collapsed="false">
      <c r="A189" s="11" t="s">
        <v>1657</v>
      </c>
      <c r="B189" s="11" t="s">
        <v>33</v>
      </c>
      <c r="C189" s="11" t="s">
        <v>104</v>
      </c>
      <c r="D189" s="11" t="s">
        <v>105</v>
      </c>
      <c r="E189" s="11" t="s">
        <v>532</v>
      </c>
      <c r="F189" s="11" t="s">
        <v>1625</v>
      </c>
      <c r="G189" s="11" t="s">
        <v>1658</v>
      </c>
      <c r="H189" s="11" t="s">
        <v>1659</v>
      </c>
      <c r="I189" s="11" t="s">
        <v>1660</v>
      </c>
      <c r="J189" s="11" t="s">
        <v>1661</v>
      </c>
      <c r="K189" s="11" t="s">
        <v>675</v>
      </c>
      <c r="L189" s="11" t="s">
        <v>1662</v>
      </c>
      <c r="M189" s="11"/>
      <c r="N189" s="14" t="n">
        <v>2</v>
      </c>
      <c r="O189" s="14" t="n">
        <v>2</v>
      </c>
      <c r="P189" s="14" t="n">
        <v>1</v>
      </c>
      <c r="Q189" s="14"/>
      <c r="R189" s="12" t="n">
        <f aca="false">IF(OR(N189="",P189=""),"",ROUND(N189*O189/P189,1))</f>
        <v>4</v>
      </c>
      <c r="S189" s="13" t="n">
        <f aca="false">IF(R189="","",IF(Q189="Y",1,IF(P189&gt;='Read me'!$B$16,3,IF(AND(R189&gt;='Read me'!$B$14,P189&lt;='Read me'!$B$15),1,2))))</f>
        <v>2</v>
      </c>
    </row>
    <row r="190" customFormat="false" ht="23.85" hidden="false" customHeight="false" outlineLevel="0" collapsed="false">
      <c r="A190" s="11" t="s">
        <v>1663</v>
      </c>
      <c r="B190" s="11" t="s">
        <v>33</v>
      </c>
      <c r="C190" s="11" t="s">
        <v>104</v>
      </c>
      <c r="D190" s="11" t="s">
        <v>105</v>
      </c>
      <c r="E190" s="11" t="s">
        <v>626</v>
      </c>
      <c r="F190" s="11" t="s">
        <v>1664</v>
      </c>
      <c r="G190" s="11" t="s">
        <v>1399</v>
      </c>
      <c r="H190" s="11"/>
      <c r="I190" s="11" t="s">
        <v>1665</v>
      </c>
      <c r="J190" s="11" t="s">
        <v>1666</v>
      </c>
      <c r="K190" s="11" t="s">
        <v>1667</v>
      </c>
      <c r="L190" s="11" t="s">
        <v>1668</v>
      </c>
      <c r="M190" s="11"/>
      <c r="N190" s="14" t="n">
        <v>3</v>
      </c>
      <c r="O190" s="14" t="n">
        <v>3</v>
      </c>
      <c r="P190" s="14" t="n">
        <v>2</v>
      </c>
      <c r="Q190" s="14"/>
      <c r="R190" s="12" t="n">
        <f aca="false">IF(OR(N190="",P190=""),"",ROUND(N190*O190/P190,1))</f>
        <v>4.5</v>
      </c>
      <c r="S190" s="13" t="n">
        <f aca="false">IF(R190="","",IF(Q190="Y",1,IF(P190&gt;='Read me'!$B$16,3,IF(AND(R190&gt;='Read me'!$B$14,P190&lt;='Read me'!$B$15),1,2))))</f>
        <v>2</v>
      </c>
    </row>
    <row r="191" customFormat="false" ht="23.85" hidden="false" customHeight="false" outlineLevel="0" collapsed="false">
      <c r="A191" s="11" t="s">
        <v>1669</v>
      </c>
      <c r="B191" s="11" t="s">
        <v>33</v>
      </c>
      <c r="C191" s="11" t="s">
        <v>104</v>
      </c>
      <c r="D191" s="11" t="s">
        <v>105</v>
      </c>
      <c r="E191" s="11" t="s">
        <v>751</v>
      </c>
      <c r="F191" s="11" t="s">
        <v>1670</v>
      </c>
      <c r="G191" s="11" t="s">
        <v>1671</v>
      </c>
      <c r="H191" s="11"/>
      <c r="I191" s="11" t="s">
        <v>1672</v>
      </c>
      <c r="J191" s="11" t="s">
        <v>1673</v>
      </c>
      <c r="K191" s="11" t="s">
        <v>1674</v>
      </c>
      <c r="L191" s="11" t="s">
        <v>1675</v>
      </c>
      <c r="M191" s="11"/>
      <c r="N191" s="14" t="n">
        <v>3</v>
      </c>
      <c r="O191" s="14" t="n">
        <v>3</v>
      </c>
      <c r="P191" s="14" t="n">
        <v>3</v>
      </c>
      <c r="Q191" s="14"/>
      <c r="R191" s="12" t="n">
        <f aca="false">IF(OR(N191="",P191=""),"",ROUND(N191*O191/P191,1))</f>
        <v>3</v>
      </c>
      <c r="S191" s="13" t="n">
        <f aca="false">IF(R191="","",IF(Q191="Y",1,IF(P191&gt;='Read me'!$B$16,3,IF(AND(R191&gt;='Read me'!$B$14,P191&lt;='Read me'!$B$15),1,2))))</f>
        <v>2</v>
      </c>
    </row>
    <row r="192" customFormat="false" ht="35.05" hidden="false" customHeight="false" outlineLevel="0" collapsed="false">
      <c r="A192" s="11" t="s">
        <v>1676</v>
      </c>
      <c r="B192" s="11" t="s">
        <v>33</v>
      </c>
      <c r="C192" s="11" t="s">
        <v>104</v>
      </c>
      <c r="D192" s="11" t="s">
        <v>105</v>
      </c>
      <c r="E192" s="11" t="s">
        <v>751</v>
      </c>
      <c r="F192" s="11" t="s">
        <v>1677</v>
      </c>
      <c r="G192" s="11" t="s">
        <v>1678</v>
      </c>
      <c r="H192" s="11"/>
      <c r="I192" s="11" t="s">
        <v>1679</v>
      </c>
      <c r="J192" s="11" t="s">
        <v>1680</v>
      </c>
      <c r="K192" s="11" t="s">
        <v>1681</v>
      </c>
      <c r="L192" s="11" t="s">
        <v>1682</v>
      </c>
      <c r="M192" s="11" t="s">
        <v>1577</v>
      </c>
      <c r="N192" s="14" t="n">
        <v>2</v>
      </c>
      <c r="O192" s="14" t="n">
        <v>4</v>
      </c>
      <c r="P192" s="14" t="n">
        <v>3</v>
      </c>
      <c r="Q192" s="14"/>
      <c r="R192" s="12" t="n">
        <f aca="false">IF(OR(N192="",P192=""),"",ROUND(N192*O192/P192,1))</f>
        <v>2.7</v>
      </c>
      <c r="S192" s="13" t="n">
        <f aca="false">IF(R192="","",IF(Q192="Y",1,IF(P192&gt;='Read me'!$B$16,3,IF(AND(R192&gt;='Read me'!$B$14,P192&lt;='Read me'!$B$15),1,2))))</f>
        <v>2</v>
      </c>
    </row>
    <row r="193" customFormat="false" ht="23.85" hidden="false" customHeight="false" outlineLevel="0" collapsed="false">
      <c r="A193" s="11" t="s">
        <v>1683</v>
      </c>
      <c r="B193" s="11" t="s">
        <v>33</v>
      </c>
      <c r="C193" s="11" t="s">
        <v>104</v>
      </c>
      <c r="D193" s="11" t="s">
        <v>105</v>
      </c>
      <c r="E193" s="11" t="s">
        <v>751</v>
      </c>
      <c r="F193" s="11" t="s">
        <v>1258</v>
      </c>
      <c r="G193" s="11" t="s">
        <v>1259</v>
      </c>
      <c r="H193" s="11"/>
      <c r="I193" s="11" t="s">
        <v>1684</v>
      </c>
      <c r="J193" s="11" t="s">
        <v>1579</v>
      </c>
      <c r="K193" s="11" t="s">
        <v>1262</v>
      </c>
      <c r="L193" s="11" t="s">
        <v>1685</v>
      </c>
      <c r="M193" s="11" t="s">
        <v>1577</v>
      </c>
      <c r="N193" s="14" t="n">
        <v>2</v>
      </c>
      <c r="O193" s="14" t="n">
        <v>4</v>
      </c>
      <c r="P193" s="14" t="n">
        <v>3</v>
      </c>
      <c r="Q193" s="14"/>
      <c r="R193" s="12" t="n">
        <f aca="false">IF(OR(N193="",P193=""),"",ROUND(N193*O193/P193,1))</f>
        <v>2.7</v>
      </c>
      <c r="S193" s="13" t="n">
        <f aca="false">IF(R193="","",IF(Q193="Y",1,IF(P193&gt;='Read me'!$B$16,3,IF(AND(R193&gt;='Read me'!$B$14,P193&lt;='Read me'!$B$15),1,2))))</f>
        <v>2</v>
      </c>
    </row>
    <row r="194" customFormat="false" ht="35.05" hidden="false" customHeight="false" outlineLevel="0" collapsed="false">
      <c r="A194" s="11" t="s">
        <v>1686</v>
      </c>
      <c r="B194" s="11" t="s">
        <v>33</v>
      </c>
      <c r="C194" s="11" t="s">
        <v>104</v>
      </c>
      <c r="D194" s="11" t="s">
        <v>105</v>
      </c>
      <c r="E194" s="11" t="s">
        <v>765</v>
      </c>
      <c r="F194" s="11" t="s">
        <v>1687</v>
      </c>
      <c r="G194" s="11" t="s">
        <v>1688</v>
      </c>
      <c r="H194" s="11"/>
      <c r="I194" s="11" t="s">
        <v>512</v>
      </c>
      <c r="J194" s="11" t="s">
        <v>1689</v>
      </c>
      <c r="K194" s="11" t="s">
        <v>1690</v>
      </c>
      <c r="L194" s="11" t="s">
        <v>1691</v>
      </c>
      <c r="M194" s="11"/>
      <c r="N194" s="14" t="n">
        <v>4</v>
      </c>
      <c r="O194" s="14" t="n">
        <v>3</v>
      </c>
      <c r="P194" s="14" t="n">
        <v>2</v>
      </c>
      <c r="Q194" s="14"/>
      <c r="R194" s="12" t="n">
        <f aca="false">IF(OR(N194="",P194=""),"",ROUND(N194*O194/P194,1))</f>
        <v>6</v>
      </c>
      <c r="S194" s="13" t="n">
        <f aca="false">IF(R194="","",IF(Q194="Y",1,IF(P194&gt;='Read me'!$B$16,3,IF(AND(R194&gt;='Read me'!$B$14,P194&lt;='Read me'!$B$15),1,2))))</f>
        <v>1</v>
      </c>
    </row>
    <row r="195" customFormat="false" ht="23.85" hidden="false" customHeight="false" outlineLevel="0" collapsed="false">
      <c r="A195" s="11" t="s">
        <v>1692</v>
      </c>
      <c r="B195" s="11" t="s">
        <v>33</v>
      </c>
      <c r="C195" s="11" t="s">
        <v>104</v>
      </c>
      <c r="D195" s="11" t="s">
        <v>105</v>
      </c>
      <c r="E195" s="11" t="s">
        <v>765</v>
      </c>
      <c r="F195" s="11" t="s">
        <v>1693</v>
      </c>
      <c r="G195" s="11" t="s">
        <v>822</v>
      </c>
      <c r="H195" s="11"/>
      <c r="I195" s="11" t="s">
        <v>1694</v>
      </c>
      <c r="J195" s="11" t="s">
        <v>1695</v>
      </c>
      <c r="K195" s="11" t="s">
        <v>1609</v>
      </c>
      <c r="L195" s="11" t="s">
        <v>1696</v>
      </c>
      <c r="M195" s="11"/>
      <c r="N195" s="14" t="n">
        <v>2</v>
      </c>
      <c r="O195" s="14" t="n">
        <v>3</v>
      </c>
      <c r="P195" s="14" t="n">
        <v>4</v>
      </c>
      <c r="Q195" s="14"/>
      <c r="R195" s="12" t="n">
        <f aca="false">IF(OR(N195="",P195=""),"",ROUND(N195*O195/P195,1))</f>
        <v>1.5</v>
      </c>
      <c r="S195" s="13" t="n">
        <f aca="false">IF(R195="","",IF(Q195="Y",1,IF(P195&gt;='Read me'!$B$16,3,IF(AND(R195&gt;='Read me'!$B$14,P195&lt;='Read me'!$B$15),1,2))))</f>
        <v>3</v>
      </c>
    </row>
    <row r="196" customFormat="false" ht="23.85" hidden="false" customHeight="false" outlineLevel="0" collapsed="false">
      <c r="A196" s="11" t="s">
        <v>1697</v>
      </c>
      <c r="B196" s="11" t="s">
        <v>33</v>
      </c>
      <c r="C196" s="11" t="s">
        <v>104</v>
      </c>
      <c r="D196" s="11" t="s">
        <v>105</v>
      </c>
      <c r="E196" s="11" t="s">
        <v>1187</v>
      </c>
      <c r="F196" s="11" t="s">
        <v>1698</v>
      </c>
      <c r="G196" s="11" t="s">
        <v>1699</v>
      </c>
      <c r="H196" s="11" t="s">
        <v>1700</v>
      </c>
      <c r="I196" s="11" t="s">
        <v>512</v>
      </c>
      <c r="J196" s="11" t="s">
        <v>1701</v>
      </c>
      <c r="K196" s="11" t="s">
        <v>1702</v>
      </c>
      <c r="L196" s="11" t="s">
        <v>1703</v>
      </c>
      <c r="M196" s="11"/>
      <c r="N196" s="14" t="n">
        <v>1</v>
      </c>
      <c r="O196" s="14" t="n">
        <v>4</v>
      </c>
      <c r="P196" s="14" t="n">
        <v>4</v>
      </c>
      <c r="Q196" s="14"/>
      <c r="R196" s="12" t="n">
        <f aca="false">IF(OR(N196="",P196=""),"",ROUND(N196*O196/P196,1))</f>
        <v>1</v>
      </c>
      <c r="S196" s="13" t="n">
        <f aca="false">IF(R196="","",IF(Q196="Y",1,IF(P196&gt;='Read me'!$B$16,3,IF(AND(R196&gt;='Read me'!$B$14,P196&lt;='Read me'!$B$15),1,2))))</f>
        <v>3</v>
      </c>
    </row>
    <row r="197" customFormat="false" ht="35.05" hidden="false" customHeight="false" outlineLevel="0" collapsed="false">
      <c r="A197" s="11" t="s">
        <v>1704</v>
      </c>
      <c r="B197" s="11" t="s">
        <v>33</v>
      </c>
      <c r="C197" s="11" t="s">
        <v>104</v>
      </c>
      <c r="D197" s="11" t="s">
        <v>105</v>
      </c>
      <c r="E197" s="11" t="s">
        <v>1187</v>
      </c>
      <c r="F197" s="11" t="s">
        <v>1705</v>
      </c>
      <c r="G197" s="11" t="s">
        <v>1706</v>
      </c>
      <c r="H197" s="11" t="s">
        <v>1707</v>
      </c>
      <c r="I197" s="11" t="s">
        <v>1708</v>
      </c>
      <c r="J197" s="11" t="s">
        <v>1709</v>
      </c>
      <c r="K197" s="11" t="s">
        <v>1710</v>
      </c>
      <c r="L197" s="11" t="s">
        <v>1711</v>
      </c>
      <c r="M197" s="11"/>
      <c r="N197" s="14" t="n">
        <v>1</v>
      </c>
      <c r="O197" s="14" t="n">
        <v>4</v>
      </c>
      <c r="P197" s="14" t="n">
        <v>5</v>
      </c>
      <c r="Q197" s="14"/>
      <c r="R197" s="12" t="n">
        <f aca="false">IF(OR(N197="",P197=""),"",ROUND(N197*O197/P197,1))</f>
        <v>0.8</v>
      </c>
      <c r="S197" s="13" t="n">
        <f aca="false">IF(R197="","",IF(Q197="Y",1,IF(P197&gt;='Read me'!$B$16,3,IF(AND(R197&gt;='Read me'!$B$14,P197&lt;='Read me'!$B$15),1,2))))</f>
        <v>3</v>
      </c>
    </row>
    <row r="198" customFormat="false" ht="35.05" hidden="false" customHeight="false" outlineLevel="0" collapsed="false">
      <c r="A198" s="11" t="s">
        <v>1712</v>
      </c>
      <c r="B198" s="11" t="s">
        <v>33</v>
      </c>
      <c r="C198" s="11" t="s">
        <v>104</v>
      </c>
      <c r="D198" s="11" t="s">
        <v>105</v>
      </c>
      <c r="E198" s="11" t="s">
        <v>1187</v>
      </c>
      <c r="F198" s="11" t="s">
        <v>1713</v>
      </c>
      <c r="G198" s="11" t="s">
        <v>1714</v>
      </c>
      <c r="H198" s="11" t="s">
        <v>1715</v>
      </c>
      <c r="I198" s="11" t="s">
        <v>1716</v>
      </c>
      <c r="J198" s="11" t="s">
        <v>1717</v>
      </c>
      <c r="K198" s="11" t="s">
        <v>675</v>
      </c>
      <c r="L198" s="11" t="s">
        <v>1718</v>
      </c>
      <c r="M198" s="11"/>
      <c r="N198" s="14" t="n">
        <v>1</v>
      </c>
      <c r="O198" s="14" t="n">
        <v>4</v>
      </c>
      <c r="P198" s="14" t="n">
        <v>4</v>
      </c>
      <c r="Q198" s="14"/>
      <c r="R198" s="12" t="n">
        <f aca="false">IF(OR(N198="",P198=""),"",ROUND(N198*O198/P198,1))</f>
        <v>1</v>
      </c>
      <c r="S198" s="13" t="n">
        <f aca="false">IF(R198="","",IF(Q198="Y",1,IF(P198&gt;='Read me'!$B$16,3,IF(AND(R198&gt;='Read me'!$B$14,P198&lt;='Read me'!$B$15),1,2))))</f>
        <v>3</v>
      </c>
    </row>
    <row r="199" customFormat="false" ht="23.85" hidden="false" customHeight="false" outlineLevel="0" collapsed="false">
      <c r="A199" s="11" t="s">
        <v>1719</v>
      </c>
      <c r="B199" s="11" t="s">
        <v>33</v>
      </c>
      <c r="C199" s="11" t="s">
        <v>104</v>
      </c>
      <c r="D199" s="11" t="s">
        <v>105</v>
      </c>
      <c r="E199" s="11" t="s">
        <v>1133</v>
      </c>
      <c r="F199" s="11" t="s">
        <v>1720</v>
      </c>
      <c r="G199" s="11" t="s">
        <v>1721</v>
      </c>
      <c r="H199" s="11" t="s">
        <v>1722</v>
      </c>
      <c r="I199" s="11" t="s">
        <v>1723</v>
      </c>
      <c r="J199" s="11" t="s">
        <v>1724</v>
      </c>
      <c r="K199" s="11" t="s">
        <v>1725</v>
      </c>
      <c r="L199" s="11" t="s">
        <v>1726</v>
      </c>
      <c r="M199" s="11"/>
      <c r="N199" s="14" t="n">
        <v>1</v>
      </c>
      <c r="O199" s="14" t="n">
        <v>3</v>
      </c>
      <c r="P199" s="14" t="n">
        <v>4</v>
      </c>
      <c r="Q199" s="14"/>
      <c r="R199" s="12" t="n">
        <f aca="false">IF(OR(N199="",P199=""),"",ROUND(N199*O199/P199,1))</f>
        <v>0.8</v>
      </c>
      <c r="S199" s="13" t="n">
        <f aca="false">IF(R199="","",IF(Q199="Y",1,IF(P199&gt;='Read me'!$B$16,3,IF(AND(R199&gt;='Read me'!$B$14,P199&lt;='Read me'!$B$15),1,2))))</f>
        <v>3</v>
      </c>
    </row>
    <row r="200" customFormat="false" ht="23.85" hidden="false" customHeight="false" outlineLevel="0" collapsed="false">
      <c r="A200" s="11" t="s">
        <v>1727</v>
      </c>
      <c r="B200" s="11" t="s">
        <v>33</v>
      </c>
      <c r="C200" s="11" t="s">
        <v>104</v>
      </c>
      <c r="D200" s="11" t="s">
        <v>105</v>
      </c>
      <c r="E200" s="11" t="s">
        <v>1133</v>
      </c>
      <c r="F200" s="11" t="s">
        <v>1728</v>
      </c>
      <c r="G200" s="11" t="s">
        <v>1721</v>
      </c>
      <c r="H200" s="11" t="s">
        <v>1729</v>
      </c>
      <c r="I200" s="11" t="s">
        <v>1730</v>
      </c>
      <c r="J200" s="11" t="s">
        <v>1731</v>
      </c>
      <c r="K200" s="11" t="s">
        <v>675</v>
      </c>
      <c r="L200" s="11" t="s">
        <v>1732</v>
      </c>
      <c r="M200" s="11"/>
      <c r="N200" s="14" t="n">
        <v>1</v>
      </c>
      <c r="O200" s="14" t="n">
        <v>3</v>
      </c>
      <c r="P200" s="14" t="n">
        <v>4</v>
      </c>
      <c r="Q200" s="14"/>
      <c r="R200" s="12" t="n">
        <f aca="false">IF(OR(N200="",P200=""),"",ROUND(N200*O200/P200,1))</f>
        <v>0.8</v>
      </c>
      <c r="S200" s="13" t="n">
        <f aca="false">IF(R200="","",IF(Q200="Y",1,IF(P200&gt;='Read me'!$B$16,3,IF(AND(R200&gt;='Read me'!$B$14,P200&lt;='Read me'!$B$15),1,2))))</f>
        <v>3</v>
      </c>
    </row>
    <row r="201" customFormat="false" ht="23.85" hidden="false" customHeight="false" outlineLevel="0" collapsed="false">
      <c r="A201" s="11" t="s">
        <v>1733</v>
      </c>
      <c r="B201" s="11" t="s">
        <v>33</v>
      </c>
      <c r="C201" s="11" t="s">
        <v>108</v>
      </c>
      <c r="D201" s="11" t="s">
        <v>109</v>
      </c>
      <c r="E201" s="11" t="s">
        <v>476</v>
      </c>
      <c r="F201" s="11" t="s">
        <v>1734</v>
      </c>
      <c r="G201" s="11" t="s">
        <v>597</v>
      </c>
      <c r="H201" s="11"/>
      <c r="I201" s="11" t="s">
        <v>1735</v>
      </c>
      <c r="J201" s="11" t="s">
        <v>1736</v>
      </c>
      <c r="K201" s="11" t="s">
        <v>1737</v>
      </c>
      <c r="L201" s="11" t="s">
        <v>1738</v>
      </c>
      <c r="M201" s="11"/>
      <c r="N201" s="14" t="n">
        <v>3</v>
      </c>
      <c r="O201" s="14" t="n">
        <v>5</v>
      </c>
      <c r="P201" s="14" t="n">
        <v>2</v>
      </c>
      <c r="Q201" s="14"/>
      <c r="R201" s="12" t="n">
        <f aca="false">IF(OR(N201="",P201=""),"",ROUND(N201*O201/P201,1))</f>
        <v>7.5</v>
      </c>
      <c r="S201" s="13" t="n">
        <f aca="false">IF(R201="","",IF(Q201="Y",1,IF(P201&gt;='Read me'!$B$16,3,IF(AND(R201&gt;='Read me'!$B$14,P201&lt;='Read me'!$B$15),1,2))))</f>
        <v>1</v>
      </c>
    </row>
    <row r="202" customFormat="false" ht="23.85" hidden="false" customHeight="false" outlineLevel="0" collapsed="false">
      <c r="A202" s="11" t="s">
        <v>1739</v>
      </c>
      <c r="B202" s="11" t="s">
        <v>33</v>
      </c>
      <c r="C202" s="11" t="s">
        <v>108</v>
      </c>
      <c r="D202" s="11" t="s">
        <v>109</v>
      </c>
      <c r="E202" s="11" t="s">
        <v>476</v>
      </c>
      <c r="F202" s="11" t="s">
        <v>1740</v>
      </c>
      <c r="G202" s="11" t="s">
        <v>1741</v>
      </c>
      <c r="H202" s="11"/>
      <c r="I202" s="11" t="s">
        <v>1742</v>
      </c>
      <c r="J202" s="11" t="s">
        <v>1743</v>
      </c>
      <c r="K202" s="11" t="s">
        <v>1744</v>
      </c>
      <c r="L202" s="11" t="s">
        <v>1745</v>
      </c>
      <c r="M202" s="11"/>
      <c r="N202" s="14" t="n">
        <v>2</v>
      </c>
      <c r="O202" s="14" t="n">
        <v>4</v>
      </c>
      <c r="P202" s="14" t="n">
        <v>1</v>
      </c>
      <c r="Q202" s="14"/>
      <c r="R202" s="12" t="n">
        <f aca="false">IF(OR(N202="",P202=""),"",ROUND(N202*O202/P202,1))</f>
        <v>8</v>
      </c>
      <c r="S202" s="13" t="n">
        <f aca="false">IF(R202="","",IF(Q202="Y",1,IF(P202&gt;='Read me'!$B$16,3,IF(AND(R202&gt;='Read me'!$B$14,P202&lt;='Read me'!$B$15),1,2))))</f>
        <v>1</v>
      </c>
    </row>
    <row r="203" customFormat="false" ht="57.45" hidden="false" customHeight="false" outlineLevel="0" collapsed="false">
      <c r="A203" s="11" t="s">
        <v>1746</v>
      </c>
      <c r="B203" s="11" t="s">
        <v>33</v>
      </c>
      <c r="C203" s="11" t="s">
        <v>108</v>
      </c>
      <c r="D203" s="11" t="s">
        <v>109</v>
      </c>
      <c r="E203" s="11" t="s">
        <v>532</v>
      </c>
      <c r="F203" s="11" t="s">
        <v>1747</v>
      </c>
      <c r="G203" s="11" t="s">
        <v>484</v>
      </c>
      <c r="H203" s="11"/>
      <c r="I203" s="11" t="s">
        <v>1748</v>
      </c>
      <c r="J203" s="11" t="s">
        <v>1749</v>
      </c>
      <c r="K203" s="11" t="s">
        <v>1750</v>
      </c>
      <c r="L203" s="11" t="s">
        <v>1751</v>
      </c>
      <c r="M203" s="11" t="s">
        <v>1752</v>
      </c>
      <c r="N203" s="14" t="n">
        <v>3</v>
      </c>
      <c r="O203" s="14" t="n">
        <v>5</v>
      </c>
      <c r="P203" s="14" t="n">
        <v>3</v>
      </c>
      <c r="Q203" s="14"/>
      <c r="R203" s="12" t="n">
        <f aca="false">IF(OR(N203="",P203=""),"",ROUND(N203*O203/P203,1))</f>
        <v>5</v>
      </c>
      <c r="S203" s="13" t="n">
        <f aca="false">IF(R203="","",IF(Q203="Y",1,IF(P203&gt;='Read me'!$B$16,3,IF(AND(R203&gt;='Read me'!$B$14,P203&lt;='Read me'!$B$15),1,2))))</f>
        <v>2</v>
      </c>
    </row>
    <row r="204" customFormat="false" ht="23.85" hidden="false" customHeight="false" outlineLevel="0" collapsed="false">
      <c r="A204" s="11" t="s">
        <v>1753</v>
      </c>
      <c r="B204" s="11" t="s">
        <v>33</v>
      </c>
      <c r="C204" s="11" t="s">
        <v>108</v>
      </c>
      <c r="D204" s="11" t="s">
        <v>109</v>
      </c>
      <c r="E204" s="11" t="s">
        <v>532</v>
      </c>
      <c r="F204" s="11" t="s">
        <v>1747</v>
      </c>
      <c r="G204" s="11" t="s">
        <v>497</v>
      </c>
      <c r="H204" s="11"/>
      <c r="I204" s="11" t="s">
        <v>1754</v>
      </c>
      <c r="J204" s="11" t="s">
        <v>1755</v>
      </c>
      <c r="K204" s="11" t="s">
        <v>1756</v>
      </c>
      <c r="L204" s="11" t="s">
        <v>1757</v>
      </c>
      <c r="M204" s="11" t="s">
        <v>1758</v>
      </c>
      <c r="N204" s="14" t="n">
        <v>3</v>
      </c>
      <c r="O204" s="14" t="n">
        <v>4</v>
      </c>
      <c r="P204" s="14" t="n">
        <v>2</v>
      </c>
      <c r="Q204" s="14"/>
      <c r="R204" s="12" t="n">
        <f aca="false">IF(OR(N204="",P204=""),"",ROUND(N204*O204/P204,1))</f>
        <v>6</v>
      </c>
      <c r="S204" s="13" t="n">
        <f aca="false">IF(R204="","",IF(Q204="Y",1,IF(P204&gt;='Read me'!$B$16,3,IF(AND(R204&gt;='Read me'!$B$14,P204&lt;='Read me'!$B$15),1,2))))</f>
        <v>1</v>
      </c>
    </row>
    <row r="205" customFormat="false" ht="23.85" hidden="false" customHeight="false" outlineLevel="0" collapsed="false">
      <c r="A205" s="11" t="s">
        <v>1759</v>
      </c>
      <c r="B205" s="11" t="s">
        <v>33</v>
      </c>
      <c r="C205" s="11" t="s">
        <v>108</v>
      </c>
      <c r="D205" s="11" t="s">
        <v>109</v>
      </c>
      <c r="E205" s="11" t="s">
        <v>532</v>
      </c>
      <c r="F205" s="11" t="s">
        <v>1760</v>
      </c>
      <c r="G205" s="11" t="s">
        <v>1479</v>
      </c>
      <c r="H205" s="11"/>
      <c r="I205" s="11" t="s">
        <v>1761</v>
      </c>
      <c r="J205" s="11" t="s">
        <v>1762</v>
      </c>
      <c r="K205" s="11" t="s">
        <v>1763</v>
      </c>
      <c r="L205" s="11" t="s">
        <v>1764</v>
      </c>
      <c r="M205" s="11"/>
      <c r="N205" s="14" t="n">
        <v>2</v>
      </c>
      <c r="O205" s="14" t="n">
        <v>5</v>
      </c>
      <c r="P205" s="14" t="n">
        <v>2</v>
      </c>
      <c r="Q205" s="14"/>
      <c r="R205" s="12" t="n">
        <f aca="false">IF(OR(N205="",P205=""),"",ROUND(N205*O205/P205,1))</f>
        <v>5</v>
      </c>
      <c r="S205" s="13" t="n">
        <f aca="false">IF(R205="","",IF(Q205="Y",1,IF(P205&gt;='Read me'!$B$16,3,IF(AND(R205&gt;='Read me'!$B$14,P205&lt;='Read me'!$B$15),1,2))))</f>
        <v>2</v>
      </c>
    </row>
    <row r="206" customFormat="false" ht="23.85" hidden="false" customHeight="false" outlineLevel="0" collapsed="false">
      <c r="A206" s="11" t="s">
        <v>1765</v>
      </c>
      <c r="B206" s="11" t="s">
        <v>33</v>
      </c>
      <c r="C206" s="11" t="s">
        <v>108</v>
      </c>
      <c r="D206" s="11" t="s">
        <v>109</v>
      </c>
      <c r="E206" s="11" t="s">
        <v>532</v>
      </c>
      <c r="F206" s="11" t="s">
        <v>1766</v>
      </c>
      <c r="G206" s="11" t="s">
        <v>1767</v>
      </c>
      <c r="H206" s="11"/>
      <c r="I206" s="11" t="s">
        <v>1768</v>
      </c>
      <c r="J206" s="11" t="s">
        <v>1769</v>
      </c>
      <c r="K206" s="11" t="s">
        <v>916</v>
      </c>
      <c r="L206" s="11" t="s">
        <v>1770</v>
      </c>
      <c r="M206" s="11" t="s">
        <v>1771</v>
      </c>
      <c r="N206" s="14" t="n">
        <v>1</v>
      </c>
      <c r="O206" s="14" t="n">
        <v>4</v>
      </c>
      <c r="P206" s="14" t="n">
        <v>4</v>
      </c>
      <c r="Q206" s="14"/>
      <c r="R206" s="12" t="n">
        <f aca="false">IF(OR(N206="",P206=""),"",ROUND(N206*O206/P206,1))</f>
        <v>1</v>
      </c>
      <c r="S206" s="13" t="n">
        <f aca="false">IF(R206="","",IF(Q206="Y",1,IF(P206&gt;='Read me'!$B$16,3,IF(AND(R206&gt;='Read me'!$B$14,P206&lt;='Read me'!$B$15),1,2))))</f>
        <v>3</v>
      </c>
    </row>
    <row r="207" customFormat="false" ht="23.85" hidden="false" customHeight="false" outlineLevel="0" collapsed="false">
      <c r="A207" s="11" t="s">
        <v>1772</v>
      </c>
      <c r="B207" s="11" t="s">
        <v>33</v>
      </c>
      <c r="C207" s="11" t="s">
        <v>108</v>
      </c>
      <c r="D207" s="11" t="s">
        <v>109</v>
      </c>
      <c r="E207" s="11" t="s">
        <v>626</v>
      </c>
      <c r="F207" s="11" t="s">
        <v>1773</v>
      </c>
      <c r="G207" s="11" t="s">
        <v>1774</v>
      </c>
      <c r="H207" s="11"/>
      <c r="I207" s="11" t="s">
        <v>1775</v>
      </c>
      <c r="J207" s="11" t="s">
        <v>1776</v>
      </c>
      <c r="K207" s="11" t="s">
        <v>1777</v>
      </c>
      <c r="L207" s="11" t="s">
        <v>1778</v>
      </c>
      <c r="M207" s="11"/>
      <c r="N207" s="14" t="n">
        <v>4</v>
      </c>
      <c r="O207" s="14" t="n">
        <v>4</v>
      </c>
      <c r="P207" s="14" t="n">
        <v>2</v>
      </c>
      <c r="Q207" s="14"/>
      <c r="R207" s="12" t="n">
        <f aca="false">IF(OR(N207="",P207=""),"",ROUND(N207*O207/P207,1))</f>
        <v>8</v>
      </c>
      <c r="S207" s="13" t="n">
        <f aca="false">IF(R207="","",IF(Q207="Y",1,IF(P207&gt;='Read me'!$B$16,3,IF(AND(R207&gt;='Read me'!$B$14,P207&lt;='Read me'!$B$15),1,2))))</f>
        <v>1</v>
      </c>
    </row>
    <row r="208" customFormat="false" ht="23.85" hidden="false" customHeight="false" outlineLevel="0" collapsed="false">
      <c r="A208" s="11" t="s">
        <v>1779</v>
      </c>
      <c r="B208" s="11" t="s">
        <v>33</v>
      </c>
      <c r="C208" s="11" t="s">
        <v>108</v>
      </c>
      <c r="D208" s="11" t="s">
        <v>109</v>
      </c>
      <c r="E208" s="11" t="s">
        <v>751</v>
      </c>
      <c r="F208" s="11" t="s">
        <v>1780</v>
      </c>
      <c r="G208" s="11" t="s">
        <v>1781</v>
      </c>
      <c r="H208" s="11"/>
      <c r="I208" s="11" t="s">
        <v>1258</v>
      </c>
      <c r="J208" s="11" t="s">
        <v>1782</v>
      </c>
      <c r="K208" s="11" t="s">
        <v>1783</v>
      </c>
      <c r="L208" s="11" t="s">
        <v>1784</v>
      </c>
      <c r="M208" s="11" t="s">
        <v>1577</v>
      </c>
      <c r="N208" s="14" t="n">
        <v>3</v>
      </c>
      <c r="O208" s="14" t="n">
        <v>5</v>
      </c>
      <c r="P208" s="14" t="n">
        <v>4</v>
      </c>
      <c r="Q208" s="14"/>
      <c r="R208" s="12" t="n">
        <f aca="false">IF(OR(N208="",P208=""),"",ROUND(N208*O208/P208,1))</f>
        <v>3.8</v>
      </c>
      <c r="S208" s="13" t="n">
        <f aca="false">IF(R208="","",IF(Q208="Y",1,IF(P208&gt;='Read me'!$B$16,3,IF(AND(R208&gt;='Read me'!$B$14,P208&lt;='Read me'!$B$15),1,2))))</f>
        <v>3</v>
      </c>
    </row>
    <row r="209" customFormat="false" ht="23.85" hidden="false" customHeight="false" outlineLevel="0" collapsed="false">
      <c r="A209" s="11" t="s">
        <v>1785</v>
      </c>
      <c r="B209" s="11" t="s">
        <v>33</v>
      </c>
      <c r="C209" s="11" t="s">
        <v>108</v>
      </c>
      <c r="D209" s="11" t="s">
        <v>109</v>
      </c>
      <c r="E209" s="11" t="s">
        <v>751</v>
      </c>
      <c r="F209" s="11" t="s">
        <v>1311</v>
      </c>
      <c r="G209" s="11" t="s">
        <v>1312</v>
      </c>
      <c r="H209" s="11"/>
      <c r="I209" s="11" t="s">
        <v>1786</v>
      </c>
      <c r="J209" s="11" t="s">
        <v>1314</v>
      </c>
      <c r="K209" s="11" t="s">
        <v>916</v>
      </c>
      <c r="L209" s="11" t="s">
        <v>1315</v>
      </c>
      <c r="M209" s="11" t="s">
        <v>1591</v>
      </c>
      <c r="N209" s="14" t="n">
        <v>2</v>
      </c>
      <c r="O209" s="14" t="n">
        <v>4</v>
      </c>
      <c r="P209" s="14" t="n">
        <v>4</v>
      </c>
      <c r="Q209" s="14"/>
      <c r="R209" s="12" t="n">
        <f aca="false">IF(OR(N209="",P209=""),"",ROUND(N209*O209/P209,1))</f>
        <v>2</v>
      </c>
      <c r="S209" s="13" t="n">
        <f aca="false">IF(R209="","",IF(Q209="Y",1,IF(P209&gt;='Read me'!$B$16,3,IF(AND(R209&gt;='Read me'!$B$14,P209&lt;='Read me'!$B$15),1,2))))</f>
        <v>3</v>
      </c>
    </row>
    <row r="210" customFormat="false" ht="35.05" hidden="false" customHeight="false" outlineLevel="0" collapsed="false">
      <c r="A210" s="11" t="s">
        <v>1787</v>
      </c>
      <c r="B210" s="11" t="s">
        <v>33</v>
      </c>
      <c r="C210" s="11" t="s">
        <v>108</v>
      </c>
      <c r="D210" s="11" t="s">
        <v>109</v>
      </c>
      <c r="E210" s="11" t="s">
        <v>751</v>
      </c>
      <c r="F210" s="11" t="s">
        <v>1788</v>
      </c>
      <c r="G210" s="11" t="s">
        <v>1789</v>
      </c>
      <c r="H210" s="11" t="s">
        <v>1790</v>
      </c>
      <c r="I210" s="11" t="s">
        <v>1327</v>
      </c>
      <c r="J210" s="11" t="s">
        <v>1791</v>
      </c>
      <c r="K210" s="11" t="s">
        <v>1792</v>
      </c>
      <c r="L210" s="11" t="s">
        <v>1793</v>
      </c>
      <c r="M210" s="11"/>
      <c r="N210" s="14" t="n">
        <v>1</v>
      </c>
      <c r="O210" s="14" t="n">
        <v>4</v>
      </c>
      <c r="P210" s="14" t="n">
        <v>5</v>
      </c>
      <c r="Q210" s="14"/>
      <c r="R210" s="12" t="n">
        <f aca="false">IF(OR(N210="",P210=""),"",ROUND(N210*O210/P210,1))</f>
        <v>0.8</v>
      </c>
      <c r="S210" s="13" t="n">
        <f aca="false">IF(R210="","",IF(Q210="Y",1,IF(P210&gt;='Read me'!$B$16,3,IF(AND(R210&gt;='Read me'!$B$14,P210&lt;='Read me'!$B$15),1,2))))</f>
        <v>3</v>
      </c>
    </row>
    <row r="211" customFormat="false" ht="23.85" hidden="false" customHeight="false" outlineLevel="0" collapsed="false">
      <c r="A211" s="11" t="s">
        <v>1794</v>
      </c>
      <c r="B211" s="11" t="s">
        <v>33</v>
      </c>
      <c r="C211" s="11" t="s">
        <v>108</v>
      </c>
      <c r="D211" s="11" t="s">
        <v>109</v>
      </c>
      <c r="E211" s="11" t="s">
        <v>802</v>
      </c>
      <c r="F211" s="11" t="s">
        <v>1795</v>
      </c>
      <c r="G211" s="11" t="s">
        <v>1796</v>
      </c>
      <c r="H211" s="11"/>
      <c r="I211" s="11" t="s">
        <v>1797</v>
      </c>
      <c r="J211" s="11" t="s">
        <v>1798</v>
      </c>
      <c r="K211" s="11" t="s">
        <v>1799</v>
      </c>
      <c r="L211" s="11" t="s">
        <v>1800</v>
      </c>
      <c r="M211" s="11"/>
      <c r="N211" s="14" t="n">
        <v>2</v>
      </c>
      <c r="O211" s="14" t="n">
        <v>4</v>
      </c>
      <c r="P211" s="14" t="n">
        <v>1</v>
      </c>
      <c r="Q211" s="14"/>
      <c r="R211" s="12" t="n">
        <f aca="false">IF(OR(N211="",P211=""),"",ROUND(N211*O211/P211,1))</f>
        <v>8</v>
      </c>
      <c r="S211" s="13" t="n">
        <f aca="false">IF(R211="","",IF(Q211="Y",1,IF(P211&gt;='Read me'!$B$16,3,IF(AND(R211&gt;='Read me'!$B$14,P211&lt;='Read me'!$B$15),1,2))))</f>
        <v>1</v>
      </c>
    </row>
    <row r="212" customFormat="false" ht="23.85" hidden="false" customHeight="false" outlineLevel="0" collapsed="false">
      <c r="A212" s="11" t="s">
        <v>1801</v>
      </c>
      <c r="B212" s="11" t="s">
        <v>33</v>
      </c>
      <c r="C212" s="11" t="s">
        <v>108</v>
      </c>
      <c r="D212" s="11" t="s">
        <v>109</v>
      </c>
      <c r="E212" s="11" t="s">
        <v>802</v>
      </c>
      <c r="F212" s="11" t="s">
        <v>1802</v>
      </c>
      <c r="G212" s="11" t="s">
        <v>1803</v>
      </c>
      <c r="H212" s="11"/>
      <c r="I212" s="11" t="s">
        <v>1804</v>
      </c>
      <c r="J212" s="11" t="s">
        <v>1805</v>
      </c>
      <c r="K212" s="11" t="s">
        <v>1806</v>
      </c>
      <c r="L212" s="11" t="s">
        <v>1807</v>
      </c>
      <c r="M212" s="11"/>
      <c r="N212" s="14" t="n">
        <v>3</v>
      </c>
      <c r="O212" s="14" t="n">
        <v>3</v>
      </c>
      <c r="P212" s="14" t="n">
        <v>2</v>
      </c>
      <c r="Q212" s="14"/>
      <c r="R212" s="12" t="n">
        <f aca="false">IF(OR(N212="",P212=""),"",ROUND(N212*O212/P212,1))</f>
        <v>4.5</v>
      </c>
      <c r="S212" s="13" t="n">
        <f aca="false">IF(R212="","",IF(Q212="Y",1,IF(P212&gt;='Read me'!$B$16,3,IF(AND(R212&gt;='Read me'!$B$14,P212&lt;='Read me'!$B$15),1,2))))</f>
        <v>2</v>
      </c>
    </row>
    <row r="213" customFormat="false" ht="23.85" hidden="false" customHeight="false" outlineLevel="0" collapsed="false">
      <c r="A213" s="11" t="s">
        <v>1808</v>
      </c>
      <c r="B213" s="11" t="s">
        <v>33</v>
      </c>
      <c r="C213" s="11" t="s">
        <v>108</v>
      </c>
      <c r="D213" s="11" t="s">
        <v>109</v>
      </c>
      <c r="E213" s="11" t="s">
        <v>765</v>
      </c>
      <c r="F213" s="11" t="s">
        <v>1809</v>
      </c>
      <c r="G213" s="11" t="s">
        <v>822</v>
      </c>
      <c r="H213" s="11"/>
      <c r="I213" s="11" t="s">
        <v>1810</v>
      </c>
      <c r="J213" s="11" t="s">
        <v>1811</v>
      </c>
      <c r="K213" s="11" t="s">
        <v>1812</v>
      </c>
      <c r="L213" s="11" t="s">
        <v>1813</v>
      </c>
      <c r="M213" s="11"/>
      <c r="N213" s="14" t="n">
        <v>2</v>
      </c>
      <c r="O213" s="14" t="n">
        <v>4</v>
      </c>
      <c r="P213" s="14" t="n">
        <v>4</v>
      </c>
      <c r="Q213" s="14"/>
      <c r="R213" s="12" t="n">
        <f aca="false">IF(OR(N213="",P213=""),"",ROUND(N213*O213/P213,1))</f>
        <v>2</v>
      </c>
      <c r="S213" s="13" t="n">
        <f aca="false">IF(R213="","",IF(Q213="Y",1,IF(P213&gt;='Read me'!$B$16,3,IF(AND(R213&gt;='Read me'!$B$14,P213&lt;='Read me'!$B$15),1,2))))</f>
        <v>3</v>
      </c>
    </row>
    <row r="214" customFormat="false" ht="23.85" hidden="false" customHeight="false" outlineLevel="0" collapsed="false">
      <c r="A214" s="11" t="s">
        <v>1814</v>
      </c>
      <c r="B214" s="11" t="s">
        <v>33</v>
      </c>
      <c r="C214" s="11" t="s">
        <v>108</v>
      </c>
      <c r="D214" s="11" t="s">
        <v>109</v>
      </c>
      <c r="E214" s="11" t="s">
        <v>1187</v>
      </c>
      <c r="F214" s="11" t="s">
        <v>1815</v>
      </c>
      <c r="G214" s="11" t="s">
        <v>946</v>
      </c>
      <c r="H214" s="11" t="s">
        <v>1816</v>
      </c>
      <c r="I214" s="11" t="s">
        <v>512</v>
      </c>
      <c r="J214" s="11" t="s">
        <v>1817</v>
      </c>
      <c r="K214" s="11" t="s">
        <v>1818</v>
      </c>
      <c r="L214" s="11" t="s">
        <v>1819</v>
      </c>
      <c r="M214" s="11" t="s">
        <v>1820</v>
      </c>
      <c r="N214" s="14" t="n">
        <v>1</v>
      </c>
      <c r="O214" s="14" t="n">
        <v>4</v>
      </c>
      <c r="P214" s="14" t="n">
        <v>4</v>
      </c>
      <c r="Q214" s="14"/>
      <c r="R214" s="12" t="n">
        <f aca="false">IF(OR(N214="",P214=""),"",ROUND(N214*O214/P214,1))</f>
        <v>1</v>
      </c>
      <c r="S214" s="13" t="n">
        <f aca="false">IF(R214="","",IF(Q214="Y",1,IF(P214&gt;='Read me'!$B$16,3,IF(AND(R214&gt;='Read me'!$B$14,P214&lt;='Read me'!$B$15),1,2))))</f>
        <v>3</v>
      </c>
    </row>
    <row r="215" customFormat="false" ht="23.85" hidden="false" customHeight="false" outlineLevel="0" collapsed="false">
      <c r="A215" s="11" t="s">
        <v>1821</v>
      </c>
      <c r="B215" s="11" t="s">
        <v>33</v>
      </c>
      <c r="C215" s="11" t="s">
        <v>108</v>
      </c>
      <c r="D215" s="11" t="s">
        <v>109</v>
      </c>
      <c r="E215" s="11" t="s">
        <v>1187</v>
      </c>
      <c r="F215" s="11" t="s">
        <v>1822</v>
      </c>
      <c r="G215" s="11" t="s">
        <v>946</v>
      </c>
      <c r="H215" s="11" t="s">
        <v>1198</v>
      </c>
      <c r="I215" s="11" t="s">
        <v>512</v>
      </c>
      <c r="J215" s="11" t="s">
        <v>1823</v>
      </c>
      <c r="K215" s="11" t="s">
        <v>1824</v>
      </c>
      <c r="L215" s="11" t="s">
        <v>1825</v>
      </c>
      <c r="M215" s="11"/>
      <c r="N215" s="14" t="n">
        <v>1</v>
      </c>
      <c r="O215" s="14" t="n">
        <v>4</v>
      </c>
      <c r="P215" s="14" t="n">
        <v>4</v>
      </c>
      <c r="Q215" s="14"/>
      <c r="R215" s="12" t="n">
        <f aca="false">IF(OR(N215="",P215=""),"",ROUND(N215*O215/P215,1))</f>
        <v>1</v>
      </c>
      <c r="S215" s="13" t="n">
        <f aca="false">IF(R215="","",IF(Q215="Y",1,IF(P215&gt;='Read me'!$B$16,3,IF(AND(R215&gt;='Read me'!$B$14,P215&lt;='Read me'!$B$15),1,2))))</f>
        <v>3</v>
      </c>
    </row>
    <row r="216" customFormat="false" ht="23.85" hidden="false" customHeight="false" outlineLevel="0" collapsed="false">
      <c r="A216" s="11" t="s">
        <v>1826</v>
      </c>
      <c r="B216" s="11" t="s">
        <v>33</v>
      </c>
      <c r="C216" s="11" t="s">
        <v>112</v>
      </c>
      <c r="D216" s="11" t="s">
        <v>84</v>
      </c>
      <c r="E216" s="11" t="s">
        <v>751</v>
      </c>
      <c r="F216" s="11" t="s">
        <v>1827</v>
      </c>
      <c r="G216" s="11" t="s">
        <v>1828</v>
      </c>
      <c r="H216" s="11" t="s">
        <v>1564</v>
      </c>
      <c r="I216" s="11" t="s">
        <v>1829</v>
      </c>
      <c r="J216" s="11" t="s">
        <v>1830</v>
      </c>
      <c r="K216" s="11" t="s">
        <v>1831</v>
      </c>
      <c r="L216" s="11" t="s">
        <v>1832</v>
      </c>
      <c r="M216" s="11" t="s">
        <v>1577</v>
      </c>
      <c r="N216" s="14" t="n">
        <v>3</v>
      </c>
      <c r="O216" s="14" t="n">
        <v>3</v>
      </c>
      <c r="P216" s="14" t="n">
        <v>3</v>
      </c>
      <c r="Q216" s="14"/>
      <c r="R216" s="12" t="n">
        <f aca="false">IF(OR(N216="",P216=""),"",ROUND(N216*O216/P216,1))</f>
        <v>3</v>
      </c>
      <c r="S216" s="13" t="n">
        <f aca="false">IF(R216="","",IF(Q216="Y",1,IF(P216&gt;='Read me'!$B$16,3,IF(AND(R216&gt;='Read me'!$B$14,P216&lt;='Read me'!$B$15),1,2))))</f>
        <v>2</v>
      </c>
    </row>
    <row r="217" customFormat="false" ht="23.85" hidden="false" customHeight="false" outlineLevel="0" collapsed="false">
      <c r="A217" s="11" t="s">
        <v>1833</v>
      </c>
      <c r="B217" s="11" t="s">
        <v>33</v>
      </c>
      <c r="C217" s="11" t="s">
        <v>112</v>
      </c>
      <c r="D217" s="11" t="s">
        <v>84</v>
      </c>
      <c r="E217" s="11" t="s">
        <v>765</v>
      </c>
      <c r="F217" s="11" t="s">
        <v>1834</v>
      </c>
      <c r="G217" s="11" t="s">
        <v>1699</v>
      </c>
      <c r="H217" s="11"/>
      <c r="I217" s="11" t="s">
        <v>1835</v>
      </c>
      <c r="J217" s="11" t="s">
        <v>1836</v>
      </c>
      <c r="K217" s="11" t="s">
        <v>1837</v>
      </c>
      <c r="L217" s="11" t="s">
        <v>1838</v>
      </c>
      <c r="M217" s="11"/>
      <c r="N217" s="14" t="n">
        <v>4</v>
      </c>
      <c r="O217" s="14" t="n">
        <v>4</v>
      </c>
      <c r="P217" s="14" t="n">
        <v>3</v>
      </c>
      <c r="Q217" s="14"/>
      <c r="R217" s="12" t="n">
        <f aca="false">IF(OR(N217="",P217=""),"",ROUND(N217*O217/P217,1))</f>
        <v>5.3</v>
      </c>
      <c r="S217" s="13" t="n">
        <f aca="false">IF(R217="","",IF(Q217="Y",1,IF(P217&gt;='Read me'!$B$16,3,IF(AND(R217&gt;='Read me'!$B$14,P217&lt;='Read me'!$B$15),1,2))))</f>
        <v>2</v>
      </c>
    </row>
    <row r="218" customFormat="false" ht="35.05" hidden="false" customHeight="false" outlineLevel="0" collapsed="false">
      <c r="A218" s="11" t="s">
        <v>1839</v>
      </c>
      <c r="B218" s="11" t="s">
        <v>33</v>
      </c>
      <c r="C218" s="11" t="s">
        <v>112</v>
      </c>
      <c r="D218" s="11" t="s">
        <v>84</v>
      </c>
      <c r="E218" s="11" t="s">
        <v>765</v>
      </c>
      <c r="F218" s="11" t="s">
        <v>1834</v>
      </c>
      <c r="G218" s="11" t="s">
        <v>1840</v>
      </c>
      <c r="H218" s="11" t="s">
        <v>965</v>
      </c>
      <c r="I218" s="11" t="s">
        <v>1841</v>
      </c>
      <c r="J218" s="11" t="s">
        <v>1842</v>
      </c>
      <c r="K218" s="11" t="s">
        <v>1843</v>
      </c>
      <c r="L218" s="11" t="s">
        <v>1844</v>
      </c>
      <c r="M218" s="11"/>
      <c r="N218" s="14" t="n">
        <v>2</v>
      </c>
      <c r="O218" s="14" t="n">
        <v>3</v>
      </c>
      <c r="P218" s="14" t="n">
        <v>3</v>
      </c>
      <c r="Q218" s="14"/>
      <c r="R218" s="12" t="n">
        <f aca="false">IF(OR(N218="",P218=""),"",ROUND(N218*O218/P218,1))</f>
        <v>2</v>
      </c>
      <c r="S218" s="13" t="n">
        <f aca="false">IF(R218="","",IF(Q218="Y",1,IF(P218&gt;='Read me'!$B$16,3,IF(AND(R218&gt;='Read me'!$B$14,P218&lt;='Read me'!$B$15),1,2))))</f>
        <v>2</v>
      </c>
    </row>
    <row r="219" customFormat="false" ht="23.85" hidden="false" customHeight="false" outlineLevel="0" collapsed="false">
      <c r="A219" s="11" t="s">
        <v>1845</v>
      </c>
      <c r="B219" s="11" t="s">
        <v>33</v>
      </c>
      <c r="C219" s="11" t="s">
        <v>112</v>
      </c>
      <c r="D219" s="11" t="s">
        <v>84</v>
      </c>
      <c r="E219" s="11" t="s">
        <v>765</v>
      </c>
      <c r="F219" s="11" t="s">
        <v>1846</v>
      </c>
      <c r="G219" s="11" t="s">
        <v>1847</v>
      </c>
      <c r="H219" s="11"/>
      <c r="I219" s="11" t="s">
        <v>1848</v>
      </c>
      <c r="J219" s="11" t="s">
        <v>1849</v>
      </c>
      <c r="K219" s="11" t="s">
        <v>1850</v>
      </c>
      <c r="L219" s="11" t="s">
        <v>1851</v>
      </c>
      <c r="M219" s="11"/>
      <c r="N219" s="14" t="n">
        <v>3</v>
      </c>
      <c r="O219" s="14" t="n">
        <v>4</v>
      </c>
      <c r="P219" s="14" t="n">
        <v>2</v>
      </c>
      <c r="Q219" s="14"/>
      <c r="R219" s="12" t="n">
        <f aca="false">IF(OR(N219="",P219=""),"",ROUND(N219*O219/P219,1))</f>
        <v>6</v>
      </c>
      <c r="S219" s="13" t="n">
        <f aca="false">IF(R219="","",IF(Q219="Y",1,IF(P219&gt;='Read me'!$B$16,3,IF(AND(R219&gt;='Read me'!$B$14,P219&lt;='Read me'!$B$15),1,2))))</f>
        <v>1</v>
      </c>
    </row>
    <row r="220" customFormat="false" ht="23.85" hidden="false" customHeight="false" outlineLevel="0" collapsed="false">
      <c r="A220" s="11" t="s">
        <v>1852</v>
      </c>
      <c r="B220" s="11" t="s">
        <v>33</v>
      </c>
      <c r="C220" s="11" t="s">
        <v>112</v>
      </c>
      <c r="D220" s="11" t="s">
        <v>84</v>
      </c>
      <c r="E220" s="11" t="s">
        <v>765</v>
      </c>
      <c r="F220" s="11" t="s">
        <v>1853</v>
      </c>
      <c r="G220" s="11" t="s">
        <v>1854</v>
      </c>
      <c r="H220" s="11"/>
      <c r="I220" s="11" t="s">
        <v>1855</v>
      </c>
      <c r="J220" s="11" t="s">
        <v>1856</v>
      </c>
      <c r="K220" s="11" t="s">
        <v>1850</v>
      </c>
      <c r="L220" s="11" t="s">
        <v>1857</v>
      </c>
      <c r="M220" s="11"/>
      <c r="N220" s="14" t="n">
        <v>2</v>
      </c>
      <c r="O220" s="14" t="n">
        <v>4</v>
      </c>
      <c r="P220" s="14" t="n">
        <v>2</v>
      </c>
      <c r="Q220" s="14"/>
      <c r="R220" s="12" t="n">
        <f aca="false">IF(OR(N220="",P220=""),"",ROUND(N220*O220/P220,1))</f>
        <v>4</v>
      </c>
      <c r="S220" s="13" t="n">
        <f aca="false">IF(R220="","",IF(Q220="Y",1,IF(P220&gt;='Read me'!$B$16,3,IF(AND(R220&gt;='Read me'!$B$14,P220&lt;='Read me'!$B$15),1,2))))</f>
        <v>2</v>
      </c>
    </row>
    <row r="221" customFormat="false" ht="23.85" hidden="false" customHeight="false" outlineLevel="0" collapsed="false">
      <c r="A221" s="11" t="s">
        <v>1858</v>
      </c>
      <c r="B221" s="11" t="s">
        <v>33</v>
      </c>
      <c r="C221" s="11" t="s">
        <v>112</v>
      </c>
      <c r="D221" s="11" t="s">
        <v>84</v>
      </c>
      <c r="E221" s="11" t="s">
        <v>765</v>
      </c>
      <c r="F221" s="11" t="s">
        <v>1859</v>
      </c>
      <c r="G221" s="11" t="s">
        <v>1860</v>
      </c>
      <c r="H221" s="11"/>
      <c r="I221" s="11" t="s">
        <v>1861</v>
      </c>
      <c r="J221" s="11" t="s">
        <v>1862</v>
      </c>
      <c r="K221" s="11" t="s">
        <v>675</v>
      </c>
      <c r="L221" s="11" t="s">
        <v>1863</v>
      </c>
      <c r="M221" s="11"/>
      <c r="N221" s="14" t="n">
        <v>2</v>
      </c>
      <c r="O221" s="14" t="n">
        <v>3</v>
      </c>
      <c r="P221" s="14" t="n">
        <v>3</v>
      </c>
      <c r="Q221" s="14"/>
      <c r="R221" s="12" t="n">
        <f aca="false">IF(OR(N221="",P221=""),"",ROUND(N221*O221/P221,1))</f>
        <v>2</v>
      </c>
      <c r="S221" s="13" t="n">
        <f aca="false">IF(R221="","",IF(Q221="Y",1,IF(P221&gt;='Read me'!$B$16,3,IF(AND(R221&gt;='Read me'!$B$14,P221&lt;='Read me'!$B$15),1,2))))</f>
        <v>2</v>
      </c>
    </row>
    <row r="222" customFormat="false" ht="23.85" hidden="false" customHeight="false" outlineLevel="0" collapsed="false">
      <c r="A222" s="11" t="s">
        <v>1864</v>
      </c>
      <c r="B222" s="11" t="s">
        <v>33</v>
      </c>
      <c r="C222" s="11" t="s">
        <v>112</v>
      </c>
      <c r="D222" s="11" t="s">
        <v>84</v>
      </c>
      <c r="E222" s="11" t="s">
        <v>765</v>
      </c>
      <c r="F222" s="11" t="s">
        <v>1865</v>
      </c>
      <c r="G222" s="11" t="s">
        <v>1866</v>
      </c>
      <c r="H222" s="11"/>
      <c r="I222" s="11" t="s">
        <v>1867</v>
      </c>
      <c r="J222" s="11" t="s">
        <v>1868</v>
      </c>
      <c r="K222" s="11" t="s">
        <v>1869</v>
      </c>
      <c r="L222" s="11" t="s">
        <v>1870</v>
      </c>
      <c r="M222" s="11"/>
      <c r="N222" s="14" t="n">
        <v>2</v>
      </c>
      <c r="O222" s="14" t="n">
        <v>3</v>
      </c>
      <c r="P222" s="14" t="n">
        <v>3</v>
      </c>
      <c r="Q222" s="14"/>
      <c r="R222" s="12" t="n">
        <f aca="false">IF(OR(N222="",P222=""),"",ROUND(N222*O222/P222,1))</f>
        <v>2</v>
      </c>
      <c r="S222" s="13" t="n">
        <f aca="false">IF(R222="","",IF(Q222="Y",1,IF(P222&gt;='Read me'!$B$16,3,IF(AND(R222&gt;='Read me'!$B$14,P222&lt;='Read me'!$B$15),1,2))))</f>
        <v>2</v>
      </c>
    </row>
    <row r="223" customFormat="false" ht="23.85" hidden="false" customHeight="false" outlineLevel="0" collapsed="false">
      <c r="A223" s="11" t="s">
        <v>1871</v>
      </c>
      <c r="B223" s="11" t="s">
        <v>33</v>
      </c>
      <c r="C223" s="11" t="s">
        <v>112</v>
      </c>
      <c r="D223" s="11" t="s">
        <v>84</v>
      </c>
      <c r="E223" s="11" t="s">
        <v>765</v>
      </c>
      <c r="F223" s="11" t="s">
        <v>958</v>
      </c>
      <c r="G223" s="11" t="s">
        <v>1872</v>
      </c>
      <c r="H223" s="11"/>
      <c r="I223" s="11" t="s">
        <v>1873</v>
      </c>
      <c r="J223" s="11" t="s">
        <v>1874</v>
      </c>
      <c r="K223" s="11" t="s">
        <v>1609</v>
      </c>
      <c r="L223" s="11" t="s">
        <v>1875</v>
      </c>
      <c r="M223" s="11"/>
      <c r="N223" s="14" t="n">
        <v>4</v>
      </c>
      <c r="O223" s="14" t="n">
        <v>3</v>
      </c>
      <c r="P223" s="14" t="n">
        <v>4</v>
      </c>
      <c r="Q223" s="14"/>
      <c r="R223" s="12" t="n">
        <f aca="false">IF(OR(N223="",P223=""),"",ROUND(N223*O223/P223,1))</f>
        <v>3</v>
      </c>
      <c r="S223" s="13" t="n">
        <f aca="false">IF(R223="","",IF(Q223="Y",1,IF(P223&gt;='Read me'!$B$16,3,IF(AND(R223&gt;='Read me'!$B$14,P223&lt;='Read me'!$B$15),1,2))))</f>
        <v>3</v>
      </c>
    </row>
    <row r="224" customFormat="false" ht="23.85" hidden="false" customHeight="false" outlineLevel="0" collapsed="false">
      <c r="A224" s="11" t="s">
        <v>1876</v>
      </c>
      <c r="B224" s="11" t="s">
        <v>33</v>
      </c>
      <c r="C224" s="11" t="s">
        <v>112</v>
      </c>
      <c r="D224" s="11" t="s">
        <v>84</v>
      </c>
      <c r="E224" s="11" t="s">
        <v>765</v>
      </c>
      <c r="F224" s="11" t="s">
        <v>958</v>
      </c>
      <c r="G224" s="11" t="s">
        <v>1877</v>
      </c>
      <c r="H224" s="11" t="s">
        <v>1878</v>
      </c>
      <c r="I224" s="11" t="s">
        <v>1873</v>
      </c>
      <c r="J224" s="11" t="s">
        <v>1879</v>
      </c>
      <c r="K224" s="11" t="s">
        <v>1812</v>
      </c>
      <c r="L224" s="11" t="s">
        <v>1880</v>
      </c>
      <c r="M224" s="11"/>
      <c r="N224" s="14" t="n">
        <v>3</v>
      </c>
      <c r="O224" s="14" t="n">
        <v>3</v>
      </c>
      <c r="P224" s="14" t="n">
        <v>4</v>
      </c>
      <c r="Q224" s="14"/>
      <c r="R224" s="12" t="n">
        <f aca="false">IF(OR(N224="",P224=""),"",ROUND(N224*O224/P224,1))</f>
        <v>2.3</v>
      </c>
      <c r="S224" s="13" t="n">
        <f aca="false">IF(R224="","",IF(Q224="Y",1,IF(P224&gt;='Read me'!$B$16,3,IF(AND(R224&gt;='Read me'!$B$14,P224&lt;='Read me'!$B$15),1,2))))</f>
        <v>3</v>
      </c>
    </row>
    <row r="225" customFormat="false" ht="35.05" hidden="false" customHeight="false" outlineLevel="0" collapsed="false">
      <c r="A225" s="11" t="s">
        <v>1881</v>
      </c>
      <c r="B225" s="11" t="s">
        <v>33</v>
      </c>
      <c r="C225" s="11" t="s">
        <v>112</v>
      </c>
      <c r="D225" s="11" t="s">
        <v>84</v>
      </c>
      <c r="E225" s="11" t="s">
        <v>765</v>
      </c>
      <c r="F225" s="11" t="s">
        <v>958</v>
      </c>
      <c r="G225" s="11" t="s">
        <v>1882</v>
      </c>
      <c r="H225" s="11" t="s">
        <v>1883</v>
      </c>
      <c r="I225" s="11" t="s">
        <v>1884</v>
      </c>
      <c r="J225" s="11" t="s">
        <v>1885</v>
      </c>
      <c r="K225" s="11" t="s">
        <v>1886</v>
      </c>
      <c r="L225" s="11" t="s">
        <v>1887</v>
      </c>
      <c r="M225" s="11"/>
      <c r="N225" s="14" t="n">
        <v>2</v>
      </c>
      <c r="O225" s="14" t="n">
        <v>3</v>
      </c>
      <c r="P225" s="14" t="n">
        <v>4</v>
      </c>
      <c r="Q225" s="14"/>
      <c r="R225" s="12" t="n">
        <f aca="false">IF(OR(N225="",P225=""),"",ROUND(N225*O225/P225,1))</f>
        <v>1.5</v>
      </c>
      <c r="S225" s="13" t="n">
        <f aca="false">IF(R225="","",IF(Q225="Y",1,IF(P225&gt;='Read me'!$B$16,3,IF(AND(R225&gt;='Read me'!$B$14,P225&lt;='Read me'!$B$15),1,2))))</f>
        <v>3</v>
      </c>
    </row>
    <row r="226" customFormat="false" ht="23.85" hidden="false" customHeight="false" outlineLevel="0" collapsed="false">
      <c r="A226" s="11" t="s">
        <v>1888</v>
      </c>
      <c r="B226" s="11" t="s">
        <v>33</v>
      </c>
      <c r="C226" s="11" t="s">
        <v>112</v>
      </c>
      <c r="D226" s="11" t="s">
        <v>84</v>
      </c>
      <c r="E226" s="11" t="s">
        <v>765</v>
      </c>
      <c r="F226" s="11" t="s">
        <v>1889</v>
      </c>
      <c r="G226" s="11" t="s">
        <v>1890</v>
      </c>
      <c r="H226" s="11"/>
      <c r="I226" s="11" t="s">
        <v>1891</v>
      </c>
      <c r="J226" s="11" t="s">
        <v>1892</v>
      </c>
      <c r="K226" s="11" t="s">
        <v>1893</v>
      </c>
      <c r="L226" s="11" t="s">
        <v>1894</v>
      </c>
      <c r="M226" s="11"/>
      <c r="N226" s="14" t="n">
        <v>1</v>
      </c>
      <c r="O226" s="14" t="n">
        <v>3</v>
      </c>
      <c r="P226" s="14" t="n">
        <v>4</v>
      </c>
      <c r="Q226" s="14"/>
      <c r="R226" s="12" t="n">
        <f aca="false">IF(OR(N226="",P226=""),"",ROUND(N226*O226/P226,1))</f>
        <v>0.8</v>
      </c>
      <c r="S226" s="13" t="n">
        <f aca="false">IF(R226="","",IF(Q226="Y",1,IF(P226&gt;='Read me'!$B$16,3,IF(AND(R226&gt;='Read me'!$B$14,P226&lt;='Read me'!$B$15),1,2))))</f>
        <v>3</v>
      </c>
    </row>
    <row r="227" customFormat="false" ht="23.85" hidden="false" customHeight="false" outlineLevel="0" collapsed="false">
      <c r="A227" s="11" t="s">
        <v>1895</v>
      </c>
      <c r="B227" s="11" t="s">
        <v>33</v>
      </c>
      <c r="C227" s="11" t="s">
        <v>112</v>
      </c>
      <c r="D227" s="11" t="s">
        <v>84</v>
      </c>
      <c r="E227" s="11" t="s">
        <v>765</v>
      </c>
      <c r="F227" s="11" t="s">
        <v>1896</v>
      </c>
      <c r="G227" s="11" t="s">
        <v>1613</v>
      </c>
      <c r="H227" s="11"/>
      <c r="I227" s="11" t="s">
        <v>512</v>
      </c>
      <c r="J227" s="11" t="s">
        <v>1897</v>
      </c>
      <c r="K227" s="11" t="s">
        <v>1898</v>
      </c>
      <c r="L227" s="11" t="s">
        <v>1899</v>
      </c>
      <c r="M227" s="11"/>
      <c r="N227" s="14" t="n">
        <v>3</v>
      </c>
      <c r="O227" s="14" t="n">
        <v>3</v>
      </c>
      <c r="P227" s="14" t="n">
        <v>2</v>
      </c>
      <c r="Q227" s="14"/>
      <c r="R227" s="12" t="n">
        <f aca="false">IF(OR(N227="",P227=""),"",ROUND(N227*O227/P227,1))</f>
        <v>4.5</v>
      </c>
      <c r="S227" s="13" t="n">
        <f aca="false">IF(R227="","",IF(Q227="Y",1,IF(P227&gt;='Read me'!$B$16,3,IF(AND(R227&gt;='Read me'!$B$14,P227&lt;='Read me'!$B$15),1,2))))</f>
        <v>2</v>
      </c>
    </row>
    <row r="228" customFormat="false" ht="23.85" hidden="false" customHeight="false" outlineLevel="0" collapsed="false">
      <c r="A228" s="11" t="s">
        <v>1900</v>
      </c>
      <c r="B228" s="11" t="s">
        <v>33</v>
      </c>
      <c r="C228" s="11" t="s">
        <v>112</v>
      </c>
      <c r="D228" s="11" t="s">
        <v>84</v>
      </c>
      <c r="E228" s="11" t="s">
        <v>1081</v>
      </c>
      <c r="F228" s="11" t="s">
        <v>1901</v>
      </c>
      <c r="G228" s="11" t="s">
        <v>1902</v>
      </c>
      <c r="H228" s="11"/>
      <c r="I228" s="11" t="s">
        <v>1903</v>
      </c>
      <c r="J228" s="11" t="s">
        <v>1904</v>
      </c>
      <c r="K228" s="11" t="s">
        <v>1905</v>
      </c>
      <c r="L228" s="11" t="s">
        <v>1906</v>
      </c>
      <c r="M228" s="11"/>
      <c r="N228" s="14" t="n">
        <v>2</v>
      </c>
      <c r="O228" s="14" t="n">
        <v>3</v>
      </c>
      <c r="P228" s="14" t="n">
        <v>3</v>
      </c>
      <c r="Q228" s="14"/>
      <c r="R228" s="12" t="n">
        <f aca="false">IF(OR(N228="",P228=""),"",ROUND(N228*O228/P228,1))</f>
        <v>2</v>
      </c>
      <c r="S228" s="13" t="n">
        <f aca="false">IF(R228="","",IF(Q228="Y",1,IF(P228&gt;='Read me'!$B$16,3,IF(AND(R228&gt;='Read me'!$B$14,P228&lt;='Read me'!$B$15),1,2))))</f>
        <v>2</v>
      </c>
    </row>
    <row r="229" customFormat="false" ht="23.85" hidden="false" customHeight="false" outlineLevel="0" collapsed="false">
      <c r="A229" s="11" t="s">
        <v>1907</v>
      </c>
      <c r="B229" s="11" t="s">
        <v>33</v>
      </c>
      <c r="C229" s="11" t="s">
        <v>112</v>
      </c>
      <c r="D229" s="11" t="s">
        <v>84</v>
      </c>
      <c r="E229" s="11" t="s">
        <v>1187</v>
      </c>
      <c r="F229" s="11" t="s">
        <v>1908</v>
      </c>
      <c r="G229" s="11" t="s">
        <v>1699</v>
      </c>
      <c r="H229" s="11" t="s">
        <v>1700</v>
      </c>
      <c r="I229" s="11" t="s">
        <v>512</v>
      </c>
      <c r="J229" s="11" t="s">
        <v>1909</v>
      </c>
      <c r="K229" s="11" t="s">
        <v>1910</v>
      </c>
      <c r="L229" s="11" t="s">
        <v>1703</v>
      </c>
      <c r="M229" s="11"/>
      <c r="N229" s="14" t="n">
        <v>1</v>
      </c>
      <c r="O229" s="14" t="n">
        <v>4</v>
      </c>
      <c r="P229" s="14" t="n">
        <v>4</v>
      </c>
      <c r="Q229" s="14"/>
      <c r="R229" s="12" t="n">
        <f aca="false">IF(OR(N229="",P229=""),"",ROUND(N229*O229/P229,1))</f>
        <v>1</v>
      </c>
      <c r="S229" s="13" t="n">
        <f aca="false">IF(R229="","",IF(Q229="Y",1,IF(P229&gt;='Read me'!$B$16,3,IF(AND(R229&gt;='Read me'!$B$14,P229&lt;='Read me'!$B$15),1,2))))</f>
        <v>3</v>
      </c>
    </row>
    <row r="230" customFormat="false" ht="23.85" hidden="false" customHeight="false" outlineLevel="0" collapsed="false">
      <c r="A230" s="11" t="s">
        <v>1911</v>
      </c>
      <c r="B230" s="11" t="s">
        <v>33</v>
      </c>
      <c r="C230" s="11" t="s">
        <v>112</v>
      </c>
      <c r="D230" s="11" t="s">
        <v>84</v>
      </c>
      <c r="E230" s="11" t="s">
        <v>1187</v>
      </c>
      <c r="F230" s="11" t="s">
        <v>1912</v>
      </c>
      <c r="G230" s="11" t="s">
        <v>1913</v>
      </c>
      <c r="H230" s="11" t="s">
        <v>1914</v>
      </c>
      <c r="I230" s="11" t="s">
        <v>1915</v>
      </c>
      <c r="J230" s="11" t="s">
        <v>1916</v>
      </c>
      <c r="K230" s="11" t="s">
        <v>675</v>
      </c>
      <c r="L230" s="11" t="s">
        <v>1917</v>
      </c>
      <c r="M230" s="11"/>
      <c r="N230" s="14" t="n">
        <v>1</v>
      </c>
      <c r="O230" s="14" t="n">
        <v>3</v>
      </c>
      <c r="P230" s="14" t="n">
        <v>3</v>
      </c>
      <c r="Q230" s="14"/>
      <c r="R230" s="12" t="n">
        <f aca="false">IF(OR(N230="",P230=""),"",ROUND(N230*O230/P230,1))</f>
        <v>1</v>
      </c>
      <c r="S230" s="13" t="n">
        <f aca="false">IF(R230="","",IF(Q230="Y",1,IF(P230&gt;='Read me'!$B$16,3,IF(AND(R230&gt;='Read me'!$B$14,P230&lt;='Read me'!$B$15),1,2))))</f>
        <v>2</v>
      </c>
    </row>
    <row r="231" customFormat="false" ht="23.85" hidden="false" customHeight="false" outlineLevel="0" collapsed="false">
      <c r="A231" s="11" t="s">
        <v>1918</v>
      </c>
      <c r="B231" s="11" t="s">
        <v>33</v>
      </c>
      <c r="C231" s="11" t="s">
        <v>112</v>
      </c>
      <c r="D231" s="11" t="s">
        <v>84</v>
      </c>
      <c r="E231" s="11" t="s">
        <v>1187</v>
      </c>
      <c r="F231" s="11" t="s">
        <v>1919</v>
      </c>
      <c r="G231" s="11" t="s">
        <v>1920</v>
      </c>
      <c r="H231" s="11" t="s">
        <v>1921</v>
      </c>
      <c r="I231" s="11" t="s">
        <v>1922</v>
      </c>
      <c r="J231" s="11" t="s">
        <v>1923</v>
      </c>
      <c r="K231" s="11" t="s">
        <v>1924</v>
      </c>
      <c r="L231" s="11" t="s">
        <v>1925</v>
      </c>
      <c r="M231" s="11"/>
      <c r="N231" s="14" t="n">
        <v>1</v>
      </c>
      <c r="O231" s="14" t="n">
        <v>3</v>
      </c>
      <c r="P231" s="14" t="n">
        <v>3</v>
      </c>
      <c r="Q231" s="14"/>
      <c r="R231" s="12" t="n">
        <f aca="false">IF(OR(N231="",P231=""),"",ROUND(N231*O231/P231,1))</f>
        <v>1</v>
      </c>
      <c r="S231" s="13" t="n">
        <f aca="false">IF(R231="","",IF(Q231="Y",1,IF(P231&gt;='Read me'!$B$16,3,IF(AND(R231&gt;='Read me'!$B$14,P231&lt;='Read me'!$B$15),1,2))))</f>
        <v>2</v>
      </c>
    </row>
    <row r="232" customFormat="false" ht="15" hidden="false" customHeight="false" outlineLevel="0" collapsed="false">
      <c r="A232" s="11" t="s">
        <v>1926</v>
      </c>
      <c r="B232" s="11" t="s">
        <v>33</v>
      </c>
      <c r="C232" s="11" t="s">
        <v>112</v>
      </c>
      <c r="D232" s="11" t="s">
        <v>84</v>
      </c>
      <c r="E232" s="11" t="s">
        <v>1133</v>
      </c>
      <c r="F232" s="11" t="s">
        <v>1359</v>
      </c>
      <c r="G232" s="11" t="s">
        <v>1927</v>
      </c>
      <c r="H232" s="11"/>
      <c r="I232" s="11" t="s">
        <v>1361</v>
      </c>
      <c r="J232" s="11" t="s">
        <v>1928</v>
      </c>
      <c r="K232" s="11" t="s">
        <v>1363</v>
      </c>
      <c r="L232" s="11" t="s">
        <v>1929</v>
      </c>
      <c r="M232" s="11"/>
      <c r="N232" s="14" t="n">
        <v>3</v>
      </c>
      <c r="O232" s="14" t="n">
        <v>3</v>
      </c>
      <c r="P232" s="14" t="n">
        <v>3</v>
      </c>
      <c r="Q232" s="14"/>
      <c r="R232" s="12" t="n">
        <f aca="false">IF(OR(N232="",P232=""),"",ROUND(N232*O232/P232,1))</f>
        <v>3</v>
      </c>
      <c r="S232" s="13" t="n">
        <f aca="false">IF(R232="","",IF(Q232="Y",1,IF(P232&gt;='Read me'!$B$16,3,IF(AND(R232&gt;='Read me'!$B$14,P232&lt;='Read me'!$B$15),1,2))))</f>
        <v>2</v>
      </c>
    </row>
    <row r="233" customFormat="false" ht="23.85" hidden="false" customHeight="false" outlineLevel="0" collapsed="false">
      <c r="A233" s="11" t="s">
        <v>1930</v>
      </c>
      <c r="B233" s="11" t="s">
        <v>33</v>
      </c>
      <c r="C233" s="11" t="s">
        <v>112</v>
      </c>
      <c r="D233" s="11" t="s">
        <v>84</v>
      </c>
      <c r="E233" s="11" t="s">
        <v>1133</v>
      </c>
      <c r="F233" s="11" t="s">
        <v>1359</v>
      </c>
      <c r="G233" s="11" t="s">
        <v>1927</v>
      </c>
      <c r="H233" s="11" t="s">
        <v>1931</v>
      </c>
      <c r="I233" s="11" t="s">
        <v>1932</v>
      </c>
      <c r="J233" s="11" t="s">
        <v>1933</v>
      </c>
      <c r="K233" s="11" t="s">
        <v>1725</v>
      </c>
      <c r="L233" s="11" t="s">
        <v>1934</v>
      </c>
      <c r="M233" s="11"/>
      <c r="N233" s="14" t="n">
        <v>2</v>
      </c>
      <c r="O233" s="14" t="n">
        <v>3</v>
      </c>
      <c r="P233" s="14" t="n">
        <v>4</v>
      </c>
      <c r="Q233" s="14"/>
      <c r="R233" s="12" t="n">
        <f aca="false">IF(OR(N233="",P233=""),"",ROUND(N233*O233/P233,1))</f>
        <v>1.5</v>
      </c>
      <c r="S233" s="13" t="n">
        <f aca="false">IF(R233="","",IF(Q233="Y",1,IF(P233&gt;='Read me'!$B$16,3,IF(AND(R233&gt;='Read me'!$B$14,P233&lt;='Read me'!$B$15),1,2))))</f>
        <v>3</v>
      </c>
    </row>
    <row r="234" customFormat="false" ht="23.85" hidden="false" customHeight="false" outlineLevel="0" collapsed="false">
      <c r="A234" s="11" t="s">
        <v>1935</v>
      </c>
      <c r="B234" s="11" t="s">
        <v>33</v>
      </c>
      <c r="C234" s="11" t="s">
        <v>115</v>
      </c>
      <c r="D234" s="11" t="s">
        <v>116</v>
      </c>
      <c r="E234" s="11" t="s">
        <v>751</v>
      </c>
      <c r="F234" s="11" t="s">
        <v>1936</v>
      </c>
      <c r="G234" s="11" t="s">
        <v>1937</v>
      </c>
      <c r="H234" s="11"/>
      <c r="I234" s="11" t="s">
        <v>1938</v>
      </c>
      <c r="J234" s="11" t="s">
        <v>1939</v>
      </c>
      <c r="K234" s="11" t="s">
        <v>1940</v>
      </c>
      <c r="L234" s="11" t="s">
        <v>1941</v>
      </c>
      <c r="M234" s="11"/>
      <c r="N234" s="14" t="n">
        <v>2</v>
      </c>
      <c r="O234" s="14" t="n">
        <v>3</v>
      </c>
      <c r="P234" s="14" t="n">
        <v>2</v>
      </c>
      <c r="Q234" s="14"/>
      <c r="R234" s="12" t="n">
        <f aca="false">IF(OR(N234="",P234=""),"",ROUND(N234*O234/P234,1))</f>
        <v>3</v>
      </c>
      <c r="S234" s="13" t="n">
        <f aca="false">IF(R234="","",IF(Q234="Y",1,IF(P234&gt;='Read me'!$B$16,3,IF(AND(R234&gt;='Read me'!$B$14,P234&lt;='Read me'!$B$15),1,2))))</f>
        <v>2</v>
      </c>
    </row>
    <row r="235" customFormat="false" ht="23.85" hidden="false" customHeight="false" outlineLevel="0" collapsed="false">
      <c r="A235" s="11" t="s">
        <v>1942</v>
      </c>
      <c r="B235" s="11" t="s">
        <v>33</v>
      </c>
      <c r="C235" s="11" t="s">
        <v>115</v>
      </c>
      <c r="D235" s="11" t="s">
        <v>116</v>
      </c>
      <c r="E235" s="11" t="s">
        <v>765</v>
      </c>
      <c r="F235" s="11" t="s">
        <v>1943</v>
      </c>
      <c r="G235" s="11" t="s">
        <v>1944</v>
      </c>
      <c r="H235" s="11"/>
      <c r="I235" s="11" t="s">
        <v>512</v>
      </c>
      <c r="J235" s="11" t="s">
        <v>1945</v>
      </c>
      <c r="K235" s="11" t="s">
        <v>1946</v>
      </c>
      <c r="L235" s="11" t="s">
        <v>1947</v>
      </c>
      <c r="M235" s="11"/>
      <c r="N235" s="14" t="n">
        <v>3</v>
      </c>
      <c r="O235" s="14" t="n">
        <v>3</v>
      </c>
      <c r="P235" s="14" t="n">
        <v>1</v>
      </c>
      <c r="Q235" s="14"/>
      <c r="R235" s="12" t="n">
        <f aca="false">IF(OR(N235="",P235=""),"",ROUND(N235*O235/P235,1))</f>
        <v>9</v>
      </c>
      <c r="S235" s="13" t="n">
        <f aca="false">IF(R235="","",IF(Q235="Y",1,IF(P235&gt;='Read me'!$B$16,3,IF(AND(R235&gt;='Read me'!$B$14,P235&lt;='Read me'!$B$15),1,2))))</f>
        <v>1</v>
      </c>
    </row>
    <row r="236" customFormat="false" ht="23.85" hidden="false" customHeight="false" outlineLevel="0" collapsed="false">
      <c r="A236" s="11" t="s">
        <v>1948</v>
      </c>
      <c r="B236" s="11" t="s">
        <v>33</v>
      </c>
      <c r="C236" s="11" t="s">
        <v>115</v>
      </c>
      <c r="D236" s="11" t="s">
        <v>116</v>
      </c>
      <c r="E236" s="11" t="s">
        <v>765</v>
      </c>
      <c r="F236" s="11" t="s">
        <v>1949</v>
      </c>
      <c r="G236" s="11" t="s">
        <v>1950</v>
      </c>
      <c r="H236" s="11"/>
      <c r="I236" s="11" t="s">
        <v>1951</v>
      </c>
      <c r="J236" s="11" t="s">
        <v>1952</v>
      </c>
      <c r="K236" s="11" t="s">
        <v>1571</v>
      </c>
      <c r="L236" s="11" t="s">
        <v>1953</v>
      </c>
      <c r="M236" s="11"/>
      <c r="N236" s="14" t="n">
        <v>4</v>
      </c>
      <c r="O236" s="14" t="n">
        <v>3</v>
      </c>
      <c r="P236" s="14" t="n">
        <v>1</v>
      </c>
      <c r="Q236" s="14"/>
      <c r="R236" s="12" t="n">
        <f aca="false">IF(OR(N236="",P236=""),"",ROUND(N236*O236/P236,1))</f>
        <v>12</v>
      </c>
      <c r="S236" s="13" t="n">
        <f aca="false">IF(R236="","",IF(Q236="Y",1,IF(P236&gt;='Read me'!$B$16,3,IF(AND(R236&gt;='Read me'!$B$14,P236&lt;='Read me'!$B$15),1,2))))</f>
        <v>1</v>
      </c>
    </row>
    <row r="237" customFormat="false" ht="23.85" hidden="false" customHeight="false" outlineLevel="0" collapsed="false">
      <c r="A237" s="11" t="s">
        <v>1954</v>
      </c>
      <c r="B237" s="11" t="s">
        <v>33</v>
      </c>
      <c r="C237" s="11" t="s">
        <v>115</v>
      </c>
      <c r="D237" s="11" t="s">
        <v>116</v>
      </c>
      <c r="E237" s="11" t="s">
        <v>1081</v>
      </c>
      <c r="F237" s="11" t="s">
        <v>1955</v>
      </c>
      <c r="G237" s="11" t="s">
        <v>1956</v>
      </c>
      <c r="H237" s="11"/>
      <c r="I237" s="11" t="s">
        <v>1957</v>
      </c>
      <c r="J237" s="11" t="s">
        <v>1958</v>
      </c>
      <c r="K237" s="11" t="s">
        <v>1959</v>
      </c>
      <c r="L237" s="11" t="s">
        <v>1960</v>
      </c>
      <c r="M237" s="11"/>
      <c r="N237" s="14" t="n">
        <v>4</v>
      </c>
      <c r="O237" s="14" t="n">
        <v>3</v>
      </c>
      <c r="P237" s="14" t="n">
        <v>1</v>
      </c>
      <c r="Q237" s="14"/>
      <c r="R237" s="12" t="n">
        <f aca="false">IF(OR(N237="",P237=""),"",ROUND(N237*O237/P237,1))</f>
        <v>12</v>
      </c>
      <c r="S237" s="13" t="n">
        <f aca="false">IF(R237="","",IF(Q237="Y",1,IF(P237&gt;='Read me'!$B$16,3,IF(AND(R237&gt;='Read me'!$B$14,P237&lt;='Read me'!$B$15),1,2))))</f>
        <v>1</v>
      </c>
    </row>
    <row r="238" customFormat="false" ht="46.25" hidden="false" customHeight="false" outlineLevel="0" collapsed="false">
      <c r="A238" s="11" t="s">
        <v>1961</v>
      </c>
      <c r="B238" s="11" t="s">
        <v>33</v>
      </c>
      <c r="C238" s="11" t="s">
        <v>115</v>
      </c>
      <c r="D238" s="11" t="s">
        <v>116</v>
      </c>
      <c r="E238" s="11" t="s">
        <v>1081</v>
      </c>
      <c r="F238" s="11" t="s">
        <v>1962</v>
      </c>
      <c r="G238" s="11" t="s">
        <v>1963</v>
      </c>
      <c r="H238" s="11"/>
      <c r="I238" s="11" t="s">
        <v>1964</v>
      </c>
      <c r="J238" s="11" t="s">
        <v>1965</v>
      </c>
      <c r="K238" s="11" t="s">
        <v>1028</v>
      </c>
      <c r="L238" s="11" t="s">
        <v>1966</v>
      </c>
      <c r="M238" s="11" t="s">
        <v>1967</v>
      </c>
      <c r="N238" s="14" t="n">
        <v>3</v>
      </c>
      <c r="O238" s="14" t="n">
        <v>3</v>
      </c>
      <c r="P238" s="14" t="n">
        <v>3</v>
      </c>
      <c r="Q238" s="14"/>
      <c r="R238" s="12" t="n">
        <f aca="false">IF(OR(N238="",P238=""),"",ROUND(N238*O238/P238,1))</f>
        <v>3</v>
      </c>
      <c r="S238" s="13" t="n">
        <f aca="false">IF(R238="","",IF(Q238="Y",1,IF(P238&gt;='Read me'!$B$16,3,IF(AND(R238&gt;='Read me'!$B$14,P238&lt;='Read me'!$B$15),1,2))))</f>
        <v>2</v>
      </c>
    </row>
    <row r="239" customFormat="false" ht="23.85" hidden="false" customHeight="false" outlineLevel="0" collapsed="false">
      <c r="A239" s="11" t="s">
        <v>1968</v>
      </c>
      <c r="B239" s="11" t="s">
        <v>33</v>
      </c>
      <c r="C239" s="11" t="s">
        <v>115</v>
      </c>
      <c r="D239" s="11" t="s">
        <v>116</v>
      </c>
      <c r="E239" s="11" t="s">
        <v>1081</v>
      </c>
      <c r="F239" s="11" t="s">
        <v>1969</v>
      </c>
      <c r="G239" s="11" t="s">
        <v>1970</v>
      </c>
      <c r="H239" s="11"/>
      <c r="I239" s="11" t="s">
        <v>1971</v>
      </c>
      <c r="J239" s="11" t="s">
        <v>1972</v>
      </c>
      <c r="K239" s="11" t="s">
        <v>1028</v>
      </c>
      <c r="L239" s="11" t="s">
        <v>1973</v>
      </c>
      <c r="M239" s="11"/>
      <c r="N239" s="14" t="n">
        <v>5</v>
      </c>
      <c r="O239" s="14" t="n">
        <v>2</v>
      </c>
      <c r="P239" s="14" t="n">
        <v>1</v>
      </c>
      <c r="Q239" s="14"/>
      <c r="R239" s="12" t="n">
        <f aca="false">IF(OR(N239="",P239=""),"",ROUND(N239*O239/P239,1))</f>
        <v>10</v>
      </c>
      <c r="S239" s="13" t="n">
        <f aca="false">IF(R239="","",IF(Q239="Y",1,IF(P239&gt;='Read me'!$B$16,3,IF(AND(R239&gt;='Read me'!$B$14,P239&lt;='Read me'!$B$15),1,2))))</f>
        <v>1</v>
      </c>
    </row>
    <row r="240" customFormat="false" ht="23.85" hidden="false" customHeight="false" outlineLevel="0" collapsed="false">
      <c r="A240" s="11" t="s">
        <v>1974</v>
      </c>
      <c r="B240" s="11" t="s">
        <v>33</v>
      </c>
      <c r="C240" s="11" t="s">
        <v>115</v>
      </c>
      <c r="D240" s="11" t="s">
        <v>116</v>
      </c>
      <c r="E240" s="11" t="s">
        <v>1081</v>
      </c>
      <c r="F240" s="11" t="s">
        <v>1975</v>
      </c>
      <c r="G240" s="11" t="s">
        <v>1976</v>
      </c>
      <c r="H240" s="11"/>
      <c r="I240" s="11" t="s">
        <v>1977</v>
      </c>
      <c r="J240" s="11" t="s">
        <v>1978</v>
      </c>
      <c r="K240" s="11" t="s">
        <v>1979</v>
      </c>
      <c r="L240" s="11" t="s">
        <v>1980</v>
      </c>
      <c r="M240" s="11"/>
      <c r="N240" s="14" t="n">
        <v>3</v>
      </c>
      <c r="O240" s="14" t="n">
        <v>2</v>
      </c>
      <c r="P240" s="14" t="n">
        <v>1</v>
      </c>
      <c r="Q240" s="14"/>
      <c r="R240" s="12" t="n">
        <f aca="false">IF(OR(N240="",P240=""),"",ROUND(N240*O240/P240,1))</f>
        <v>6</v>
      </c>
      <c r="S240" s="13" t="n">
        <f aca="false">IF(R240="","",IF(Q240="Y",1,IF(P240&gt;='Read me'!$B$16,3,IF(AND(R240&gt;='Read me'!$B$14,P240&lt;='Read me'!$B$15),1,2))))</f>
        <v>1</v>
      </c>
    </row>
    <row r="241" customFormat="false" ht="23.85" hidden="false" customHeight="false" outlineLevel="0" collapsed="false">
      <c r="A241" s="11" t="s">
        <v>1981</v>
      </c>
      <c r="B241" s="11" t="s">
        <v>33</v>
      </c>
      <c r="C241" s="11" t="s">
        <v>115</v>
      </c>
      <c r="D241" s="11" t="s">
        <v>116</v>
      </c>
      <c r="E241" s="11" t="s">
        <v>1081</v>
      </c>
      <c r="F241" s="11" t="s">
        <v>1982</v>
      </c>
      <c r="G241" s="11" t="s">
        <v>1983</v>
      </c>
      <c r="H241" s="11"/>
      <c r="I241" s="11" t="s">
        <v>1984</v>
      </c>
      <c r="J241" s="11" t="s">
        <v>1985</v>
      </c>
      <c r="K241" s="11" t="s">
        <v>1986</v>
      </c>
      <c r="L241" s="11" t="s">
        <v>1987</v>
      </c>
      <c r="M241" s="11"/>
      <c r="N241" s="14" t="n">
        <v>2</v>
      </c>
      <c r="O241" s="14" t="n">
        <v>3</v>
      </c>
      <c r="P241" s="14" t="n">
        <v>2</v>
      </c>
      <c r="Q241" s="14"/>
      <c r="R241" s="12" t="n">
        <f aca="false">IF(OR(N241="",P241=""),"",ROUND(N241*O241/P241,1))</f>
        <v>3</v>
      </c>
      <c r="S241" s="13" t="n">
        <f aca="false">IF(R241="","",IF(Q241="Y",1,IF(P241&gt;='Read me'!$B$16,3,IF(AND(R241&gt;='Read me'!$B$14,P241&lt;='Read me'!$B$15),1,2))))</f>
        <v>2</v>
      </c>
    </row>
    <row r="242" customFormat="false" ht="23.85" hidden="false" customHeight="false" outlineLevel="0" collapsed="false">
      <c r="A242" s="11" t="s">
        <v>1988</v>
      </c>
      <c r="B242" s="11" t="s">
        <v>33</v>
      </c>
      <c r="C242" s="11" t="s">
        <v>115</v>
      </c>
      <c r="D242" s="11" t="s">
        <v>116</v>
      </c>
      <c r="E242" s="11" t="s">
        <v>1081</v>
      </c>
      <c r="F242" s="11" t="s">
        <v>1989</v>
      </c>
      <c r="G242" s="11" t="s">
        <v>1990</v>
      </c>
      <c r="H242" s="11"/>
      <c r="I242" s="11" t="s">
        <v>1991</v>
      </c>
      <c r="J242" s="11" t="s">
        <v>1992</v>
      </c>
      <c r="K242" s="11" t="s">
        <v>1993</v>
      </c>
      <c r="L242" s="11" t="s">
        <v>1994</v>
      </c>
      <c r="M242" s="11"/>
      <c r="N242" s="14" t="n">
        <v>1</v>
      </c>
      <c r="O242" s="14" t="n">
        <v>2</v>
      </c>
      <c r="P242" s="14" t="n">
        <v>2</v>
      </c>
      <c r="Q242" s="14"/>
      <c r="R242" s="12" t="n">
        <f aca="false">IF(OR(N242="",P242=""),"",ROUND(N242*O242/P242,1))</f>
        <v>1</v>
      </c>
      <c r="S242" s="13" t="n">
        <f aca="false">IF(R242="","",IF(Q242="Y",1,IF(P242&gt;='Read me'!$B$16,3,IF(AND(R242&gt;='Read me'!$B$14,P242&lt;='Read me'!$B$15),1,2))))</f>
        <v>2</v>
      </c>
    </row>
    <row r="243" customFormat="false" ht="23.85" hidden="false" customHeight="false" outlineLevel="0" collapsed="false">
      <c r="A243" s="11" t="s">
        <v>1995</v>
      </c>
      <c r="B243" s="11" t="s">
        <v>33</v>
      </c>
      <c r="C243" s="11" t="s">
        <v>115</v>
      </c>
      <c r="D243" s="11" t="s">
        <v>116</v>
      </c>
      <c r="E243" s="11" t="s">
        <v>1081</v>
      </c>
      <c r="F243" s="11" t="s">
        <v>1996</v>
      </c>
      <c r="G243" s="11" t="s">
        <v>1997</v>
      </c>
      <c r="H243" s="11"/>
      <c r="I243" s="11" t="s">
        <v>1998</v>
      </c>
      <c r="J243" s="11" t="s">
        <v>1999</v>
      </c>
      <c r="K243" s="11" t="s">
        <v>2000</v>
      </c>
      <c r="L243" s="11" t="s">
        <v>2001</v>
      </c>
      <c r="M243" s="11"/>
      <c r="N243" s="14" t="n">
        <v>3</v>
      </c>
      <c r="O243" s="14" t="n">
        <v>3</v>
      </c>
      <c r="P243" s="14" t="n">
        <v>2</v>
      </c>
      <c r="Q243" s="14"/>
      <c r="R243" s="12" t="n">
        <f aca="false">IF(OR(N243="",P243=""),"",ROUND(N243*O243/P243,1))</f>
        <v>4.5</v>
      </c>
      <c r="S243" s="13" t="n">
        <f aca="false">IF(R243="","",IF(Q243="Y",1,IF(P243&gt;='Read me'!$B$16,3,IF(AND(R243&gt;='Read me'!$B$14,P243&lt;='Read me'!$B$15),1,2))))</f>
        <v>2</v>
      </c>
    </row>
    <row r="244" customFormat="false" ht="23.85" hidden="false" customHeight="false" outlineLevel="0" collapsed="false">
      <c r="A244" s="11" t="s">
        <v>2002</v>
      </c>
      <c r="B244" s="11" t="s">
        <v>33</v>
      </c>
      <c r="C244" s="11" t="s">
        <v>115</v>
      </c>
      <c r="D244" s="11" t="s">
        <v>116</v>
      </c>
      <c r="E244" s="11" t="s">
        <v>1081</v>
      </c>
      <c r="F244" s="11" t="s">
        <v>2003</v>
      </c>
      <c r="G244" s="11" t="s">
        <v>2004</v>
      </c>
      <c r="H244" s="11"/>
      <c r="I244" s="11" t="s">
        <v>2005</v>
      </c>
      <c r="J244" s="11" t="s">
        <v>2006</v>
      </c>
      <c r="K244" s="11" t="s">
        <v>2007</v>
      </c>
      <c r="L244" s="11" t="s">
        <v>2008</v>
      </c>
      <c r="M244" s="11"/>
      <c r="N244" s="14" t="n">
        <v>1</v>
      </c>
      <c r="O244" s="14" t="n">
        <v>2</v>
      </c>
      <c r="P244" s="14" t="n">
        <v>3</v>
      </c>
      <c r="Q244" s="14"/>
      <c r="R244" s="12" t="n">
        <f aca="false">IF(OR(N244="",P244=""),"",ROUND(N244*O244/P244,1))</f>
        <v>0.7</v>
      </c>
      <c r="S244" s="13" t="n">
        <f aca="false">IF(R244="","",IF(Q244="Y",1,IF(P244&gt;='Read me'!$B$16,3,IF(AND(R244&gt;='Read me'!$B$14,P244&lt;='Read me'!$B$15),1,2))))</f>
        <v>2</v>
      </c>
    </row>
    <row r="245" customFormat="false" ht="35.05" hidden="false" customHeight="false" outlineLevel="0" collapsed="false">
      <c r="A245" s="11" t="s">
        <v>2009</v>
      </c>
      <c r="B245" s="11" t="s">
        <v>33</v>
      </c>
      <c r="C245" s="11" t="s">
        <v>115</v>
      </c>
      <c r="D245" s="11" t="s">
        <v>116</v>
      </c>
      <c r="E245" s="11" t="s">
        <v>1081</v>
      </c>
      <c r="F245" s="11" t="s">
        <v>2010</v>
      </c>
      <c r="G245" s="11" t="s">
        <v>2011</v>
      </c>
      <c r="H245" s="11" t="s">
        <v>2012</v>
      </c>
      <c r="I245" s="11" t="s">
        <v>2013</v>
      </c>
      <c r="J245" s="11" t="s">
        <v>2014</v>
      </c>
      <c r="K245" s="11" t="s">
        <v>2015</v>
      </c>
      <c r="L245" s="11" t="s">
        <v>2016</v>
      </c>
      <c r="M245" s="11"/>
      <c r="N245" s="14" t="n">
        <v>1</v>
      </c>
      <c r="O245" s="14" t="n">
        <v>4</v>
      </c>
      <c r="P245" s="14" t="n">
        <v>5</v>
      </c>
      <c r="Q245" s="14"/>
      <c r="R245" s="12" t="n">
        <f aca="false">IF(OR(N245="",P245=""),"",ROUND(N245*O245/P245,1))</f>
        <v>0.8</v>
      </c>
      <c r="S245" s="13" t="n">
        <f aca="false">IF(R245="","",IF(Q245="Y",1,IF(P245&gt;='Read me'!$B$16,3,IF(AND(R245&gt;='Read me'!$B$14,P245&lt;='Read me'!$B$15),1,2))))</f>
        <v>3</v>
      </c>
    </row>
    <row r="246" customFormat="false" ht="35.05" hidden="false" customHeight="false" outlineLevel="0" collapsed="false">
      <c r="A246" s="11" t="s">
        <v>2017</v>
      </c>
      <c r="B246" s="11" t="s">
        <v>33</v>
      </c>
      <c r="C246" s="11" t="s">
        <v>115</v>
      </c>
      <c r="D246" s="11" t="s">
        <v>116</v>
      </c>
      <c r="E246" s="11" t="s">
        <v>1081</v>
      </c>
      <c r="F246" s="11" t="s">
        <v>2018</v>
      </c>
      <c r="G246" s="11" t="s">
        <v>2011</v>
      </c>
      <c r="H246" s="11" t="s">
        <v>2019</v>
      </c>
      <c r="I246" s="11" t="s">
        <v>2020</v>
      </c>
      <c r="J246" s="11" t="s">
        <v>2021</v>
      </c>
      <c r="K246" s="11" t="s">
        <v>2022</v>
      </c>
      <c r="L246" s="11" t="s">
        <v>2023</v>
      </c>
      <c r="M246" s="11"/>
      <c r="N246" s="14" t="n">
        <v>1</v>
      </c>
      <c r="O246" s="14" t="n">
        <v>4</v>
      </c>
      <c r="P246" s="14" t="n">
        <v>5</v>
      </c>
      <c r="Q246" s="14"/>
      <c r="R246" s="12" t="n">
        <f aca="false">IF(OR(N246="",P246=""),"",ROUND(N246*O246/P246,1))</f>
        <v>0.8</v>
      </c>
      <c r="S246" s="13" t="n">
        <f aca="false">IF(R246="","",IF(Q246="Y",1,IF(P246&gt;='Read me'!$B$16,3,IF(AND(R246&gt;='Read me'!$B$14,P246&lt;='Read me'!$B$15),1,2))))</f>
        <v>3</v>
      </c>
    </row>
    <row r="247" customFormat="false" ht="23.85" hidden="false" customHeight="false" outlineLevel="0" collapsed="false">
      <c r="A247" s="11" t="s">
        <v>2024</v>
      </c>
      <c r="B247" s="11" t="s">
        <v>33</v>
      </c>
      <c r="C247" s="11" t="s">
        <v>115</v>
      </c>
      <c r="D247" s="11" t="s">
        <v>116</v>
      </c>
      <c r="E247" s="11" t="s">
        <v>1081</v>
      </c>
      <c r="F247" s="11" t="s">
        <v>2025</v>
      </c>
      <c r="G247" s="11" t="s">
        <v>2026</v>
      </c>
      <c r="H247" s="11" t="s">
        <v>2027</v>
      </c>
      <c r="I247" s="11" t="s">
        <v>2028</v>
      </c>
      <c r="J247" s="11" t="s">
        <v>2029</v>
      </c>
      <c r="K247" s="11" t="s">
        <v>2030</v>
      </c>
      <c r="L247" s="11" t="s">
        <v>2031</v>
      </c>
      <c r="M247" s="11"/>
      <c r="N247" s="14" t="n">
        <v>2</v>
      </c>
      <c r="O247" s="14" t="n">
        <v>3</v>
      </c>
      <c r="P247" s="14" t="n">
        <v>2</v>
      </c>
      <c r="Q247" s="14"/>
      <c r="R247" s="12" t="n">
        <f aca="false">IF(OR(N247="",P247=""),"",ROUND(N247*O247/P247,1))</f>
        <v>3</v>
      </c>
      <c r="S247" s="13" t="n">
        <f aca="false">IF(R247="","",IF(Q247="Y",1,IF(P247&gt;='Read me'!$B$16,3,IF(AND(R247&gt;='Read me'!$B$14,P247&lt;='Read me'!$B$15),1,2))))</f>
        <v>2</v>
      </c>
    </row>
    <row r="248" customFormat="false" ht="23.85" hidden="false" customHeight="false" outlineLevel="0" collapsed="false">
      <c r="A248" s="11" t="s">
        <v>2032</v>
      </c>
      <c r="B248" s="11" t="s">
        <v>33</v>
      </c>
      <c r="C248" s="11" t="s">
        <v>115</v>
      </c>
      <c r="D248" s="11" t="s">
        <v>116</v>
      </c>
      <c r="E248" s="11" t="s">
        <v>1081</v>
      </c>
      <c r="F248" s="11" t="s">
        <v>2033</v>
      </c>
      <c r="G248" s="11" t="s">
        <v>2034</v>
      </c>
      <c r="H248" s="11" t="s">
        <v>2035</v>
      </c>
      <c r="I248" s="11" t="s">
        <v>2036</v>
      </c>
      <c r="J248" s="11" t="s">
        <v>2037</v>
      </c>
      <c r="K248" s="11" t="s">
        <v>2038</v>
      </c>
      <c r="L248" s="11" t="s">
        <v>2039</v>
      </c>
      <c r="M248" s="11"/>
      <c r="N248" s="14" t="n">
        <v>1</v>
      </c>
      <c r="O248" s="14" t="n">
        <v>3</v>
      </c>
      <c r="P248" s="14" t="n">
        <v>3</v>
      </c>
      <c r="Q248" s="14"/>
      <c r="R248" s="12" t="n">
        <f aca="false">IF(OR(N248="",P248=""),"",ROUND(N248*O248/P248,1))</f>
        <v>1</v>
      </c>
      <c r="S248" s="13" t="n">
        <f aca="false">IF(R248="","",IF(Q248="Y",1,IF(P248&gt;='Read me'!$B$16,3,IF(AND(R248&gt;='Read me'!$B$14,P248&lt;='Read me'!$B$15),1,2))))</f>
        <v>2</v>
      </c>
    </row>
    <row r="249" customFormat="false" ht="23.85" hidden="false" customHeight="false" outlineLevel="0" collapsed="false">
      <c r="A249" s="11" t="s">
        <v>2040</v>
      </c>
      <c r="B249" s="11" t="s">
        <v>33</v>
      </c>
      <c r="C249" s="11" t="s">
        <v>115</v>
      </c>
      <c r="D249" s="11" t="s">
        <v>116</v>
      </c>
      <c r="E249" s="11" t="s">
        <v>1081</v>
      </c>
      <c r="F249" s="11" t="s">
        <v>2041</v>
      </c>
      <c r="G249" s="11" t="s">
        <v>2042</v>
      </c>
      <c r="H249" s="11" t="s">
        <v>2043</v>
      </c>
      <c r="I249" s="11" t="s">
        <v>2044</v>
      </c>
      <c r="J249" s="11" t="s">
        <v>2045</v>
      </c>
      <c r="K249" s="11" t="s">
        <v>2046</v>
      </c>
      <c r="L249" s="11" t="s">
        <v>2047</v>
      </c>
      <c r="M249" s="11"/>
      <c r="N249" s="14" t="n">
        <v>1</v>
      </c>
      <c r="O249" s="14" t="n">
        <v>3</v>
      </c>
      <c r="P249" s="14" t="n">
        <v>4</v>
      </c>
      <c r="Q249" s="14"/>
      <c r="R249" s="12" t="n">
        <f aca="false">IF(OR(N249="",P249=""),"",ROUND(N249*O249/P249,1))</f>
        <v>0.8</v>
      </c>
      <c r="S249" s="13" t="n">
        <f aca="false">IF(R249="","",IF(Q249="Y",1,IF(P249&gt;='Read me'!$B$16,3,IF(AND(R249&gt;='Read me'!$B$14,P249&lt;='Read me'!$B$15),1,2))))</f>
        <v>3</v>
      </c>
    </row>
    <row r="250" customFormat="false" ht="35.05" hidden="false" customHeight="false" outlineLevel="0" collapsed="false">
      <c r="A250" s="11" t="s">
        <v>2048</v>
      </c>
      <c r="B250" s="11" t="s">
        <v>33</v>
      </c>
      <c r="C250" s="11" t="s">
        <v>115</v>
      </c>
      <c r="D250" s="11" t="s">
        <v>116</v>
      </c>
      <c r="E250" s="11" t="s">
        <v>1081</v>
      </c>
      <c r="F250" s="11" t="s">
        <v>2049</v>
      </c>
      <c r="G250" s="11" t="s">
        <v>2050</v>
      </c>
      <c r="H250" s="11" t="s">
        <v>2051</v>
      </c>
      <c r="I250" s="11" t="s">
        <v>2052</v>
      </c>
      <c r="J250" s="11" t="s">
        <v>2053</v>
      </c>
      <c r="K250" s="11" t="s">
        <v>675</v>
      </c>
      <c r="L250" s="11" t="s">
        <v>2054</v>
      </c>
      <c r="M250" s="11" t="s">
        <v>2055</v>
      </c>
      <c r="N250" s="14" t="n">
        <v>1</v>
      </c>
      <c r="O250" s="14" t="n">
        <v>3</v>
      </c>
      <c r="P250" s="14" t="n">
        <v>5</v>
      </c>
      <c r="Q250" s="14"/>
      <c r="R250" s="12" t="n">
        <f aca="false">IF(OR(N250="",P250=""),"",ROUND(N250*O250/P250,1))</f>
        <v>0.6</v>
      </c>
      <c r="S250" s="13" t="n">
        <f aca="false">IF(R250="","",IF(Q250="Y",1,IF(P250&gt;='Read me'!$B$16,3,IF(AND(R250&gt;='Read me'!$B$14,P250&lt;='Read me'!$B$15),1,2))))</f>
        <v>3</v>
      </c>
    </row>
    <row r="251" customFormat="false" ht="23.85" hidden="false" customHeight="false" outlineLevel="0" collapsed="false">
      <c r="A251" s="11" t="s">
        <v>2056</v>
      </c>
      <c r="B251" s="11" t="s">
        <v>33</v>
      </c>
      <c r="C251" s="11" t="s">
        <v>115</v>
      </c>
      <c r="D251" s="11" t="s">
        <v>116</v>
      </c>
      <c r="E251" s="11" t="s">
        <v>1133</v>
      </c>
      <c r="F251" s="11" t="s">
        <v>2057</v>
      </c>
      <c r="G251" s="11" t="s">
        <v>1721</v>
      </c>
      <c r="H251" s="11" t="s">
        <v>2058</v>
      </c>
      <c r="I251" s="11" t="s">
        <v>2059</v>
      </c>
      <c r="J251" s="11" t="s">
        <v>2060</v>
      </c>
      <c r="K251" s="11" t="s">
        <v>2061</v>
      </c>
      <c r="L251" s="11" t="s">
        <v>2062</v>
      </c>
      <c r="M251" s="11"/>
      <c r="N251" s="14" t="n">
        <v>1</v>
      </c>
      <c r="O251" s="14" t="n">
        <v>2</v>
      </c>
      <c r="P251" s="14" t="n">
        <v>2</v>
      </c>
      <c r="Q251" s="14"/>
      <c r="R251" s="12" t="n">
        <f aca="false">IF(OR(N251="",P251=""),"",ROUND(N251*O251/P251,1))</f>
        <v>1</v>
      </c>
      <c r="S251" s="13" t="n">
        <f aca="false">IF(R251="","",IF(Q251="Y",1,IF(P251&gt;='Read me'!$B$16,3,IF(AND(R251&gt;='Read me'!$B$14,P251&lt;='Read me'!$B$15),1,2))))</f>
        <v>2</v>
      </c>
    </row>
    <row r="252" customFormat="false" ht="35.05" hidden="false" customHeight="false" outlineLevel="0" collapsed="false">
      <c r="A252" s="11" t="s">
        <v>2063</v>
      </c>
      <c r="B252" s="11" t="s">
        <v>33</v>
      </c>
      <c r="C252" s="11" t="s">
        <v>115</v>
      </c>
      <c r="D252" s="11" t="s">
        <v>116</v>
      </c>
      <c r="E252" s="11" t="s">
        <v>1133</v>
      </c>
      <c r="F252" s="11" t="s">
        <v>2064</v>
      </c>
      <c r="G252" s="11" t="s">
        <v>1304</v>
      </c>
      <c r="H252" s="11"/>
      <c r="I252" s="11" t="s">
        <v>2065</v>
      </c>
      <c r="J252" s="11" t="s">
        <v>2066</v>
      </c>
      <c r="K252" s="11" t="s">
        <v>997</v>
      </c>
      <c r="L252" s="11" t="s">
        <v>2067</v>
      </c>
      <c r="M252" s="11" t="s">
        <v>1471</v>
      </c>
      <c r="N252" s="14" t="n">
        <v>3</v>
      </c>
      <c r="O252" s="14" t="n">
        <v>2</v>
      </c>
      <c r="P252" s="14" t="n">
        <v>1</v>
      </c>
      <c r="Q252" s="14"/>
      <c r="R252" s="12" t="n">
        <f aca="false">IF(OR(N252="",P252=""),"",ROUND(N252*O252/P252,1))</f>
        <v>6</v>
      </c>
      <c r="S252" s="13" t="n">
        <f aca="false">IF(R252="","",IF(Q252="Y",1,IF(P252&gt;='Read me'!$B$16,3,IF(AND(R252&gt;='Read me'!$B$14,P252&lt;='Read me'!$B$15),1,2))))</f>
        <v>1</v>
      </c>
    </row>
    <row r="253" customFormat="false" ht="15" hidden="false" customHeight="false" outlineLevel="0" collapsed="false">
      <c r="A253" s="11" t="s">
        <v>2068</v>
      </c>
      <c r="B253" s="11" t="s">
        <v>33</v>
      </c>
      <c r="C253" s="11" t="s">
        <v>115</v>
      </c>
      <c r="D253" s="11" t="s">
        <v>116</v>
      </c>
      <c r="E253" s="11" t="s">
        <v>1133</v>
      </c>
      <c r="F253" s="11" t="s">
        <v>2069</v>
      </c>
      <c r="G253" s="11" t="s">
        <v>1135</v>
      </c>
      <c r="H253" s="11"/>
      <c r="I253" s="11" t="s">
        <v>1136</v>
      </c>
      <c r="J253" s="11" t="s">
        <v>2070</v>
      </c>
      <c r="K253" s="11" t="s">
        <v>1138</v>
      </c>
      <c r="L253" s="11" t="s">
        <v>1139</v>
      </c>
      <c r="M253" s="11"/>
      <c r="N253" s="14" t="n">
        <v>3</v>
      </c>
      <c r="O253" s="14" t="n">
        <v>2</v>
      </c>
      <c r="P253" s="14" t="n">
        <v>1</v>
      </c>
      <c r="Q253" s="14"/>
      <c r="R253" s="12" t="n">
        <f aca="false">IF(OR(N253="",P253=""),"",ROUND(N253*O253/P253,1))</f>
        <v>6</v>
      </c>
      <c r="S253" s="13" t="n">
        <f aca="false">IF(R253="","",IF(Q253="Y",1,IF(P253&gt;='Read me'!$B$16,3,IF(AND(R253&gt;='Read me'!$B$14,P253&lt;='Read me'!$B$15),1,2))))</f>
        <v>1</v>
      </c>
    </row>
    <row r="254" customFormat="false" ht="23.85" hidden="false" customHeight="false" outlineLevel="0" collapsed="false">
      <c r="A254" s="11" t="s">
        <v>2071</v>
      </c>
      <c r="B254" s="11" t="s">
        <v>33</v>
      </c>
      <c r="C254" s="11" t="s">
        <v>115</v>
      </c>
      <c r="D254" s="11" t="s">
        <v>116</v>
      </c>
      <c r="E254" s="11" t="s">
        <v>1133</v>
      </c>
      <c r="F254" s="11" t="s">
        <v>2072</v>
      </c>
      <c r="G254" s="11" t="s">
        <v>1148</v>
      </c>
      <c r="H254" s="11"/>
      <c r="I254" s="11" t="s">
        <v>2073</v>
      </c>
      <c r="J254" s="11" t="s">
        <v>2074</v>
      </c>
      <c r="K254" s="11" t="s">
        <v>1151</v>
      </c>
      <c r="L254" s="11" t="s">
        <v>1152</v>
      </c>
      <c r="M254" s="11" t="s">
        <v>1153</v>
      </c>
      <c r="N254" s="14" t="n">
        <v>1</v>
      </c>
      <c r="O254" s="14" t="n">
        <v>3</v>
      </c>
      <c r="P254" s="14" t="n">
        <v>4</v>
      </c>
      <c r="Q254" s="14"/>
      <c r="R254" s="12" t="n">
        <f aca="false">IF(OR(N254="",P254=""),"",ROUND(N254*O254/P254,1))</f>
        <v>0.8</v>
      </c>
      <c r="S254" s="13" t="n">
        <f aca="false">IF(R254="","",IF(Q254="Y",1,IF(P254&gt;='Read me'!$B$16,3,IF(AND(R254&gt;='Read me'!$B$14,P254&lt;='Read me'!$B$15),1,2))))</f>
        <v>3</v>
      </c>
    </row>
    <row r="255" customFormat="false" ht="35.05" hidden="false" customHeight="false" outlineLevel="0" collapsed="false">
      <c r="A255" s="11" t="s">
        <v>2075</v>
      </c>
      <c r="B255" s="11" t="s">
        <v>33</v>
      </c>
      <c r="C255" s="11" t="s">
        <v>120</v>
      </c>
      <c r="D255" s="11" t="s">
        <v>121</v>
      </c>
      <c r="E255" s="11" t="s">
        <v>476</v>
      </c>
      <c r="F255" s="11" t="s">
        <v>2076</v>
      </c>
      <c r="G255" s="11" t="s">
        <v>2077</v>
      </c>
      <c r="H255" s="11"/>
      <c r="I255" s="11" t="s">
        <v>512</v>
      </c>
      <c r="J255" s="11" t="s">
        <v>2078</v>
      </c>
      <c r="K255" s="11" t="s">
        <v>2079</v>
      </c>
      <c r="L255" s="11" t="s">
        <v>2080</v>
      </c>
      <c r="M255" s="11" t="s">
        <v>516</v>
      </c>
      <c r="N255" s="14" t="n">
        <v>2</v>
      </c>
      <c r="O255" s="14" t="n">
        <v>4</v>
      </c>
      <c r="P255" s="14" t="n">
        <v>2</v>
      </c>
      <c r="Q255" s="14"/>
      <c r="R255" s="12" t="n">
        <f aca="false">IF(OR(N255="",P255=""),"",ROUND(N255*O255/P255,1))</f>
        <v>4</v>
      </c>
      <c r="S255" s="13" t="n">
        <f aca="false">IF(R255="","",IF(Q255="Y",1,IF(P255&gt;='Read me'!$B$16,3,IF(AND(R255&gt;='Read me'!$B$14,P255&lt;='Read me'!$B$15),1,2))))</f>
        <v>2</v>
      </c>
    </row>
    <row r="256" customFormat="false" ht="23.85" hidden="false" customHeight="false" outlineLevel="0" collapsed="false">
      <c r="A256" s="11" t="s">
        <v>2081</v>
      </c>
      <c r="B256" s="11" t="s">
        <v>33</v>
      </c>
      <c r="C256" s="11" t="s">
        <v>120</v>
      </c>
      <c r="D256" s="11" t="s">
        <v>121</v>
      </c>
      <c r="E256" s="11" t="s">
        <v>532</v>
      </c>
      <c r="F256" s="11" t="s">
        <v>2082</v>
      </c>
      <c r="G256" s="11" t="s">
        <v>511</v>
      </c>
      <c r="H256" s="11"/>
      <c r="I256" s="11" t="s">
        <v>2083</v>
      </c>
      <c r="J256" s="11" t="s">
        <v>2084</v>
      </c>
      <c r="K256" s="11" t="s">
        <v>2085</v>
      </c>
      <c r="L256" s="11" t="s">
        <v>2086</v>
      </c>
      <c r="M256" s="11"/>
      <c r="N256" s="14" t="n">
        <v>4</v>
      </c>
      <c r="O256" s="14" t="n">
        <v>4</v>
      </c>
      <c r="P256" s="14" t="n">
        <v>2</v>
      </c>
      <c r="Q256" s="14"/>
      <c r="R256" s="12" t="n">
        <f aca="false">IF(OR(N256="",P256=""),"",ROUND(N256*O256/P256,1))</f>
        <v>8</v>
      </c>
      <c r="S256" s="13" t="n">
        <f aca="false">IF(R256="","",IF(Q256="Y",1,IF(P256&gt;='Read me'!$B$16,3,IF(AND(R256&gt;='Read me'!$B$14,P256&lt;='Read me'!$B$15),1,2))))</f>
        <v>1</v>
      </c>
    </row>
    <row r="257" customFormat="false" ht="23.85" hidden="false" customHeight="false" outlineLevel="0" collapsed="false">
      <c r="A257" s="11" t="s">
        <v>2087</v>
      </c>
      <c r="B257" s="11" t="s">
        <v>33</v>
      </c>
      <c r="C257" s="11" t="s">
        <v>120</v>
      </c>
      <c r="D257" s="11" t="s">
        <v>121</v>
      </c>
      <c r="E257" s="11" t="s">
        <v>626</v>
      </c>
      <c r="F257" s="11" t="s">
        <v>2088</v>
      </c>
      <c r="G257" s="11" t="s">
        <v>2089</v>
      </c>
      <c r="H257" s="11"/>
      <c r="I257" s="11" t="s">
        <v>2090</v>
      </c>
      <c r="J257" s="11" t="s">
        <v>2091</v>
      </c>
      <c r="K257" s="11" t="s">
        <v>529</v>
      </c>
      <c r="L257" s="11" t="s">
        <v>2092</v>
      </c>
      <c r="M257" s="11"/>
      <c r="N257" s="14" t="n">
        <v>2</v>
      </c>
      <c r="O257" s="14" t="n">
        <v>3</v>
      </c>
      <c r="P257" s="14" t="n">
        <v>2</v>
      </c>
      <c r="Q257" s="14"/>
      <c r="R257" s="12" t="n">
        <f aca="false">IF(OR(N257="",P257=""),"",ROUND(N257*O257/P257,1))</f>
        <v>3</v>
      </c>
      <c r="S257" s="13" t="n">
        <f aca="false">IF(R257="","",IF(Q257="Y",1,IF(P257&gt;='Read me'!$B$16,3,IF(AND(R257&gt;='Read me'!$B$14,P257&lt;='Read me'!$B$15),1,2))))</f>
        <v>2</v>
      </c>
    </row>
    <row r="258" customFormat="false" ht="23.85" hidden="false" customHeight="false" outlineLevel="0" collapsed="false">
      <c r="A258" s="11" t="s">
        <v>2093</v>
      </c>
      <c r="B258" s="11" t="s">
        <v>33</v>
      </c>
      <c r="C258" s="11" t="s">
        <v>120</v>
      </c>
      <c r="D258" s="11" t="s">
        <v>121</v>
      </c>
      <c r="E258" s="11" t="s">
        <v>751</v>
      </c>
      <c r="F258" s="11" t="s">
        <v>2094</v>
      </c>
      <c r="G258" s="11" t="s">
        <v>2095</v>
      </c>
      <c r="H258" s="11"/>
      <c r="I258" s="11" t="s">
        <v>2096</v>
      </c>
      <c r="J258" s="11" t="s">
        <v>2097</v>
      </c>
      <c r="K258" s="11" t="s">
        <v>2098</v>
      </c>
      <c r="L258" s="11" t="s">
        <v>2099</v>
      </c>
      <c r="M258" s="11" t="s">
        <v>1577</v>
      </c>
      <c r="N258" s="14" t="n">
        <v>3</v>
      </c>
      <c r="O258" s="14" t="n">
        <v>5</v>
      </c>
      <c r="P258" s="14" t="n">
        <v>3</v>
      </c>
      <c r="Q258" s="14"/>
      <c r="R258" s="12" t="n">
        <f aca="false">IF(OR(N258="",P258=""),"",ROUND(N258*O258/P258,1))</f>
        <v>5</v>
      </c>
      <c r="S258" s="13" t="n">
        <f aca="false">IF(R258="","",IF(Q258="Y",1,IF(P258&gt;='Read me'!$B$16,3,IF(AND(R258&gt;='Read me'!$B$14,P258&lt;='Read me'!$B$15),1,2))))</f>
        <v>2</v>
      </c>
    </row>
    <row r="259" customFormat="false" ht="35.05" hidden="false" customHeight="false" outlineLevel="0" collapsed="false">
      <c r="A259" s="11" t="s">
        <v>2100</v>
      </c>
      <c r="B259" s="11" t="s">
        <v>33</v>
      </c>
      <c r="C259" s="11" t="s">
        <v>120</v>
      </c>
      <c r="D259" s="11" t="s">
        <v>121</v>
      </c>
      <c r="E259" s="11" t="s">
        <v>751</v>
      </c>
      <c r="F259" s="11" t="s">
        <v>2101</v>
      </c>
      <c r="G259" s="11" t="s">
        <v>2102</v>
      </c>
      <c r="H259" s="11" t="s">
        <v>2103</v>
      </c>
      <c r="I259" s="11" t="s">
        <v>2104</v>
      </c>
      <c r="J259" s="11" t="s">
        <v>2105</v>
      </c>
      <c r="K259" s="11" t="s">
        <v>890</v>
      </c>
      <c r="L259" s="11" t="s">
        <v>2106</v>
      </c>
      <c r="M259" s="11"/>
      <c r="N259" s="14" t="n">
        <v>2</v>
      </c>
      <c r="O259" s="14" t="n">
        <v>3</v>
      </c>
      <c r="P259" s="14" t="n">
        <v>3</v>
      </c>
      <c r="Q259" s="14"/>
      <c r="R259" s="12" t="n">
        <f aca="false">IF(OR(N259="",P259=""),"",ROUND(N259*O259/P259,1))</f>
        <v>2</v>
      </c>
      <c r="S259" s="13" t="n">
        <f aca="false">IF(R259="","",IF(Q259="Y",1,IF(P259&gt;='Read me'!$B$16,3,IF(AND(R259&gt;='Read me'!$B$14,P259&lt;='Read me'!$B$15),1,2))))</f>
        <v>2</v>
      </c>
    </row>
    <row r="260" customFormat="false" ht="23.85" hidden="false" customHeight="false" outlineLevel="0" collapsed="false">
      <c r="A260" s="11" t="s">
        <v>2107</v>
      </c>
      <c r="B260" s="11" t="s">
        <v>33</v>
      </c>
      <c r="C260" s="11" t="s">
        <v>120</v>
      </c>
      <c r="D260" s="11" t="s">
        <v>121</v>
      </c>
      <c r="E260" s="11" t="s">
        <v>1187</v>
      </c>
      <c r="F260" s="11" t="s">
        <v>2108</v>
      </c>
      <c r="G260" s="11" t="s">
        <v>2109</v>
      </c>
      <c r="H260" s="11" t="s">
        <v>2110</v>
      </c>
      <c r="I260" s="11" t="s">
        <v>2111</v>
      </c>
      <c r="J260" s="11" t="s">
        <v>2112</v>
      </c>
      <c r="K260" s="11" t="s">
        <v>2113</v>
      </c>
      <c r="L260" s="11" t="s">
        <v>2114</v>
      </c>
      <c r="M260" s="11"/>
      <c r="N260" s="14" t="n">
        <v>1</v>
      </c>
      <c r="O260" s="14" t="n">
        <v>3</v>
      </c>
      <c r="P260" s="14" t="n">
        <v>3</v>
      </c>
      <c r="Q260" s="14"/>
      <c r="R260" s="12" t="n">
        <f aca="false">IF(OR(N260="",P260=""),"",ROUND(N260*O260/P260,1))</f>
        <v>1</v>
      </c>
      <c r="S260" s="13" t="n">
        <f aca="false">IF(R260="","",IF(Q260="Y",1,IF(P260&gt;='Read me'!$B$16,3,IF(AND(R260&gt;='Read me'!$B$14,P260&lt;='Read me'!$B$15),1,2))))</f>
        <v>2</v>
      </c>
    </row>
    <row r="261" customFormat="false" ht="23.85" hidden="false" customHeight="false" outlineLevel="0" collapsed="false">
      <c r="A261" s="11" t="s">
        <v>2115</v>
      </c>
      <c r="B261" s="11" t="s">
        <v>33</v>
      </c>
      <c r="C261" s="11" t="s">
        <v>120</v>
      </c>
      <c r="D261" s="11" t="s">
        <v>121</v>
      </c>
      <c r="E261" s="11" t="s">
        <v>1187</v>
      </c>
      <c r="F261" s="11" t="s">
        <v>2116</v>
      </c>
      <c r="G261" s="11" t="s">
        <v>2117</v>
      </c>
      <c r="H261" s="11" t="s">
        <v>2118</v>
      </c>
      <c r="I261" s="11" t="s">
        <v>2119</v>
      </c>
      <c r="J261" s="11" t="s">
        <v>2120</v>
      </c>
      <c r="K261" s="11" t="s">
        <v>2121</v>
      </c>
      <c r="L261" s="11" t="s">
        <v>2122</v>
      </c>
      <c r="M261" s="11"/>
      <c r="N261" s="14" t="n">
        <v>2</v>
      </c>
      <c r="O261" s="14" t="n">
        <v>3</v>
      </c>
      <c r="P261" s="14" t="n">
        <v>2</v>
      </c>
      <c r="Q261" s="14"/>
      <c r="R261" s="12" t="n">
        <f aca="false">IF(OR(N261="",P261=""),"",ROUND(N261*O261/P261,1))</f>
        <v>3</v>
      </c>
      <c r="S261" s="13" t="n">
        <f aca="false">IF(R261="","",IF(Q261="Y",1,IF(P261&gt;='Read me'!$B$16,3,IF(AND(R261&gt;='Read me'!$B$14,P261&lt;='Read me'!$B$15),1,2))))</f>
        <v>2</v>
      </c>
    </row>
    <row r="262" customFormat="false" ht="23.85" hidden="false" customHeight="false" outlineLevel="0" collapsed="false">
      <c r="A262" s="11" t="s">
        <v>2123</v>
      </c>
      <c r="B262" s="11" t="s">
        <v>33</v>
      </c>
      <c r="C262" s="11" t="s">
        <v>120</v>
      </c>
      <c r="D262" s="11" t="s">
        <v>121</v>
      </c>
      <c r="E262" s="11" t="s">
        <v>1187</v>
      </c>
      <c r="F262" s="11" t="s">
        <v>2124</v>
      </c>
      <c r="G262" s="11" t="s">
        <v>2125</v>
      </c>
      <c r="H262" s="11" t="s">
        <v>2126</v>
      </c>
      <c r="I262" s="11" t="s">
        <v>2127</v>
      </c>
      <c r="J262" s="11" t="s">
        <v>2128</v>
      </c>
      <c r="K262" s="11" t="s">
        <v>2129</v>
      </c>
      <c r="L262" s="11" t="s">
        <v>2130</v>
      </c>
      <c r="M262" s="11"/>
      <c r="N262" s="14" t="n">
        <v>2</v>
      </c>
      <c r="O262" s="14" t="n">
        <v>2</v>
      </c>
      <c r="P262" s="14" t="n">
        <v>2</v>
      </c>
      <c r="Q262" s="14"/>
      <c r="R262" s="12" t="n">
        <f aca="false">IF(OR(N262="",P262=""),"",ROUND(N262*O262/P262,1))</f>
        <v>2</v>
      </c>
      <c r="S262" s="13" t="n">
        <f aca="false">IF(R262="","",IF(Q262="Y",1,IF(P262&gt;='Read me'!$B$16,3,IF(AND(R262&gt;='Read me'!$B$14,P262&lt;='Read me'!$B$15),1,2))))</f>
        <v>2</v>
      </c>
    </row>
    <row r="263" customFormat="false" ht="23.85" hidden="false" customHeight="false" outlineLevel="0" collapsed="false">
      <c r="A263" s="11" t="s">
        <v>2131</v>
      </c>
      <c r="B263" s="11" t="s">
        <v>33</v>
      </c>
      <c r="C263" s="11" t="s">
        <v>120</v>
      </c>
      <c r="D263" s="11" t="s">
        <v>121</v>
      </c>
      <c r="E263" s="11" t="s">
        <v>1372</v>
      </c>
      <c r="F263" s="11" t="s">
        <v>2132</v>
      </c>
      <c r="G263" s="11" t="s">
        <v>2133</v>
      </c>
      <c r="H263" s="11"/>
      <c r="I263" s="11" t="s">
        <v>2134</v>
      </c>
      <c r="J263" s="11" t="s">
        <v>2135</v>
      </c>
      <c r="K263" s="11" t="s">
        <v>2136</v>
      </c>
      <c r="L263" s="11" t="s">
        <v>2137</v>
      </c>
      <c r="M263" s="11"/>
      <c r="N263" s="14" t="n">
        <v>2</v>
      </c>
      <c r="O263" s="14" t="n">
        <v>3</v>
      </c>
      <c r="P263" s="14" t="n">
        <v>1</v>
      </c>
      <c r="Q263" s="14"/>
      <c r="R263" s="12" t="n">
        <f aca="false">IF(OR(N263="",P263=""),"",ROUND(N263*O263/P263,1))</f>
        <v>6</v>
      </c>
      <c r="S263" s="13" t="n">
        <f aca="false">IF(R263="","",IF(Q263="Y",1,IF(P263&gt;='Read me'!$B$16,3,IF(AND(R263&gt;='Read me'!$B$14,P263&lt;='Read me'!$B$15),1,2))))</f>
        <v>1</v>
      </c>
    </row>
    <row r="264" customFormat="false" ht="23.85" hidden="false" customHeight="false" outlineLevel="0" collapsed="false">
      <c r="A264" s="11" t="s">
        <v>2138</v>
      </c>
      <c r="B264" s="11" t="s">
        <v>33</v>
      </c>
      <c r="C264" s="11" t="s">
        <v>120</v>
      </c>
      <c r="D264" s="11" t="s">
        <v>121</v>
      </c>
      <c r="E264" s="11" t="s">
        <v>1372</v>
      </c>
      <c r="F264" s="11" t="s">
        <v>2139</v>
      </c>
      <c r="G264" s="11" t="s">
        <v>2140</v>
      </c>
      <c r="H264" s="11"/>
      <c r="I264" s="11" t="s">
        <v>2141</v>
      </c>
      <c r="J264" s="11" t="s">
        <v>2142</v>
      </c>
      <c r="K264" s="11" t="s">
        <v>2143</v>
      </c>
      <c r="L264" s="11" t="s">
        <v>2144</v>
      </c>
      <c r="M264" s="11"/>
      <c r="N264" s="14" t="n">
        <v>3</v>
      </c>
      <c r="O264" s="14" t="n">
        <v>3</v>
      </c>
      <c r="P264" s="14" t="n">
        <v>1</v>
      </c>
      <c r="Q264" s="14"/>
      <c r="R264" s="12" t="n">
        <f aca="false">IF(OR(N264="",P264=""),"",ROUND(N264*O264/P264,1))</f>
        <v>9</v>
      </c>
      <c r="S264" s="13" t="n">
        <f aca="false">IF(R264="","",IF(Q264="Y",1,IF(P264&gt;='Read me'!$B$16,3,IF(AND(R264&gt;='Read me'!$B$14,P264&lt;='Read me'!$B$15),1,2))))</f>
        <v>1</v>
      </c>
    </row>
    <row r="265" customFormat="false" ht="23.85" hidden="false" customHeight="false" outlineLevel="0" collapsed="false">
      <c r="A265" s="11" t="s">
        <v>2145</v>
      </c>
      <c r="B265" s="11" t="s">
        <v>33</v>
      </c>
      <c r="C265" s="11" t="s">
        <v>120</v>
      </c>
      <c r="D265" s="11" t="s">
        <v>121</v>
      </c>
      <c r="E265" s="11" t="s">
        <v>1372</v>
      </c>
      <c r="F265" s="11" t="s">
        <v>2146</v>
      </c>
      <c r="G265" s="11" t="s">
        <v>2147</v>
      </c>
      <c r="H265" s="11"/>
      <c r="I265" s="11" t="s">
        <v>2148</v>
      </c>
      <c r="J265" s="11" t="s">
        <v>2149</v>
      </c>
      <c r="K265" s="11" t="s">
        <v>2143</v>
      </c>
      <c r="L265" s="11" t="s">
        <v>2150</v>
      </c>
      <c r="M265" s="11"/>
      <c r="N265" s="14" t="n">
        <v>1</v>
      </c>
      <c r="O265" s="14" t="n">
        <v>2</v>
      </c>
      <c r="P265" s="14" t="n">
        <v>1</v>
      </c>
      <c r="Q265" s="14"/>
      <c r="R265" s="12" t="n">
        <f aca="false">IF(OR(N265="",P265=""),"",ROUND(N265*O265/P265,1))</f>
        <v>2</v>
      </c>
      <c r="S265" s="13" t="n">
        <f aca="false">IF(R265="","",IF(Q265="Y",1,IF(P265&gt;='Read me'!$B$16,3,IF(AND(R265&gt;='Read me'!$B$14,P265&lt;='Read me'!$B$15),1,2))))</f>
        <v>2</v>
      </c>
    </row>
    <row r="266" customFormat="false" ht="35.05" hidden="false" customHeight="false" outlineLevel="0" collapsed="false">
      <c r="A266" s="11" t="s">
        <v>2151</v>
      </c>
      <c r="B266" s="11" t="s">
        <v>33</v>
      </c>
      <c r="C266" s="11" t="s">
        <v>120</v>
      </c>
      <c r="D266" s="11" t="s">
        <v>121</v>
      </c>
      <c r="E266" s="11" t="s">
        <v>1372</v>
      </c>
      <c r="F266" s="11" t="s">
        <v>2152</v>
      </c>
      <c r="G266" s="11" t="s">
        <v>2153</v>
      </c>
      <c r="H266" s="11"/>
      <c r="I266" s="11" t="s">
        <v>2154</v>
      </c>
      <c r="J266" s="11" t="s">
        <v>2155</v>
      </c>
      <c r="K266" s="11" t="s">
        <v>2156</v>
      </c>
      <c r="L266" s="11" t="s">
        <v>2157</v>
      </c>
      <c r="M266" s="11"/>
      <c r="N266" s="14" t="n">
        <v>2</v>
      </c>
      <c r="O266" s="14" t="n">
        <v>3</v>
      </c>
      <c r="P266" s="14" t="n">
        <v>2</v>
      </c>
      <c r="Q266" s="14"/>
      <c r="R266" s="12" t="n">
        <f aca="false">IF(OR(N266="",P266=""),"",ROUND(N266*O266/P266,1))</f>
        <v>3</v>
      </c>
      <c r="S266" s="13" t="n">
        <f aca="false">IF(R266="","",IF(Q266="Y",1,IF(P266&gt;='Read me'!$B$16,3,IF(AND(R266&gt;='Read me'!$B$14,P266&lt;='Read me'!$B$15),1,2))))</f>
        <v>2</v>
      </c>
    </row>
    <row r="267" customFormat="false" ht="23.85" hidden="false" customHeight="false" outlineLevel="0" collapsed="false">
      <c r="A267" s="11" t="s">
        <v>2158</v>
      </c>
      <c r="B267" s="11" t="s">
        <v>34</v>
      </c>
      <c r="C267" s="11" t="s">
        <v>124</v>
      </c>
      <c r="D267" s="11" t="s">
        <v>125</v>
      </c>
      <c r="E267" s="11" t="s">
        <v>476</v>
      </c>
      <c r="F267" s="11" t="s">
        <v>2159</v>
      </c>
      <c r="G267" s="11" t="s">
        <v>2160</v>
      </c>
      <c r="H267" s="11"/>
      <c r="I267" s="11" t="s">
        <v>2161</v>
      </c>
      <c r="J267" s="11" t="s">
        <v>2162</v>
      </c>
      <c r="K267" s="11" t="s">
        <v>2163</v>
      </c>
      <c r="L267" s="11" t="s">
        <v>2164</v>
      </c>
      <c r="M267" s="11"/>
      <c r="N267" s="14" t="n">
        <v>3</v>
      </c>
      <c r="O267" s="14" t="n">
        <v>3</v>
      </c>
      <c r="P267" s="14" t="n">
        <v>1</v>
      </c>
      <c r="Q267" s="14"/>
      <c r="R267" s="12" t="n">
        <f aca="false">IF(OR(N267="",P267=""),"",ROUND(N267*O267/P267,1))</f>
        <v>9</v>
      </c>
      <c r="S267" s="13" t="n">
        <f aca="false">IF(R267="","",IF(Q267="Y",1,IF(P267&gt;='Read me'!$B$16,3,IF(AND(R267&gt;='Read me'!$B$14,P267&lt;='Read me'!$B$15),1,2))))</f>
        <v>1</v>
      </c>
    </row>
    <row r="268" customFormat="false" ht="35.05" hidden="false" customHeight="false" outlineLevel="0" collapsed="false">
      <c r="A268" s="11" t="s">
        <v>2165</v>
      </c>
      <c r="B268" s="11" t="s">
        <v>34</v>
      </c>
      <c r="C268" s="11" t="s">
        <v>124</v>
      </c>
      <c r="D268" s="11" t="s">
        <v>125</v>
      </c>
      <c r="E268" s="11" t="s">
        <v>476</v>
      </c>
      <c r="F268" s="11" t="s">
        <v>2166</v>
      </c>
      <c r="G268" s="11" t="s">
        <v>2167</v>
      </c>
      <c r="H268" s="11"/>
      <c r="I268" s="11" t="s">
        <v>512</v>
      </c>
      <c r="J268" s="11" t="s">
        <v>2168</v>
      </c>
      <c r="K268" s="11" t="s">
        <v>2169</v>
      </c>
      <c r="L268" s="11" t="s">
        <v>2170</v>
      </c>
      <c r="M268" s="11" t="s">
        <v>516</v>
      </c>
      <c r="N268" s="14" t="n">
        <v>3</v>
      </c>
      <c r="O268" s="14" t="n">
        <v>4</v>
      </c>
      <c r="P268" s="14" t="n">
        <v>2</v>
      </c>
      <c r="Q268" s="14"/>
      <c r="R268" s="12" t="n">
        <f aca="false">IF(OR(N268="",P268=""),"",ROUND(N268*O268/P268,1))</f>
        <v>6</v>
      </c>
      <c r="S268" s="13" t="n">
        <f aca="false">IF(R268="","",IF(Q268="Y",1,IF(P268&gt;='Read me'!$B$16,3,IF(AND(R268&gt;='Read me'!$B$14,P268&lt;='Read me'!$B$15),1,2))))</f>
        <v>1</v>
      </c>
    </row>
    <row r="269" customFormat="false" ht="35.05" hidden="false" customHeight="false" outlineLevel="0" collapsed="false">
      <c r="A269" s="11" t="s">
        <v>2171</v>
      </c>
      <c r="B269" s="11" t="s">
        <v>34</v>
      </c>
      <c r="C269" s="11" t="s">
        <v>124</v>
      </c>
      <c r="D269" s="11" t="s">
        <v>125</v>
      </c>
      <c r="E269" s="11" t="s">
        <v>532</v>
      </c>
      <c r="F269" s="11" t="s">
        <v>2172</v>
      </c>
      <c r="G269" s="11" t="s">
        <v>1803</v>
      </c>
      <c r="H269" s="11"/>
      <c r="I269" s="11" t="s">
        <v>2173</v>
      </c>
      <c r="J269" s="11" t="s">
        <v>2174</v>
      </c>
      <c r="K269" s="11" t="s">
        <v>2175</v>
      </c>
      <c r="L269" s="11" t="s">
        <v>2176</v>
      </c>
      <c r="M269" s="11"/>
      <c r="N269" s="14" t="n">
        <v>4</v>
      </c>
      <c r="O269" s="14" t="n">
        <v>5</v>
      </c>
      <c r="P269" s="14" t="n">
        <v>3</v>
      </c>
      <c r="Q269" s="14"/>
      <c r="R269" s="12" t="n">
        <f aca="false">IF(OR(N269="",P269=""),"",ROUND(N269*O269/P269,1))</f>
        <v>6.7</v>
      </c>
      <c r="S269" s="13" t="n">
        <f aca="false">IF(R269="","",IF(Q269="Y",1,IF(P269&gt;='Read me'!$B$16,3,IF(AND(R269&gt;='Read me'!$B$14,P269&lt;='Read me'!$B$15),1,2))))</f>
        <v>2</v>
      </c>
    </row>
    <row r="270" customFormat="false" ht="23.85" hidden="false" customHeight="false" outlineLevel="0" collapsed="false">
      <c r="A270" s="11" t="s">
        <v>2177</v>
      </c>
      <c r="B270" s="11" t="s">
        <v>34</v>
      </c>
      <c r="C270" s="11" t="s">
        <v>124</v>
      </c>
      <c r="D270" s="11" t="s">
        <v>125</v>
      </c>
      <c r="E270" s="11" t="s">
        <v>532</v>
      </c>
      <c r="F270" s="11" t="s">
        <v>2172</v>
      </c>
      <c r="G270" s="11" t="s">
        <v>2178</v>
      </c>
      <c r="H270" s="11"/>
      <c r="I270" s="11" t="s">
        <v>2179</v>
      </c>
      <c r="J270" s="11" t="s">
        <v>2180</v>
      </c>
      <c r="K270" s="11" t="s">
        <v>2175</v>
      </c>
      <c r="L270" s="11" t="s">
        <v>2181</v>
      </c>
      <c r="M270" s="11"/>
      <c r="N270" s="14" t="n">
        <v>4</v>
      </c>
      <c r="O270" s="14" t="n">
        <v>5</v>
      </c>
      <c r="P270" s="14" t="n">
        <v>3</v>
      </c>
      <c r="Q270" s="14"/>
      <c r="R270" s="12" t="n">
        <f aca="false">IF(OR(N270="",P270=""),"",ROUND(N270*O270/P270,1))</f>
        <v>6.7</v>
      </c>
      <c r="S270" s="13" t="n">
        <f aca="false">IF(R270="","",IF(Q270="Y",1,IF(P270&gt;='Read me'!$B$16,3,IF(AND(R270&gt;='Read me'!$B$14,P270&lt;='Read me'!$B$15),1,2))))</f>
        <v>2</v>
      </c>
    </row>
    <row r="271" customFormat="false" ht="23.85" hidden="false" customHeight="false" outlineLevel="0" collapsed="false">
      <c r="A271" s="11" t="s">
        <v>2182</v>
      </c>
      <c r="B271" s="11" t="s">
        <v>34</v>
      </c>
      <c r="C271" s="11" t="s">
        <v>124</v>
      </c>
      <c r="D271" s="11" t="s">
        <v>125</v>
      </c>
      <c r="E271" s="11" t="s">
        <v>532</v>
      </c>
      <c r="F271" s="11" t="s">
        <v>726</v>
      </c>
      <c r="G271" s="11" t="s">
        <v>2183</v>
      </c>
      <c r="H271" s="11"/>
      <c r="I271" s="11" t="s">
        <v>2184</v>
      </c>
      <c r="J271" s="11" t="s">
        <v>2185</v>
      </c>
      <c r="K271" s="11" t="s">
        <v>2186</v>
      </c>
      <c r="L271" s="11" t="s">
        <v>2187</v>
      </c>
      <c r="M271" s="11"/>
      <c r="N271" s="14" t="n">
        <v>3</v>
      </c>
      <c r="O271" s="14" t="n">
        <v>5</v>
      </c>
      <c r="P271" s="14" t="n">
        <v>3</v>
      </c>
      <c r="Q271" s="14"/>
      <c r="R271" s="12" t="n">
        <f aca="false">IF(OR(N271="",P271=""),"",ROUND(N271*O271/P271,1))</f>
        <v>5</v>
      </c>
      <c r="S271" s="13" t="n">
        <f aca="false">IF(R271="","",IF(Q271="Y",1,IF(P271&gt;='Read me'!$B$16,3,IF(AND(R271&gt;='Read me'!$B$14,P271&lt;='Read me'!$B$15),1,2))))</f>
        <v>2</v>
      </c>
    </row>
    <row r="272" customFormat="false" ht="35.05" hidden="false" customHeight="false" outlineLevel="0" collapsed="false">
      <c r="A272" s="11" t="s">
        <v>2188</v>
      </c>
      <c r="B272" s="11" t="s">
        <v>34</v>
      </c>
      <c r="C272" s="11" t="s">
        <v>124</v>
      </c>
      <c r="D272" s="11" t="s">
        <v>125</v>
      </c>
      <c r="E272" s="11" t="s">
        <v>532</v>
      </c>
      <c r="F272" s="11" t="s">
        <v>726</v>
      </c>
      <c r="G272" s="11" t="s">
        <v>2189</v>
      </c>
      <c r="H272" s="11"/>
      <c r="I272" s="11" t="s">
        <v>2190</v>
      </c>
      <c r="J272" s="11" t="s">
        <v>2191</v>
      </c>
      <c r="K272" s="11" t="s">
        <v>2192</v>
      </c>
      <c r="L272" s="11" t="s">
        <v>2193</v>
      </c>
      <c r="M272" s="11"/>
      <c r="N272" s="14" t="n">
        <v>2</v>
      </c>
      <c r="O272" s="14" t="n">
        <v>5</v>
      </c>
      <c r="P272" s="14" t="n">
        <v>3</v>
      </c>
      <c r="Q272" s="14"/>
      <c r="R272" s="12" t="n">
        <f aca="false">IF(OR(N272="",P272=""),"",ROUND(N272*O272/P272,1))</f>
        <v>3.3</v>
      </c>
      <c r="S272" s="13" t="n">
        <f aca="false">IF(R272="","",IF(Q272="Y",1,IF(P272&gt;='Read me'!$B$16,3,IF(AND(R272&gt;='Read me'!$B$14,P272&lt;='Read me'!$B$15),1,2))))</f>
        <v>2</v>
      </c>
    </row>
    <row r="273" customFormat="false" ht="23.85" hidden="false" customHeight="false" outlineLevel="0" collapsed="false">
      <c r="A273" s="11" t="s">
        <v>2194</v>
      </c>
      <c r="B273" s="11" t="s">
        <v>34</v>
      </c>
      <c r="C273" s="11" t="s">
        <v>124</v>
      </c>
      <c r="D273" s="11" t="s">
        <v>125</v>
      </c>
      <c r="E273" s="11" t="s">
        <v>532</v>
      </c>
      <c r="F273" s="11" t="s">
        <v>2172</v>
      </c>
      <c r="G273" s="11" t="s">
        <v>1634</v>
      </c>
      <c r="H273" s="11"/>
      <c r="I273" s="11" t="s">
        <v>2195</v>
      </c>
      <c r="J273" s="11" t="s">
        <v>2196</v>
      </c>
      <c r="K273" s="11" t="s">
        <v>2197</v>
      </c>
      <c r="L273" s="11" t="s">
        <v>2198</v>
      </c>
      <c r="M273" s="11"/>
      <c r="N273" s="14" t="n">
        <v>2</v>
      </c>
      <c r="O273" s="14" t="n">
        <v>4</v>
      </c>
      <c r="P273" s="14" t="n">
        <v>3</v>
      </c>
      <c r="Q273" s="14"/>
      <c r="R273" s="12" t="n">
        <f aca="false">IF(OR(N273="",P273=""),"",ROUND(N273*O273/P273,1))</f>
        <v>2.7</v>
      </c>
      <c r="S273" s="13" t="n">
        <f aca="false">IF(R273="","",IF(Q273="Y",1,IF(P273&gt;='Read me'!$B$16,3,IF(AND(R273&gt;='Read me'!$B$14,P273&lt;='Read me'!$B$15),1,2))))</f>
        <v>2</v>
      </c>
    </row>
    <row r="274" customFormat="false" ht="46.25" hidden="false" customHeight="false" outlineLevel="0" collapsed="false">
      <c r="A274" s="11" t="s">
        <v>2199</v>
      </c>
      <c r="B274" s="11" t="s">
        <v>34</v>
      </c>
      <c r="C274" s="11" t="s">
        <v>124</v>
      </c>
      <c r="D274" s="11" t="s">
        <v>125</v>
      </c>
      <c r="E274" s="11" t="s">
        <v>532</v>
      </c>
      <c r="F274" s="11" t="s">
        <v>2172</v>
      </c>
      <c r="G274" s="11" t="s">
        <v>1473</v>
      </c>
      <c r="H274" s="11"/>
      <c r="I274" s="11" t="s">
        <v>2200</v>
      </c>
      <c r="J274" s="11" t="s">
        <v>2201</v>
      </c>
      <c r="K274" s="11" t="s">
        <v>2202</v>
      </c>
      <c r="L274" s="11" t="s">
        <v>2203</v>
      </c>
      <c r="M274" s="11" t="s">
        <v>2204</v>
      </c>
      <c r="N274" s="14" t="n">
        <v>2</v>
      </c>
      <c r="O274" s="14" t="n">
        <v>4</v>
      </c>
      <c r="P274" s="14" t="n">
        <v>4</v>
      </c>
      <c r="Q274" s="14"/>
      <c r="R274" s="12" t="n">
        <f aca="false">IF(OR(N274="",P274=""),"",ROUND(N274*O274/P274,1))</f>
        <v>2</v>
      </c>
      <c r="S274" s="13" t="n">
        <f aca="false">IF(R274="","",IF(Q274="Y",1,IF(P274&gt;='Read me'!$B$16,3,IF(AND(R274&gt;='Read me'!$B$14,P274&lt;='Read me'!$B$15),1,2))))</f>
        <v>3</v>
      </c>
    </row>
    <row r="275" customFormat="false" ht="35.05" hidden="false" customHeight="false" outlineLevel="0" collapsed="false">
      <c r="A275" s="11" t="s">
        <v>2205</v>
      </c>
      <c r="B275" s="11" t="s">
        <v>34</v>
      </c>
      <c r="C275" s="11" t="s">
        <v>124</v>
      </c>
      <c r="D275" s="11" t="s">
        <v>125</v>
      </c>
      <c r="E275" s="11" t="s">
        <v>532</v>
      </c>
      <c r="F275" s="11" t="s">
        <v>2172</v>
      </c>
      <c r="G275" s="11" t="s">
        <v>2206</v>
      </c>
      <c r="H275" s="11"/>
      <c r="I275" s="11" t="s">
        <v>2207</v>
      </c>
      <c r="J275" s="11" t="s">
        <v>2208</v>
      </c>
      <c r="K275" s="11" t="s">
        <v>675</v>
      </c>
      <c r="L275" s="11" t="s">
        <v>2209</v>
      </c>
      <c r="M275" s="11"/>
      <c r="N275" s="14" t="n">
        <v>1</v>
      </c>
      <c r="O275" s="14" t="n">
        <v>4</v>
      </c>
      <c r="P275" s="14" t="n">
        <v>5</v>
      </c>
      <c r="Q275" s="14"/>
      <c r="R275" s="12" t="n">
        <f aca="false">IF(OR(N275="",P275=""),"",ROUND(N275*O275/P275,1))</f>
        <v>0.8</v>
      </c>
      <c r="S275" s="13" t="n">
        <f aca="false">IF(R275="","",IF(Q275="Y",1,IF(P275&gt;='Read me'!$B$16,3,IF(AND(R275&gt;='Read me'!$B$14,P275&lt;='Read me'!$B$15),1,2))))</f>
        <v>3</v>
      </c>
    </row>
    <row r="276" customFormat="false" ht="35.05" hidden="false" customHeight="false" outlineLevel="0" collapsed="false">
      <c r="A276" s="11" t="s">
        <v>2210</v>
      </c>
      <c r="B276" s="11" t="s">
        <v>34</v>
      </c>
      <c r="C276" s="11" t="s">
        <v>124</v>
      </c>
      <c r="D276" s="11" t="s">
        <v>125</v>
      </c>
      <c r="E276" s="11" t="s">
        <v>532</v>
      </c>
      <c r="F276" s="11" t="s">
        <v>2172</v>
      </c>
      <c r="G276" s="11" t="s">
        <v>2211</v>
      </c>
      <c r="H276" s="11"/>
      <c r="I276" s="11" t="s">
        <v>2212</v>
      </c>
      <c r="J276" s="11" t="s">
        <v>2213</v>
      </c>
      <c r="K276" s="11" t="s">
        <v>2214</v>
      </c>
      <c r="L276" s="11" t="s">
        <v>2215</v>
      </c>
      <c r="M276" s="11" t="s">
        <v>2216</v>
      </c>
      <c r="N276" s="14" t="n">
        <v>2</v>
      </c>
      <c r="O276" s="14" t="n">
        <v>3</v>
      </c>
      <c r="P276" s="14" t="n">
        <v>2</v>
      </c>
      <c r="Q276" s="14"/>
      <c r="R276" s="12" t="n">
        <f aca="false">IF(OR(N276="",P276=""),"",ROUND(N276*O276/P276,1))</f>
        <v>3</v>
      </c>
      <c r="S276" s="13" t="n">
        <f aca="false">IF(R276="","",IF(Q276="Y",1,IF(P276&gt;='Read me'!$B$16,3,IF(AND(R276&gt;='Read me'!$B$14,P276&lt;='Read me'!$B$15),1,2))))</f>
        <v>2</v>
      </c>
    </row>
    <row r="277" customFormat="false" ht="23.85" hidden="false" customHeight="false" outlineLevel="0" collapsed="false">
      <c r="A277" s="11" t="s">
        <v>2217</v>
      </c>
      <c r="B277" s="11" t="s">
        <v>34</v>
      </c>
      <c r="C277" s="11" t="s">
        <v>124</v>
      </c>
      <c r="D277" s="11" t="s">
        <v>125</v>
      </c>
      <c r="E277" s="11" t="s">
        <v>532</v>
      </c>
      <c r="F277" s="11" t="s">
        <v>2172</v>
      </c>
      <c r="G277" s="11" t="s">
        <v>2218</v>
      </c>
      <c r="H277" s="11" t="s">
        <v>2219</v>
      </c>
      <c r="I277" s="11" t="s">
        <v>2220</v>
      </c>
      <c r="J277" s="11" t="s">
        <v>2221</v>
      </c>
      <c r="K277" s="11" t="s">
        <v>2222</v>
      </c>
      <c r="L277" s="11" t="s">
        <v>2223</v>
      </c>
      <c r="M277" s="11"/>
      <c r="N277" s="14" t="n">
        <v>3</v>
      </c>
      <c r="O277" s="14" t="n">
        <v>2</v>
      </c>
      <c r="P277" s="14" t="n">
        <v>1</v>
      </c>
      <c r="Q277" s="14"/>
      <c r="R277" s="12" t="n">
        <f aca="false">IF(OR(N277="",P277=""),"",ROUND(N277*O277/P277,1))</f>
        <v>6</v>
      </c>
      <c r="S277" s="13" t="n">
        <f aca="false">IF(R277="","",IF(Q277="Y",1,IF(P277&gt;='Read me'!$B$16,3,IF(AND(R277&gt;='Read me'!$B$14,P277&lt;='Read me'!$B$15),1,2))))</f>
        <v>1</v>
      </c>
    </row>
    <row r="278" customFormat="false" ht="23.85" hidden="false" customHeight="false" outlineLevel="0" collapsed="false">
      <c r="A278" s="11" t="s">
        <v>2224</v>
      </c>
      <c r="B278" s="11" t="s">
        <v>34</v>
      </c>
      <c r="C278" s="11" t="s">
        <v>124</v>
      </c>
      <c r="D278" s="11" t="s">
        <v>125</v>
      </c>
      <c r="E278" s="11" t="s">
        <v>532</v>
      </c>
      <c r="F278" s="11" t="s">
        <v>2172</v>
      </c>
      <c r="G278" s="11" t="s">
        <v>2225</v>
      </c>
      <c r="H278" s="11" t="s">
        <v>2226</v>
      </c>
      <c r="I278" s="11" t="s">
        <v>2227</v>
      </c>
      <c r="J278" s="11" t="s">
        <v>2228</v>
      </c>
      <c r="K278" s="11" t="s">
        <v>2229</v>
      </c>
      <c r="L278" s="11" t="s">
        <v>2230</v>
      </c>
      <c r="M278" s="11"/>
      <c r="N278" s="14" t="n">
        <v>2</v>
      </c>
      <c r="O278" s="14" t="n">
        <v>3</v>
      </c>
      <c r="P278" s="14" t="n">
        <v>3</v>
      </c>
      <c r="Q278" s="14"/>
      <c r="R278" s="12" t="n">
        <f aca="false">IF(OR(N278="",P278=""),"",ROUND(N278*O278/P278,1))</f>
        <v>2</v>
      </c>
      <c r="S278" s="13" t="n">
        <f aca="false">IF(R278="","",IF(Q278="Y",1,IF(P278&gt;='Read me'!$B$16,3,IF(AND(R278&gt;='Read me'!$B$14,P278&lt;='Read me'!$B$15),1,2))))</f>
        <v>2</v>
      </c>
    </row>
    <row r="279" customFormat="false" ht="23.85" hidden="false" customHeight="false" outlineLevel="0" collapsed="false">
      <c r="A279" s="11" t="s">
        <v>2231</v>
      </c>
      <c r="B279" s="11" t="s">
        <v>34</v>
      </c>
      <c r="C279" s="11" t="s">
        <v>124</v>
      </c>
      <c r="D279" s="11" t="s">
        <v>125</v>
      </c>
      <c r="E279" s="11" t="s">
        <v>626</v>
      </c>
      <c r="F279" s="11" t="s">
        <v>2232</v>
      </c>
      <c r="G279" s="11" t="s">
        <v>2233</v>
      </c>
      <c r="H279" s="11"/>
      <c r="I279" s="11" t="s">
        <v>2234</v>
      </c>
      <c r="J279" s="11" t="s">
        <v>2235</v>
      </c>
      <c r="K279" s="11" t="s">
        <v>2236</v>
      </c>
      <c r="L279" s="11" t="s">
        <v>2237</v>
      </c>
      <c r="M279" s="11"/>
      <c r="N279" s="14" t="n">
        <v>3</v>
      </c>
      <c r="O279" s="14" t="n">
        <v>4</v>
      </c>
      <c r="P279" s="14" t="n">
        <v>2</v>
      </c>
      <c r="Q279" s="14"/>
      <c r="R279" s="12" t="n">
        <f aca="false">IF(OR(N279="",P279=""),"",ROUND(N279*O279/P279,1))</f>
        <v>6</v>
      </c>
      <c r="S279" s="13" t="n">
        <f aca="false">IF(R279="","",IF(Q279="Y",1,IF(P279&gt;='Read me'!$B$16,3,IF(AND(R279&gt;='Read me'!$B$14,P279&lt;='Read me'!$B$15),1,2))))</f>
        <v>1</v>
      </c>
    </row>
    <row r="280" customFormat="false" ht="23.85" hidden="false" customHeight="false" outlineLevel="0" collapsed="false">
      <c r="A280" s="11" t="s">
        <v>2238</v>
      </c>
      <c r="B280" s="11" t="s">
        <v>34</v>
      </c>
      <c r="C280" s="11" t="s">
        <v>124</v>
      </c>
      <c r="D280" s="11" t="s">
        <v>125</v>
      </c>
      <c r="E280" s="11" t="s">
        <v>751</v>
      </c>
      <c r="F280" s="11" t="s">
        <v>2239</v>
      </c>
      <c r="G280" s="11" t="s">
        <v>2240</v>
      </c>
      <c r="H280" s="11"/>
      <c r="I280" s="11" t="s">
        <v>2241</v>
      </c>
      <c r="J280" s="11" t="s">
        <v>2242</v>
      </c>
      <c r="K280" s="11" t="s">
        <v>2243</v>
      </c>
      <c r="L280" s="11" t="s">
        <v>2244</v>
      </c>
      <c r="M280" s="11"/>
      <c r="N280" s="14" t="n">
        <v>4</v>
      </c>
      <c r="O280" s="14" t="n">
        <v>5</v>
      </c>
      <c r="P280" s="14" t="n">
        <v>3</v>
      </c>
      <c r="Q280" s="14"/>
      <c r="R280" s="12" t="n">
        <f aca="false">IF(OR(N280="",P280=""),"",ROUND(N280*O280/P280,1))</f>
        <v>6.7</v>
      </c>
      <c r="S280" s="13" t="n">
        <f aca="false">IF(R280="","",IF(Q280="Y",1,IF(P280&gt;='Read me'!$B$16,3,IF(AND(R280&gt;='Read me'!$B$14,P280&lt;='Read me'!$B$15),1,2))))</f>
        <v>2</v>
      </c>
    </row>
    <row r="281" customFormat="false" ht="23.85" hidden="false" customHeight="false" outlineLevel="0" collapsed="false">
      <c r="A281" s="11" t="s">
        <v>2245</v>
      </c>
      <c r="B281" s="11" t="s">
        <v>34</v>
      </c>
      <c r="C281" s="11" t="s">
        <v>124</v>
      </c>
      <c r="D281" s="11" t="s">
        <v>125</v>
      </c>
      <c r="E281" s="11" t="s">
        <v>751</v>
      </c>
      <c r="F281" s="11" t="s">
        <v>2239</v>
      </c>
      <c r="G281" s="11" t="s">
        <v>2246</v>
      </c>
      <c r="H281" s="11" t="s">
        <v>2247</v>
      </c>
      <c r="I281" s="11" t="s">
        <v>2241</v>
      </c>
      <c r="J281" s="11" t="s">
        <v>2248</v>
      </c>
      <c r="K281" s="11" t="s">
        <v>2249</v>
      </c>
      <c r="L281" s="11" t="s">
        <v>2250</v>
      </c>
      <c r="M281" s="11"/>
      <c r="N281" s="14" t="n">
        <v>3</v>
      </c>
      <c r="O281" s="14" t="n">
        <v>3</v>
      </c>
      <c r="P281" s="14" t="n">
        <v>2</v>
      </c>
      <c r="Q281" s="14"/>
      <c r="R281" s="12" t="n">
        <f aca="false">IF(OR(N281="",P281=""),"",ROUND(N281*O281/P281,1))</f>
        <v>4.5</v>
      </c>
      <c r="S281" s="13" t="n">
        <f aca="false">IF(R281="","",IF(Q281="Y",1,IF(P281&gt;='Read me'!$B$16,3,IF(AND(R281&gt;='Read me'!$B$14,P281&lt;='Read me'!$B$15),1,2))))</f>
        <v>2</v>
      </c>
    </row>
    <row r="282" customFormat="false" ht="23.85" hidden="false" customHeight="false" outlineLevel="0" collapsed="false">
      <c r="A282" s="11" t="s">
        <v>2251</v>
      </c>
      <c r="B282" s="11" t="s">
        <v>34</v>
      </c>
      <c r="C282" s="11" t="s">
        <v>124</v>
      </c>
      <c r="D282" s="11" t="s">
        <v>125</v>
      </c>
      <c r="E282" s="11" t="s">
        <v>751</v>
      </c>
      <c r="F282" s="11" t="s">
        <v>2252</v>
      </c>
      <c r="G282" s="11" t="s">
        <v>2253</v>
      </c>
      <c r="H282" s="11"/>
      <c r="I282" s="11" t="s">
        <v>1251</v>
      </c>
      <c r="J282" s="11" t="s">
        <v>2254</v>
      </c>
      <c r="K282" s="11" t="s">
        <v>1254</v>
      </c>
      <c r="L282" s="11" t="s">
        <v>2255</v>
      </c>
      <c r="M282" s="11" t="s">
        <v>1577</v>
      </c>
      <c r="N282" s="14" t="n">
        <v>3</v>
      </c>
      <c r="O282" s="14" t="n">
        <v>4</v>
      </c>
      <c r="P282" s="14" t="n">
        <v>3</v>
      </c>
      <c r="Q282" s="14"/>
      <c r="R282" s="12" t="n">
        <f aca="false">IF(OR(N282="",P282=""),"",ROUND(N282*O282/P282,1))</f>
        <v>4</v>
      </c>
      <c r="S282" s="13" t="n">
        <f aca="false">IF(R282="","",IF(Q282="Y",1,IF(P282&gt;='Read me'!$B$16,3,IF(AND(R282&gt;='Read me'!$B$14,P282&lt;='Read me'!$B$15),1,2))))</f>
        <v>2</v>
      </c>
    </row>
    <row r="283" customFormat="false" ht="23.85" hidden="false" customHeight="false" outlineLevel="0" collapsed="false">
      <c r="A283" s="11" t="s">
        <v>2256</v>
      </c>
      <c r="B283" s="11" t="s">
        <v>34</v>
      </c>
      <c r="C283" s="11" t="s">
        <v>124</v>
      </c>
      <c r="D283" s="11" t="s">
        <v>125</v>
      </c>
      <c r="E283" s="11" t="s">
        <v>751</v>
      </c>
      <c r="F283" s="11" t="s">
        <v>2172</v>
      </c>
      <c r="G283" s="11" t="s">
        <v>2257</v>
      </c>
      <c r="H283" s="11" t="s">
        <v>2258</v>
      </c>
      <c r="I283" s="11" t="s">
        <v>2259</v>
      </c>
      <c r="J283" s="11" t="s">
        <v>2260</v>
      </c>
      <c r="K283" s="11" t="s">
        <v>2261</v>
      </c>
      <c r="L283" s="11" t="s">
        <v>2262</v>
      </c>
      <c r="M283" s="11"/>
      <c r="N283" s="14" t="n">
        <v>2</v>
      </c>
      <c r="O283" s="14" t="n">
        <v>3</v>
      </c>
      <c r="P283" s="14" t="n">
        <v>3</v>
      </c>
      <c r="Q283" s="14"/>
      <c r="R283" s="12" t="n">
        <f aca="false">IF(OR(N283="",P283=""),"",ROUND(N283*O283/P283,1))</f>
        <v>2</v>
      </c>
      <c r="S283" s="13" t="n">
        <f aca="false">IF(R283="","",IF(Q283="Y",1,IF(P283&gt;='Read me'!$B$16,3,IF(AND(R283&gt;='Read me'!$B$14,P283&lt;='Read me'!$B$15),1,2))))</f>
        <v>2</v>
      </c>
    </row>
    <row r="284" customFormat="false" ht="23.85" hidden="false" customHeight="false" outlineLevel="0" collapsed="false">
      <c r="A284" s="11" t="s">
        <v>2263</v>
      </c>
      <c r="B284" s="11" t="s">
        <v>34</v>
      </c>
      <c r="C284" s="11" t="s">
        <v>124</v>
      </c>
      <c r="D284" s="11" t="s">
        <v>125</v>
      </c>
      <c r="E284" s="11" t="s">
        <v>765</v>
      </c>
      <c r="F284" s="11" t="s">
        <v>2264</v>
      </c>
      <c r="G284" s="11" t="s">
        <v>1944</v>
      </c>
      <c r="H284" s="11"/>
      <c r="I284" s="11" t="s">
        <v>512</v>
      </c>
      <c r="J284" s="11" t="s">
        <v>2265</v>
      </c>
      <c r="K284" s="11" t="s">
        <v>2266</v>
      </c>
      <c r="L284" s="11" t="s">
        <v>2267</v>
      </c>
      <c r="M284" s="11"/>
      <c r="N284" s="14" t="n">
        <v>4</v>
      </c>
      <c r="O284" s="14" t="n">
        <v>4</v>
      </c>
      <c r="P284" s="14" t="n">
        <v>3</v>
      </c>
      <c r="Q284" s="14"/>
      <c r="R284" s="12" t="n">
        <f aca="false">IF(OR(N284="",P284=""),"",ROUND(N284*O284/P284,1))</f>
        <v>5.3</v>
      </c>
      <c r="S284" s="13" t="n">
        <f aca="false">IF(R284="","",IF(Q284="Y",1,IF(P284&gt;='Read me'!$B$16,3,IF(AND(R284&gt;='Read me'!$B$14,P284&lt;='Read me'!$B$15),1,2))))</f>
        <v>2</v>
      </c>
    </row>
    <row r="285" customFormat="false" ht="35.05" hidden="false" customHeight="false" outlineLevel="0" collapsed="false">
      <c r="A285" s="11" t="s">
        <v>2268</v>
      </c>
      <c r="B285" s="11" t="s">
        <v>34</v>
      </c>
      <c r="C285" s="11" t="s">
        <v>124</v>
      </c>
      <c r="D285" s="11" t="s">
        <v>125</v>
      </c>
      <c r="E285" s="11" t="s">
        <v>765</v>
      </c>
      <c r="F285" s="11" t="s">
        <v>2269</v>
      </c>
      <c r="G285" s="11" t="s">
        <v>2270</v>
      </c>
      <c r="H285" s="11"/>
      <c r="I285" s="11" t="s">
        <v>512</v>
      </c>
      <c r="J285" s="11" t="s">
        <v>2271</v>
      </c>
      <c r="K285" s="11" t="s">
        <v>2272</v>
      </c>
      <c r="L285" s="11" t="s">
        <v>2273</v>
      </c>
      <c r="M285" s="11"/>
      <c r="N285" s="14" t="n">
        <v>5</v>
      </c>
      <c r="O285" s="14" t="n">
        <v>5</v>
      </c>
      <c r="P285" s="14" t="n">
        <v>3</v>
      </c>
      <c r="Q285" s="14"/>
      <c r="R285" s="12" t="n">
        <f aca="false">IF(OR(N285="",P285=""),"",ROUND(N285*O285/P285,1))</f>
        <v>8.3</v>
      </c>
      <c r="S285" s="13" t="n">
        <f aca="false">IF(R285="","",IF(Q285="Y",1,IF(P285&gt;='Read me'!$B$16,3,IF(AND(R285&gt;='Read me'!$B$14,P285&lt;='Read me'!$B$15),1,2))))</f>
        <v>2</v>
      </c>
    </row>
    <row r="286" customFormat="false" ht="23.85" hidden="false" customHeight="false" outlineLevel="0" collapsed="false">
      <c r="A286" s="11" t="s">
        <v>2274</v>
      </c>
      <c r="B286" s="11" t="s">
        <v>34</v>
      </c>
      <c r="C286" s="11" t="s">
        <v>124</v>
      </c>
      <c r="D286" s="11" t="s">
        <v>125</v>
      </c>
      <c r="E286" s="11" t="s">
        <v>765</v>
      </c>
      <c r="F286" s="11" t="s">
        <v>2275</v>
      </c>
      <c r="G286" s="11" t="s">
        <v>2276</v>
      </c>
      <c r="H286" s="11"/>
      <c r="I286" s="11" t="s">
        <v>2277</v>
      </c>
      <c r="J286" s="11" t="s">
        <v>2278</v>
      </c>
      <c r="K286" s="11" t="s">
        <v>2279</v>
      </c>
      <c r="L286" s="11" t="s">
        <v>2280</v>
      </c>
      <c r="M286" s="11"/>
      <c r="N286" s="14" t="n">
        <v>3</v>
      </c>
      <c r="O286" s="14" t="n">
        <v>3</v>
      </c>
      <c r="P286" s="14" t="n">
        <v>3</v>
      </c>
      <c r="Q286" s="14"/>
      <c r="R286" s="12" t="n">
        <f aca="false">IF(OR(N286="",P286=""),"",ROUND(N286*O286/P286,1))</f>
        <v>3</v>
      </c>
      <c r="S286" s="13" t="n">
        <f aca="false">IF(R286="","",IF(Q286="Y",1,IF(P286&gt;='Read me'!$B$16,3,IF(AND(R286&gt;='Read me'!$B$14,P286&lt;='Read me'!$B$15),1,2))))</f>
        <v>2</v>
      </c>
    </row>
    <row r="287" customFormat="false" ht="23.85" hidden="false" customHeight="false" outlineLevel="0" collapsed="false">
      <c r="A287" s="11" t="s">
        <v>2281</v>
      </c>
      <c r="B287" s="11" t="s">
        <v>34</v>
      </c>
      <c r="C287" s="11" t="s">
        <v>124</v>
      </c>
      <c r="D287" s="11" t="s">
        <v>125</v>
      </c>
      <c r="E287" s="11" t="s">
        <v>765</v>
      </c>
      <c r="F287" s="11" t="s">
        <v>2282</v>
      </c>
      <c r="G287" s="11" t="s">
        <v>822</v>
      </c>
      <c r="H287" s="11"/>
      <c r="I287" s="11" t="s">
        <v>2283</v>
      </c>
      <c r="J287" s="11" t="s">
        <v>2284</v>
      </c>
      <c r="K287" s="11" t="s">
        <v>1609</v>
      </c>
      <c r="L287" s="11" t="s">
        <v>2285</v>
      </c>
      <c r="M287" s="11"/>
      <c r="N287" s="14" t="n">
        <v>2</v>
      </c>
      <c r="O287" s="14" t="n">
        <v>3</v>
      </c>
      <c r="P287" s="14" t="n">
        <v>3</v>
      </c>
      <c r="Q287" s="14"/>
      <c r="R287" s="12" t="n">
        <f aca="false">IF(OR(N287="",P287=""),"",ROUND(N287*O287/P287,1))</f>
        <v>2</v>
      </c>
      <c r="S287" s="13" t="n">
        <f aca="false">IF(R287="","",IF(Q287="Y",1,IF(P287&gt;='Read me'!$B$16,3,IF(AND(R287&gt;='Read me'!$B$14,P287&lt;='Read me'!$B$15),1,2))))</f>
        <v>2</v>
      </c>
    </row>
    <row r="288" customFormat="false" ht="23.85" hidden="false" customHeight="false" outlineLevel="0" collapsed="false">
      <c r="A288" s="11" t="s">
        <v>2286</v>
      </c>
      <c r="B288" s="11" t="s">
        <v>34</v>
      </c>
      <c r="C288" s="11" t="s">
        <v>124</v>
      </c>
      <c r="D288" s="11" t="s">
        <v>125</v>
      </c>
      <c r="E288" s="11" t="s">
        <v>1081</v>
      </c>
      <c r="F288" s="11" t="s">
        <v>2287</v>
      </c>
      <c r="G288" s="11" t="s">
        <v>1118</v>
      </c>
      <c r="H288" s="11"/>
      <c r="I288" s="11" t="s">
        <v>2288</v>
      </c>
      <c r="J288" s="11" t="s">
        <v>2289</v>
      </c>
      <c r="K288" s="11" t="s">
        <v>2272</v>
      </c>
      <c r="L288" s="11" t="s">
        <v>2290</v>
      </c>
      <c r="M288" s="11"/>
      <c r="N288" s="14" t="n">
        <v>4</v>
      </c>
      <c r="O288" s="14" t="n">
        <v>4</v>
      </c>
      <c r="P288" s="14" t="n">
        <v>2</v>
      </c>
      <c r="Q288" s="14"/>
      <c r="R288" s="12" t="n">
        <f aca="false">IF(OR(N288="",P288=""),"",ROUND(N288*O288/P288,1))</f>
        <v>8</v>
      </c>
      <c r="S288" s="13" t="n">
        <f aca="false">IF(R288="","",IF(Q288="Y",1,IF(P288&gt;='Read me'!$B$16,3,IF(AND(R288&gt;='Read me'!$B$14,P288&lt;='Read me'!$B$15),1,2))))</f>
        <v>1</v>
      </c>
    </row>
    <row r="289" customFormat="false" ht="23.85" hidden="false" customHeight="false" outlineLevel="0" collapsed="false">
      <c r="A289" s="11" t="s">
        <v>2291</v>
      </c>
      <c r="B289" s="11" t="s">
        <v>34</v>
      </c>
      <c r="C289" s="11" t="s">
        <v>124</v>
      </c>
      <c r="D289" s="11" t="s">
        <v>125</v>
      </c>
      <c r="E289" s="11" t="s">
        <v>1081</v>
      </c>
      <c r="F289" s="11" t="s">
        <v>2292</v>
      </c>
      <c r="G289" s="11" t="s">
        <v>2293</v>
      </c>
      <c r="H289" s="11"/>
      <c r="I289" s="11" t="s">
        <v>512</v>
      </c>
      <c r="J289" s="11" t="s">
        <v>2294</v>
      </c>
      <c r="K289" s="11" t="s">
        <v>2295</v>
      </c>
      <c r="L289" s="11" t="s">
        <v>2296</v>
      </c>
      <c r="M289" s="11"/>
      <c r="N289" s="14" t="n">
        <v>3</v>
      </c>
      <c r="O289" s="14" t="n">
        <v>3</v>
      </c>
      <c r="P289" s="14" t="n">
        <v>2</v>
      </c>
      <c r="Q289" s="14"/>
      <c r="R289" s="12" t="n">
        <f aca="false">IF(OR(N289="",P289=""),"",ROUND(N289*O289/P289,1))</f>
        <v>4.5</v>
      </c>
      <c r="S289" s="13" t="n">
        <f aca="false">IF(R289="","",IF(Q289="Y",1,IF(P289&gt;='Read me'!$B$16,3,IF(AND(R289&gt;='Read me'!$B$14,P289&lt;='Read me'!$B$15),1,2))))</f>
        <v>2</v>
      </c>
    </row>
    <row r="290" customFormat="false" ht="23.85" hidden="false" customHeight="false" outlineLevel="0" collapsed="false">
      <c r="A290" s="11" t="s">
        <v>2297</v>
      </c>
      <c r="B290" s="11" t="s">
        <v>34</v>
      </c>
      <c r="C290" s="11" t="s">
        <v>124</v>
      </c>
      <c r="D290" s="11" t="s">
        <v>125</v>
      </c>
      <c r="E290" s="11" t="s">
        <v>1133</v>
      </c>
      <c r="F290" s="11" t="s">
        <v>2298</v>
      </c>
      <c r="G290" s="11" t="s">
        <v>1135</v>
      </c>
      <c r="H290" s="11"/>
      <c r="I290" s="11" t="s">
        <v>1136</v>
      </c>
      <c r="J290" s="11" t="s">
        <v>2299</v>
      </c>
      <c r="K290" s="11" t="s">
        <v>1138</v>
      </c>
      <c r="L290" s="11" t="s">
        <v>1139</v>
      </c>
      <c r="M290" s="11"/>
      <c r="N290" s="14" t="n">
        <v>3</v>
      </c>
      <c r="O290" s="14" t="n">
        <v>2</v>
      </c>
      <c r="P290" s="14" t="n">
        <v>1</v>
      </c>
      <c r="Q290" s="14"/>
      <c r="R290" s="12" t="n">
        <f aca="false">IF(OR(N290="",P290=""),"",ROUND(N290*O290/P290,1))</f>
        <v>6</v>
      </c>
      <c r="S290" s="13" t="n">
        <f aca="false">IF(R290="","",IF(Q290="Y",1,IF(P290&gt;='Read me'!$B$16,3,IF(AND(R290&gt;='Read me'!$B$14,P290&lt;='Read me'!$B$15),1,2))))</f>
        <v>1</v>
      </c>
    </row>
    <row r="291" customFormat="false" ht="35.05" hidden="false" customHeight="false" outlineLevel="0" collapsed="false">
      <c r="A291" s="11" t="s">
        <v>2300</v>
      </c>
      <c r="B291" s="11" t="s">
        <v>34</v>
      </c>
      <c r="C291" s="11" t="s">
        <v>124</v>
      </c>
      <c r="D291" s="11" t="s">
        <v>125</v>
      </c>
      <c r="E291" s="11" t="s">
        <v>1133</v>
      </c>
      <c r="F291" s="11" t="s">
        <v>1366</v>
      </c>
      <c r="G291" s="11" t="s">
        <v>2301</v>
      </c>
      <c r="H291" s="11"/>
      <c r="I291" s="11" t="s">
        <v>2302</v>
      </c>
      <c r="J291" s="11" t="s">
        <v>2303</v>
      </c>
      <c r="K291" s="11" t="s">
        <v>997</v>
      </c>
      <c r="L291" s="11" t="s">
        <v>2304</v>
      </c>
      <c r="M291" s="11" t="s">
        <v>1471</v>
      </c>
      <c r="N291" s="14" t="n">
        <v>2</v>
      </c>
      <c r="O291" s="14" t="n">
        <v>2</v>
      </c>
      <c r="P291" s="14" t="n">
        <v>1</v>
      </c>
      <c r="Q291" s="14"/>
      <c r="R291" s="12" t="n">
        <f aca="false">IF(OR(N291="",P291=""),"",ROUND(N291*O291/P291,1))</f>
        <v>4</v>
      </c>
      <c r="S291" s="13" t="n">
        <f aca="false">IF(R291="","",IF(Q291="Y",1,IF(P291&gt;='Read me'!$B$16,3,IF(AND(R291&gt;='Read me'!$B$14,P291&lt;='Read me'!$B$15),1,2))))</f>
        <v>2</v>
      </c>
    </row>
    <row r="292" customFormat="false" ht="35.05" hidden="false" customHeight="false" outlineLevel="0" collapsed="false">
      <c r="A292" s="11" t="s">
        <v>2305</v>
      </c>
      <c r="B292" s="11" t="s">
        <v>34</v>
      </c>
      <c r="C292" s="11" t="s">
        <v>129</v>
      </c>
      <c r="D292" s="11" t="s">
        <v>130</v>
      </c>
      <c r="E292" s="11" t="s">
        <v>476</v>
      </c>
      <c r="F292" s="11" t="s">
        <v>2306</v>
      </c>
      <c r="G292" s="11" t="s">
        <v>2307</v>
      </c>
      <c r="H292" s="11"/>
      <c r="I292" s="11" t="s">
        <v>512</v>
      </c>
      <c r="J292" s="11" t="s">
        <v>2308</v>
      </c>
      <c r="K292" s="11" t="s">
        <v>2169</v>
      </c>
      <c r="L292" s="11" t="s">
        <v>2309</v>
      </c>
      <c r="M292" s="11" t="s">
        <v>516</v>
      </c>
      <c r="N292" s="14" t="n">
        <v>2</v>
      </c>
      <c r="O292" s="14" t="n">
        <v>3</v>
      </c>
      <c r="P292" s="14" t="n">
        <v>2</v>
      </c>
      <c r="Q292" s="14"/>
      <c r="R292" s="12" t="n">
        <f aca="false">IF(OR(N292="",P292=""),"",ROUND(N292*O292/P292,1))</f>
        <v>3</v>
      </c>
      <c r="S292" s="13" t="n">
        <f aca="false">IF(R292="","",IF(Q292="Y",1,IF(P292&gt;='Read me'!$B$16,3,IF(AND(R292&gt;='Read me'!$B$14,P292&lt;='Read me'!$B$15),1,2))))</f>
        <v>2</v>
      </c>
    </row>
    <row r="293" customFormat="false" ht="23.85" hidden="false" customHeight="false" outlineLevel="0" collapsed="false">
      <c r="A293" s="11" t="s">
        <v>2310</v>
      </c>
      <c r="B293" s="11" t="s">
        <v>34</v>
      </c>
      <c r="C293" s="11" t="s">
        <v>129</v>
      </c>
      <c r="D293" s="11" t="s">
        <v>130</v>
      </c>
      <c r="E293" s="11" t="s">
        <v>532</v>
      </c>
      <c r="F293" s="11" t="s">
        <v>2311</v>
      </c>
      <c r="G293" s="11" t="s">
        <v>2178</v>
      </c>
      <c r="H293" s="11"/>
      <c r="I293" s="11" t="s">
        <v>2312</v>
      </c>
      <c r="J293" s="11" t="s">
        <v>2313</v>
      </c>
      <c r="K293" s="11" t="s">
        <v>2314</v>
      </c>
      <c r="L293" s="11" t="s">
        <v>2315</v>
      </c>
      <c r="M293" s="11"/>
      <c r="N293" s="14" t="n">
        <v>4</v>
      </c>
      <c r="O293" s="14" t="n">
        <v>4</v>
      </c>
      <c r="P293" s="14" t="n">
        <v>2</v>
      </c>
      <c r="Q293" s="14"/>
      <c r="R293" s="12" t="n">
        <f aca="false">IF(OR(N293="",P293=""),"",ROUND(N293*O293/P293,1))</f>
        <v>8</v>
      </c>
      <c r="S293" s="13" t="n">
        <f aca="false">IF(R293="","",IF(Q293="Y",1,IF(P293&gt;='Read me'!$B$16,3,IF(AND(R293&gt;='Read me'!$B$14,P293&lt;='Read me'!$B$15),1,2))))</f>
        <v>1</v>
      </c>
    </row>
    <row r="294" customFormat="false" ht="23.85" hidden="false" customHeight="false" outlineLevel="0" collapsed="false">
      <c r="A294" s="11" t="s">
        <v>2316</v>
      </c>
      <c r="B294" s="11" t="s">
        <v>34</v>
      </c>
      <c r="C294" s="11" t="s">
        <v>129</v>
      </c>
      <c r="D294" s="11" t="s">
        <v>130</v>
      </c>
      <c r="E294" s="11" t="s">
        <v>532</v>
      </c>
      <c r="F294" s="11" t="s">
        <v>2317</v>
      </c>
      <c r="G294" s="11" t="s">
        <v>1803</v>
      </c>
      <c r="H294" s="11"/>
      <c r="I294" s="11" t="s">
        <v>2318</v>
      </c>
      <c r="J294" s="11" t="s">
        <v>2319</v>
      </c>
      <c r="K294" s="11" t="s">
        <v>2320</v>
      </c>
      <c r="L294" s="11" t="s">
        <v>2321</v>
      </c>
      <c r="M294" s="11" t="s">
        <v>2322</v>
      </c>
      <c r="N294" s="14" t="n">
        <v>3</v>
      </c>
      <c r="O294" s="14" t="n">
        <v>4</v>
      </c>
      <c r="P294" s="14" t="n">
        <v>3</v>
      </c>
      <c r="Q294" s="14"/>
      <c r="R294" s="12" t="n">
        <f aca="false">IF(OR(N294="",P294=""),"",ROUND(N294*O294/P294,1))</f>
        <v>4</v>
      </c>
      <c r="S294" s="13" t="n">
        <f aca="false">IF(R294="","",IF(Q294="Y",1,IF(P294&gt;='Read me'!$B$16,3,IF(AND(R294&gt;='Read me'!$B$14,P294&lt;='Read me'!$B$15),1,2))))</f>
        <v>2</v>
      </c>
    </row>
    <row r="295" customFormat="false" ht="23.85" hidden="false" customHeight="false" outlineLevel="0" collapsed="false">
      <c r="A295" s="11" t="s">
        <v>2323</v>
      </c>
      <c r="B295" s="11" t="s">
        <v>34</v>
      </c>
      <c r="C295" s="11" t="s">
        <v>129</v>
      </c>
      <c r="D295" s="11" t="s">
        <v>130</v>
      </c>
      <c r="E295" s="11" t="s">
        <v>532</v>
      </c>
      <c r="F295" s="11" t="s">
        <v>2324</v>
      </c>
      <c r="G295" s="11" t="s">
        <v>1040</v>
      </c>
      <c r="H295" s="11"/>
      <c r="I295" s="11" t="s">
        <v>2325</v>
      </c>
      <c r="J295" s="11" t="s">
        <v>2326</v>
      </c>
      <c r="K295" s="11" t="s">
        <v>1869</v>
      </c>
      <c r="L295" s="11" t="s">
        <v>2327</v>
      </c>
      <c r="M295" s="11"/>
      <c r="N295" s="14" t="n">
        <v>3</v>
      </c>
      <c r="O295" s="14" t="n">
        <v>3</v>
      </c>
      <c r="P295" s="14" t="n">
        <v>2</v>
      </c>
      <c r="Q295" s="14"/>
      <c r="R295" s="12" t="n">
        <f aca="false">IF(OR(N295="",P295=""),"",ROUND(N295*O295/P295,1))</f>
        <v>4.5</v>
      </c>
      <c r="S295" s="13" t="n">
        <f aca="false">IF(R295="","",IF(Q295="Y",1,IF(P295&gt;='Read me'!$B$16,3,IF(AND(R295&gt;='Read me'!$B$14,P295&lt;='Read me'!$B$15),1,2))))</f>
        <v>2</v>
      </c>
    </row>
    <row r="296" customFormat="false" ht="23.85" hidden="false" customHeight="false" outlineLevel="0" collapsed="false">
      <c r="A296" s="11" t="s">
        <v>2328</v>
      </c>
      <c r="B296" s="11" t="s">
        <v>34</v>
      </c>
      <c r="C296" s="11" t="s">
        <v>129</v>
      </c>
      <c r="D296" s="11" t="s">
        <v>130</v>
      </c>
      <c r="E296" s="11" t="s">
        <v>626</v>
      </c>
      <c r="F296" s="11" t="s">
        <v>2329</v>
      </c>
      <c r="G296" s="11" t="s">
        <v>1537</v>
      </c>
      <c r="H296" s="11"/>
      <c r="I296" s="11" t="s">
        <v>2330</v>
      </c>
      <c r="J296" s="11" t="s">
        <v>2331</v>
      </c>
      <c r="K296" s="11" t="s">
        <v>1028</v>
      </c>
      <c r="L296" s="11" t="s">
        <v>1115</v>
      </c>
      <c r="M296" s="11"/>
      <c r="N296" s="14" t="n">
        <v>2</v>
      </c>
      <c r="O296" s="14" t="n">
        <v>2</v>
      </c>
      <c r="P296" s="14" t="n">
        <v>1</v>
      </c>
      <c r="Q296" s="14"/>
      <c r="R296" s="12" t="n">
        <f aca="false">IF(OR(N296="",P296=""),"",ROUND(N296*O296/P296,1))</f>
        <v>4</v>
      </c>
      <c r="S296" s="13" t="n">
        <f aca="false">IF(R296="","",IF(Q296="Y",1,IF(P296&gt;='Read me'!$B$16,3,IF(AND(R296&gt;='Read me'!$B$14,P296&lt;='Read me'!$B$15),1,2))))</f>
        <v>2</v>
      </c>
    </row>
    <row r="297" customFormat="false" ht="23.85" hidden="false" customHeight="false" outlineLevel="0" collapsed="false">
      <c r="A297" s="11" t="s">
        <v>2332</v>
      </c>
      <c r="B297" s="11" t="s">
        <v>34</v>
      </c>
      <c r="C297" s="11" t="s">
        <v>129</v>
      </c>
      <c r="D297" s="11" t="s">
        <v>130</v>
      </c>
      <c r="E297" s="11" t="s">
        <v>751</v>
      </c>
      <c r="F297" s="11" t="s">
        <v>2239</v>
      </c>
      <c r="G297" s="11" t="s">
        <v>2333</v>
      </c>
      <c r="H297" s="11"/>
      <c r="I297" s="11" t="s">
        <v>2334</v>
      </c>
      <c r="J297" s="11" t="s">
        <v>2335</v>
      </c>
      <c r="K297" s="11" t="s">
        <v>2243</v>
      </c>
      <c r="L297" s="11" t="s">
        <v>2336</v>
      </c>
      <c r="M297" s="11"/>
      <c r="N297" s="14" t="n">
        <v>3</v>
      </c>
      <c r="O297" s="14" t="n">
        <v>4</v>
      </c>
      <c r="P297" s="14" t="n">
        <v>2</v>
      </c>
      <c r="Q297" s="14"/>
      <c r="R297" s="12" t="n">
        <f aca="false">IF(OR(N297="",P297=""),"",ROUND(N297*O297/P297,1))</f>
        <v>6</v>
      </c>
      <c r="S297" s="13" t="n">
        <f aca="false">IF(R297="","",IF(Q297="Y",1,IF(P297&gt;='Read me'!$B$16,3,IF(AND(R297&gt;='Read me'!$B$14,P297&lt;='Read me'!$B$15),1,2))))</f>
        <v>1</v>
      </c>
    </row>
    <row r="298" customFormat="false" ht="23.85" hidden="false" customHeight="false" outlineLevel="0" collapsed="false">
      <c r="A298" s="11" t="s">
        <v>2337</v>
      </c>
      <c r="B298" s="11" t="s">
        <v>34</v>
      </c>
      <c r="C298" s="11" t="s">
        <v>129</v>
      </c>
      <c r="D298" s="11" t="s">
        <v>130</v>
      </c>
      <c r="E298" s="11" t="s">
        <v>751</v>
      </c>
      <c r="F298" s="11" t="s">
        <v>2338</v>
      </c>
      <c r="G298" s="11" t="s">
        <v>1781</v>
      </c>
      <c r="H298" s="11"/>
      <c r="I298" s="11" t="s">
        <v>2339</v>
      </c>
      <c r="J298" s="11" t="s">
        <v>2340</v>
      </c>
      <c r="K298" s="11" t="s">
        <v>1262</v>
      </c>
      <c r="L298" s="11" t="s">
        <v>2341</v>
      </c>
      <c r="M298" s="11" t="s">
        <v>1577</v>
      </c>
      <c r="N298" s="14" t="n">
        <v>3</v>
      </c>
      <c r="O298" s="14" t="n">
        <v>3</v>
      </c>
      <c r="P298" s="14" t="n">
        <v>3</v>
      </c>
      <c r="Q298" s="14"/>
      <c r="R298" s="12" t="n">
        <f aca="false">IF(OR(N298="",P298=""),"",ROUND(N298*O298/P298,1))</f>
        <v>3</v>
      </c>
      <c r="S298" s="13" t="n">
        <f aca="false">IF(R298="","",IF(Q298="Y",1,IF(P298&gt;='Read me'!$B$16,3,IF(AND(R298&gt;='Read me'!$B$14,P298&lt;='Read me'!$B$15),1,2))))</f>
        <v>2</v>
      </c>
    </row>
    <row r="299" customFormat="false" ht="23.85" hidden="false" customHeight="false" outlineLevel="0" collapsed="false">
      <c r="A299" s="11" t="s">
        <v>2342</v>
      </c>
      <c r="B299" s="11" t="s">
        <v>34</v>
      </c>
      <c r="C299" s="11" t="s">
        <v>129</v>
      </c>
      <c r="D299" s="11" t="s">
        <v>130</v>
      </c>
      <c r="E299" s="11" t="s">
        <v>765</v>
      </c>
      <c r="F299" s="11" t="s">
        <v>2343</v>
      </c>
      <c r="G299" s="11" t="s">
        <v>2344</v>
      </c>
      <c r="H299" s="11"/>
      <c r="I299" s="11" t="s">
        <v>2345</v>
      </c>
      <c r="J299" s="11" t="s">
        <v>2346</v>
      </c>
      <c r="K299" s="11" t="s">
        <v>2347</v>
      </c>
      <c r="L299" s="11" t="s">
        <v>2348</v>
      </c>
      <c r="M299" s="11"/>
      <c r="N299" s="14" t="n">
        <v>2</v>
      </c>
      <c r="O299" s="14" t="n">
        <v>3</v>
      </c>
      <c r="P299" s="14" t="n">
        <v>2</v>
      </c>
      <c r="Q299" s="14"/>
      <c r="R299" s="12" t="n">
        <f aca="false">IF(OR(N299="",P299=""),"",ROUND(N299*O299/P299,1))</f>
        <v>3</v>
      </c>
      <c r="S299" s="13" t="n">
        <f aca="false">IF(R299="","",IF(Q299="Y",1,IF(P299&gt;='Read me'!$B$16,3,IF(AND(R299&gt;='Read me'!$B$14,P299&lt;='Read me'!$B$15),1,2))))</f>
        <v>2</v>
      </c>
    </row>
    <row r="300" customFormat="false" ht="23.85" hidden="false" customHeight="false" outlineLevel="0" collapsed="false">
      <c r="A300" s="11" t="s">
        <v>2349</v>
      </c>
      <c r="B300" s="11" t="s">
        <v>34</v>
      </c>
      <c r="C300" s="11" t="s">
        <v>129</v>
      </c>
      <c r="D300" s="11" t="s">
        <v>130</v>
      </c>
      <c r="E300" s="11" t="s">
        <v>1081</v>
      </c>
      <c r="F300" s="11" t="s">
        <v>2350</v>
      </c>
      <c r="G300" s="11" t="s">
        <v>2351</v>
      </c>
      <c r="H300" s="11"/>
      <c r="I300" s="11" t="s">
        <v>2352</v>
      </c>
      <c r="J300" s="11" t="s">
        <v>2353</v>
      </c>
      <c r="K300" s="11" t="s">
        <v>2354</v>
      </c>
      <c r="L300" s="11" t="s">
        <v>2355</v>
      </c>
      <c r="M300" s="11"/>
      <c r="N300" s="14" t="n">
        <v>4</v>
      </c>
      <c r="O300" s="14" t="n">
        <v>3</v>
      </c>
      <c r="P300" s="14" t="n">
        <v>2</v>
      </c>
      <c r="Q300" s="14"/>
      <c r="R300" s="12" t="n">
        <f aca="false">IF(OR(N300="",P300=""),"",ROUND(N300*O300/P300,1))</f>
        <v>6</v>
      </c>
      <c r="S300" s="13" t="n">
        <f aca="false">IF(R300="","",IF(Q300="Y",1,IF(P300&gt;='Read me'!$B$16,3,IF(AND(R300&gt;='Read me'!$B$14,P300&lt;='Read me'!$B$15),1,2))))</f>
        <v>1</v>
      </c>
    </row>
    <row r="301" customFormat="false" ht="68.65" hidden="false" customHeight="false" outlineLevel="0" collapsed="false">
      <c r="A301" s="11" t="s">
        <v>2356</v>
      </c>
      <c r="B301" s="11" t="s">
        <v>34</v>
      </c>
      <c r="C301" s="11" t="s">
        <v>129</v>
      </c>
      <c r="D301" s="11" t="s">
        <v>130</v>
      </c>
      <c r="E301" s="11" t="s">
        <v>1187</v>
      </c>
      <c r="F301" s="11" t="s">
        <v>2357</v>
      </c>
      <c r="G301" s="11" t="s">
        <v>2351</v>
      </c>
      <c r="H301" s="11" t="s">
        <v>2358</v>
      </c>
      <c r="I301" s="11" t="s">
        <v>2359</v>
      </c>
      <c r="J301" s="11" t="s">
        <v>2360</v>
      </c>
      <c r="K301" s="11" t="s">
        <v>2361</v>
      </c>
      <c r="L301" s="11" t="s">
        <v>2362</v>
      </c>
      <c r="M301" s="11"/>
      <c r="N301" s="14" t="n">
        <v>1</v>
      </c>
      <c r="O301" s="14" t="n">
        <v>4</v>
      </c>
      <c r="P301" s="14" t="n">
        <v>4</v>
      </c>
      <c r="Q301" s="14"/>
      <c r="R301" s="12" t="n">
        <f aca="false">IF(OR(N301="",P301=""),"",ROUND(N301*O301/P301,1))</f>
        <v>1</v>
      </c>
      <c r="S301" s="13" t="n">
        <f aca="false">IF(R301="","",IF(Q301="Y",1,IF(P301&gt;='Read me'!$B$16,3,IF(AND(R301&gt;='Read me'!$B$14,P301&lt;='Read me'!$B$15),1,2))))</f>
        <v>3</v>
      </c>
    </row>
    <row r="302" customFormat="false" ht="46.25" hidden="false" customHeight="false" outlineLevel="0" collapsed="false">
      <c r="A302" s="11" t="s">
        <v>2363</v>
      </c>
      <c r="B302" s="11" t="s">
        <v>34</v>
      </c>
      <c r="C302" s="11" t="s">
        <v>129</v>
      </c>
      <c r="D302" s="11" t="s">
        <v>130</v>
      </c>
      <c r="E302" s="11" t="s">
        <v>1187</v>
      </c>
      <c r="F302" s="11" t="s">
        <v>2364</v>
      </c>
      <c r="G302" s="11" t="s">
        <v>2351</v>
      </c>
      <c r="H302" s="11" t="s">
        <v>2365</v>
      </c>
      <c r="I302" s="11" t="s">
        <v>2366</v>
      </c>
      <c r="J302" s="11" t="s">
        <v>2367</v>
      </c>
      <c r="K302" s="11" t="s">
        <v>2368</v>
      </c>
      <c r="L302" s="11" t="s">
        <v>2369</v>
      </c>
      <c r="M302" s="11"/>
      <c r="N302" s="14" t="n">
        <v>1</v>
      </c>
      <c r="O302" s="14" t="n">
        <v>3</v>
      </c>
      <c r="P302" s="14" t="n">
        <v>3</v>
      </c>
      <c r="Q302" s="14"/>
      <c r="R302" s="12" t="n">
        <f aca="false">IF(OR(N302="",P302=""),"",ROUND(N302*O302/P302,1))</f>
        <v>1</v>
      </c>
      <c r="S302" s="13" t="n">
        <f aca="false">IF(R302="","",IF(Q302="Y",1,IF(P302&gt;='Read me'!$B$16,3,IF(AND(R302&gt;='Read me'!$B$14,P302&lt;='Read me'!$B$15),1,2))))</f>
        <v>2</v>
      </c>
    </row>
    <row r="303" customFormat="false" ht="23.85" hidden="false" customHeight="false" outlineLevel="0" collapsed="false">
      <c r="A303" s="11" t="s">
        <v>2370</v>
      </c>
      <c r="B303" s="11" t="s">
        <v>34</v>
      </c>
      <c r="C303" s="11" t="s">
        <v>129</v>
      </c>
      <c r="D303" s="11" t="s">
        <v>130</v>
      </c>
      <c r="E303" s="11" t="s">
        <v>1187</v>
      </c>
      <c r="F303" s="11" t="s">
        <v>2371</v>
      </c>
      <c r="G303" s="11" t="s">
        <v>2372</v>
      </c>
      <c r="H303" s="11" t="s">
        <v>2373</v>
      </c>
      <c r="I303" s="11" t="s">
        <v>2374</v>
      </c>
      <c r="J303" s="11" t="s">
        <v>2375</v>
      </c>
      <c r="K303" s="11" t="s">
        <v>2376</v>
      </c>
      <c r="L303" s="11" t="s">
        <v>2377</v>
      </c>
      <c r="M303" s="11"/>
      <c r="N303" s="14" t="n">
        <v>2</v>
      </c>
      <c r="O303" s="14" t="n">
        <v>2</v>
      </c>
      <c r="P303" s="14" t="n">
        <v>2</v>
      </c>
      <c r="Q303" s="14"/>
      <c r="R303" s="12" t="n">
        <f aca="false">IF(OR(N303="",P303=""),"",ROUND(N303*O303/P303,1))</f>
        <v>2</v>
      </c>
      <c r="S303" s="13" t="n">
        <f aca="false">IF(R303="","",IF(Q303="Y",1,IF(P303&gt;='Read me'!$B$16,3,IF(AND(R303&gt;='Read me'!$B$14,P303&lt;='Read me'!$B$15),1,2))))</f>
        <v>2</v>
      </c>
    </row>
    <row r="304" customFormat="false" ht="23.85" hidden="false" customHeight="false" outlineLevel="0" collapsed="false">
      <c r="A304" s="11" t="s">
        <v>2378</v>
      </c>
      <c r="B304" s="11" t="s">
        <v>34</v>
      </c>
      <c r="C304" s="11" t="s">
        <v>133</v>
      </c>
      <c r="D304" s="11" t="s">
        <v>134</v>
      </c>
      <c r="E304" s="11" t="s">
        <v>532</v>
      </c>
      <c r="F304" s="11" t="s">
        <v>2379</v>
      </c>
      <c r="G304" s="11" t="s">
        <v>511</v>
      </c>
      <c r="H304" s="11"/>
      <c r="I304" s="11" t="s">
        <v>2380</v>
      </c>
      <c r="J304" s="11" t="s">
        <v>2381</v>
      </c>
      <c r="K304" s="11" t="s">
        <v>2382</v>
      </c>
      <c r="L304" s="11" t="s">
        <v>2383</v>
      </c>
      <c r="M304" s="11"/>
      <c r="N304" s="14" t="n">
        <v>5</v>
      </c>
      <c r="O304" s="14" t="n">
        <v>4</v>
      </c>
      <c r="P304" s="14" t="n">
        <v>2</v>
      </c>
      <c r="Q304" s="14"/>
      <c r="R304" s="12" t="n">
        <f aca="false">IF(OR(N304="",P304=""),"",ROUND(N304*O304/P304,1))</f>
        <v>10</v>
      </c>
      <c r="S304" s="13" t="n">
        <f aca="false">IF(R304="","",IF(Q304="Y",1,IF(P304&gt;='Read me'!$B$16,3,IF(AND(R304&gt;='Read me'!$B$14,P304&lt;='Read me'!$B$15),1,2))))</f>
        <v>1</v>
      </c>
    </row>
    <row r="305" customFormat="false" ht="23.85" hidden="false" customHeight="false" outlineLevel="0" collapsed="false">
      <c r="A305" s="11" t="s">
        <v>2384</v>
      </c>
      <c r="B305" s="11" t="s">
        <v>34</v>
      </c>
      <c r="C305" s="11" t="s">
        <v>133</v>
      </c>
      <c r="D305" s="11" t="s">
        <v>134</v>
      </c>
      <c r="E305" s="11" t="s">
        <v>532</v>
      </c>
      <c r="F305" s="11" t="s">
        <v>2385</v>
      </c>
      <c r="G305" s="11" t="s">
        <v>2386</v>
      </c>
      <c r="H305" s="11"/>
      <c r="I305" s="11" t="s">
        <v>2387</v>
      </c>
      <c r="J305" s="11" t="s">
        <v>2388</v>
      </c>
      <c r="K305" s="11" t="s">
        <v>2389</v>
      </c>
      <c r="L305" s="11" t="s">
        <v>2390</v>
      </c>
      <c r="M305" s="11"/>
      <c r="N305" s="14" t="n">
        <v>4</v>
      </c>
      <c r="O305" s="14" t="n">
        <v>4</v>
      </c>
      <c r="P305" s="14" t="n">
        <v>2</v>
      </c>
      <c r="Q305" s="14"/>
      <c r="R305" s="12" t="n">
        <f aca="false">IF(OR(N305="",P305=""),"",ROUND(N305*O305/P305,1))</f>
        <v>8</v>
      </c>
      <c r="S305" s="13" t="n">
        <f aca="false">IF(R305="","",IF(Q305="Y",1,IF(P305&gt;='Read me'!$B$16,3,IF(AND(R305&gt;='Read me'!$B$14,P305&lt;='Read me'!$B$15),1,2))))</f>
        <v>1</v>
      </c>
    </row>
    <row r="306" customFormat="false" ht="23.85" hidden="false" customHeight="false" outlineLevel="0" collapsed="false">
      <c r="A306" s="11" t="s">
        <v>2391</v>
      </c>
      <c r="B306" s="11" t="s">
        <v>34</v>
      </c>
      <c r="C306" s="11" t="s">
        <v>133</v>
      </c>
      <c r="D306" s="11" t="s">
        <v>134</v>
      </c>
      <c r="E306" s="11" t="s">
        <v>532</v>
      </c>
      <c r="F306" s="11" t="s">
        <v>2392</v>
      </c>
      <c r="G306" s="11" t="s">
        <v>2393</v>
      </c>
      <c r="H306" s="11"/>
      <c r="I306" s="11" t="s">
        <v>2394</v>
      </c>
      <c r="J306" s="11" t="s">
        <v>2395</v>
      </c>
      <c r="K306" s="11" t="s">
        <v>2396</v>
      </c>
      <c r="L306" s="11" t="s">
        <v>2397</v>
      </c>
      <c r="M306" s="11"/>
      <c r="N306" s="14" t="n">
        <v>4</v>
      </c>
      <c r="O306" s="14" t="n">
        <v>4</v>
      </c>
      <c r="P306" s="14" t="n">
        <v>2</v>
      </c>
      <c r="Q306" s="14"/>
      <c r="R306" s="12" t="n">
        <f aca="false">IF(OR(N306="",P306=""),"",ROUND(N306*O306/P306,1))</f>
        <v>8</v>
      </c>
      <c r="S306" s="13" t="n">
        <f aca="false">IF(R306="","",IF(Q306="Y",1,IF(P306&gt;='Read me'!$B$16,3,IF(AND(R306&gt;='Read me'!$B$14,P306&lt;='Read me'!$B$15),1,2))))</f>
        <v>1</v>
      </c>
    </row>
    <row r="307" customFormat="false" ht="23.85" hidden="false" customHeight="false" outlineLevel="0" collapsed="false">
      <c r="A307" s="11" t="s">
        <v>2398</v>
      </c>
      <c r="B307" s="11" t="s">
        <v>34</v>
      </c>
      <c r="C307" s="11" t="s">
        <v>133</v>
      </c>
      <c r="D307" s="11" t="s">
        <v>134</v>
      </c>
      <c r="E307" s="11" t="s">
        <v>532</v>
      </c>
      <c r="F307" s="11" t="s">
        <v>2399</v>
      </c>
      <c r="G307" s="11" t="s">
        <v>2400</v>
      </c>
      <c r="H307" s="11"/>
      <c r="I307" s="11" t="s">
        <v>2401</v>
      </c>
      <c r="J307" s="11" t="s">
        <v>2402</v>
      </c>
      <c r="K307" s="11" t="s">
        <v>2403</v>
      </c>
      <c r="L307" s="11" t="s">
        <v>2404</v>
      </c>
      <c r="M307" s="11"/>
      <c r="N307" s="14" t="n">
        <v>3</v>
      </c>
      <c r="O307" s="14" t="n">
        <v>4</v>
      </c>
      <c r="P307" s="14" t="n">
        <v>1</v>
      </c>
      <c r="Q307" s="14"/>
      <c r="R307" s="12" t="n">
        <f aca="false">IF(OR(N307="",P307=""),"",ROUND(N307*O307/P307,1))</f>
        <v>12</v>
      </c>
      <c r="S307" s="13" t="n">
        <f aca="false">IF(R307="","",IF(Q307="Y",1,IF(P307&gt;='Read me'!$B$16,3,IF(AND(R307&gt;='Read me'!$B$14,P307&lt;='Read me'!$B$15),1,2))))</f>
        <v>1</v>
      </c>
    </row>
    <row r="308" customFormat="false" ht="23.85" hidden="false" customHeight="false" outlineLevel="0" collapsed="false">
      <c r="A308" s="11" t="s">
        <v>2405</v>
      </c>
      <c r="B308" s="11" t="s">
        <v>34</v>
      </c>
      <c r="C308" s="11" t="s">
        <v>133</v>
      </c>
      <c r="D308" s="11" t="s">
        <v>134</v>
      </c>
      <c r="E308" s="11" t="s">
        <v>532</v>
      </c>
      <c r="F308" s="11" t="s">
        <v>2379</v>
      </c>
      <c r="G308" s="11" t="s">
        <v>1803</v>
      </c>
      <c r="H308" s="11"/>
      <c r="I308" s="11" t="s">
        <v>2406</v>
      </c>
      <c r="J308" s="11" t="s">
        <v>2407</v>
      </c>
      <c r="K308" s="11" t="s">
        <v>2408</v>
      </c>
      <c r="L308" s="11" t="s">
        <v>2409</v>
      </c>
      <c r="M308" s="11"/>
      <c r="N308" s="14" t="n">
        <v>2</v>
      </c>
      <c r="O308" s="14" t="n">
        <v>3</v>
      </c>
      <c r="P308" s="14" t="n">
        <v>1</v>
      </c>
      <c r="Q308" s="14"/>
      <c r="R308" s="12" t="n">
        <f aca="false">IF(OR(N308="",P308=""),"",ROUND(N308*O308/P308,1))</f>
        <v>6</v>
      </c>
      <c r="S308" s="13" t="n">
        <f aca="false">IF(R308="","",IF(Q308="Y",1,IF(P308&gt;='Read me'!$B$16,3,IF(AND(R308&gt;='Read me'!$B$14,P308&lt;='Read me'!$B$15),1,2))))</f>
        <v>1</v>
      </c>
    </row>
    <row r="309" customFormat="false" ht="35.05" hidden="false" customHeight="false" outlineLevel="0" collapsed="false">
      <c r="A309" s="11" t="s">
        <v>2410</v>
      </c>
      <c r="B309" s="11" t="s">
        <v>34</v>
      </c>
      <c r="C309" s="11" t="s">
        <v>133</v>
      </c>
      <c r="D309" s="11" t="s">
        <v>134</v>
      </c>
      <c r="E309" s="11" t="s">
        <v>532</v>
      </c>
      <c r="F309" s="11" t="s">
        <v>2379</v>
      </c>
      <c r="G309" s="11" t="s">
        <v>2411</v>
      </c>
      <c r="H309" s="11"/>
      <c r="I309" s="11" t="s">
        <v>2412</v>
      </c>
      <c r="J309" s="11" t="s">
        <v>2413</v>
      </c>
      <c r="K309" s="11" t="s">
        <v>1103</v>
      </c>
      <c r="L309" s="11" t="s">
        <v>2414</v>
      </c>
      <c r="M309" s="11" t="s">
        <v>2415</v>
      </c>
      <c r="N309" s="14" t="n">
        <v>3</v>
      </c>
      <c r="O309" s="14" t="n">
        <v>3</v>
      </c>
      <c r="P309" s="14" t="n">
        <v>2</v>
      </c>
      <c r="Q309" s="14"/>
      <c r="R309" s="12" t="n">
        <f aca="false">IF(OR(N309="",P309=""),"",ROUND(N309*O309/P309,1))</f>
        <v>4.5</v>
      </c>
      <c r="S309" s="13" t="n">
        <f aca="false">IF(R309="","",IF(Q309="Y",1,IF(P309&gt;='Read me'!$B$16,3,IF(AND(R309&gt;='Read me'!$B$14,P309&lt;='Read me'!$B$15),1,2))))</f>
        <v>2</v>
      </c>
    </row>
    <row r="310" customFormat="false" ht="23.85" hidden="false" customHeight="false" outlineLevel="0" collapsed="false">
      <c r="A310" s="11" t="s">
        <v>2416</v>
      </c>
      <c r="B310" s="11" t="s">
        <v>34</v>
      </c>
      <c r="C310" s="11" t="s">
        <v>133</v>
      </c>
      <c r="D310" s="11" t="s">
        <v>134</v>
      </c>
      <c r="E310" s="11" t="s">
        <v>626</v>
      </c>
      <c r="F310" s="11" t="s">
        <v>2417</v>
      </c>
      <c r="G310" s="11" t="s">
        <v>2418</v>
      </c>
      <c r="H310" s="11"/>
      <c r="I310" s="11" t="s">
        <v>2419</v>
      </c>
      <c r="J310" s="11" t="s">
        <v>2420</v>
      </c>
      <c r="K310" s="11" t="s">
        <v>2421</v>
      </c>
      <c r="L310" s="11" t="s">
        <v>2422</v>
      </c>
      <c r="M310" s="11"/>
      <c r="N310" s="14" t="n">
        <v>2</v>
      </c>
      <c r="O310" s="14" t="n">
        <v>3</v>
      </c>
      <c r="P310" s="14" t="n">
        <v>1</v>
      </c>
      <c r="Q310" s="14"/>
      <c r="R310" s="12" t="n">
        <f aca="false">IF(OR(N310="",P310=""),"",ROUND(N310*O310/P310,1))</f>
        <v>6</v>
      </c>
      <c r="S310" s="13" t="n">
        <f aca="false">IF(R310="","",IF(Q310="Y",1,IF(P310&gt;='Read me'!$B$16,3,IF(AND(R310&gt;='Read me'!$B$14,P310&lt;='Read me'!$B$15),1,2))))</f>
        <v>1</v>
      </c>
    </row>
    <row r="311" customFormat="false" ht="23.85" hidden="false" customHeight="false" outlineLevel="0" collapsed="false">
      <c r="A311" s="11" t="s">
        <v>2423</v>
      </c>
      <c r="B311" s="11" t="s">
        <v>34</v>
      </c>
      <c r="C311" s="11" t="s">
        <v>133</v>
      </c>
      <c r="D311" s="11" t="s">
        <v>134</v>
      </c>
      <c r="E311" s="11" t="s">
        <v>751</v>
      </c>
      <c r="F311" s="11" t="s">
        <v>2424</v>
      </c>
      <c r="G311" s="11" t="s">
        <v>2425</v>
      </c>
      <c r="H311" s="11" t="s">
        <v>2426</v>
      </c>
      <c r="I311" s="11" t="s">
        <v>2427</v>
      </c>
      <c r="J311" s="11" t="s">
        <v>2428</v>
      </c>
      <c r="K311" s="11" t="s">
        <v>2249</v>
      </c>
      <c r="L311" s="11" t="s">
        <v>2429</v>
      </c>
      <c r="M311" s="11" t="s">
        <v>2430</v>
      </c>
      <c r="N311" s="14" t="n">
        <v>3</v>
      </c>
      <c r="O311" s="14" t="n">
        <v>3</v>
      </c>
      <c r="P311" s="14" t="n">
        <v>2</v>
      </c>
      <c r="Q311" s="14"/>
      <c r="R311" s="12" t="n">
        <f aca="false">IF(OR(N311="",P311=""),"",ROUND(N311*O311/P311,1))</f>
        <v>4.5</v>
      </c>
      <c r="S311" s="13" t="n">
        <f aca="false">IF(R311="","",IF(Q311="Y",1,IF(P311&gt;='Read me'!$B$16,3,IF(AND(R311&gt;='Read me'!$B$14,P311&lt;='Read me'!$B$15),1,2))))</f>
        <v>2</v>
      </c>
    </row>
    <row r="312" customFormat="false" ht="23.85" hidden="false" customHeight="false" outlineLevel="0" collapsed="false">
      <c r="A312" s="11" t="s">
        <v>2431</v>
      </c>
      <c r="B312" s="11" t="s">
        <v>34</v>
      </c>
      <c r="C312" s="11" t="s">
        <v>133</v>
      </c>
      <c r="D312" s="11" t="s">
        <v>134</v>
      </c>
      <c r="E312" s="11" t="s">
        <v>751</v>
      </c>
      <c r="F312" s="11" t="s">
        <v>2424</v>
      </c>
      <c r="G312" s="11" t="s">
        <v>2246</v>
      </c>
      <c r="H312" s="11" t="s">
        <v>2247</v>
      </c>
      <c r="I312" s="11" t="s">
        <v>2432</v>
      </c>
      <c r="J312" s="11" t="s">
        <v>2433</v>
      </c>
      <c r="K312" s="11" t="s">
        <v>2249</v>
      </c>
      <c r="L312" s="11" t="s">
        <v>2434</v>
      </c>
      <c r="M312" s="11"/>
      <c r="N312" s="14" t="n">
        <v>3</v>
      </c>
      <c r="O312" s="14" t="n">
        <v>3</v>
      </c>
      <c r="P312" s="14" t="n">
        <v>2</v>
      </c>
      <c r="Q312" s="14"/>
      <c r="R312" s="12" t="n">
        <f aca="false">IF(OR(N312="",P312=""),"",ROUND(N312*O312/P312,1))</f>
        <v>4.5</v>
      </c>
      <c r="S312" s="13" t="n">
        <f aca="false">IF(R312="","",IF(Q312="Y",1,IF(P312&gt;='Read me'!$B$16,3,IF(AND(R312&gt;='Read me'!$B$14,P312&lt;='Read me'!$B$15),1,2))))</f>
        <v>2</v>
      </c>
    </row>
    <row r="313" customFormat="false" ht="23.85" hidden="false" customHeight="false" outlineLevel="0" collapsed="false">
      <c r="A313" s="11" t="s">
        <v>2435</v>
      </c>
      <c r="B313" s="11" t="s">
        <v>34</v>
      </c>
      <c r="C313" s="11" t="s">
        <v>133</v>
      </c>
      <c r="D313" s="11" t="s">
        <v>134</v>
      </c>
      <c r="E313" s="11" t="s">
        <v>751</v>
      </c>
      <c r="F313" s="11" t="s">
        <v>2436</v>
      </c>
      <c r="G313" s="11" t="s">
        <v>2253</v>
      </c>
      <c r="H313" s="11"/>
      <c r="I313" s="11" t="s">
        <v>2437</v>
      </c>
      <c r="J313" s="11" t="s">
        <v>2438</v>
      </c>
      <c r="K313" s="11" t="s">
        <v>1254</v>
      </c>
      <c r="L313" s="11" t="s">
        <v>2341</v>
      </c>
      <c r="M313" s="11" t="s">
        <v>1577</v>
      </c>
      <c r="N313" s="14" t="n">
        <v>3</v>
      </c>
      <c r="O313" s="14" t="n">
        <v>3</v>
      </c>
      <c r="P313" s="14" t="n">
        <v>2</v>
      </c>
      <c r="Q313" s="14"/>
      <c r="R313" s="12" t="n">
        <f aca="false">IF(OR(N313="",P313=""),"",ROUND(N313*O313/P313,1))</f>
        <v>4.5</v>
      </c>
      <c r="S313" s="13" t="n">
        <f aca="false">IF(R313="","",IF(Q313="Y",1,IF(P313&gt;='Read me'!$B$16,3,IF(AND(R313&gt;='Read me'!$B$14,P313&lt;='Read me'!$B$15),1,2))))</f>
        <v>2</v>
      </c>
    </row>
    <row r="314" customFormat="false" ht="23.85" hidden="false" customHeight="false" outlineLevel="0" collapsed="false">
      <c r="A314" s="11" t="s">
        <v>2439</v>
      </c>
      <c r="B314" s="11" t="s">
        <v>34</v>
      </c>
      <c r="C314" s="11" t="s">
        <v>133</v>
      </c>
      <c r="D314" s="11" t="s">
        <v>134</v>
      </c>
      <c r="E314" s="11" t="s">
        <v>765</v>
      </c>
      <c r="F314" s="11" t="s">
        <v>2440</v>
      </c>
      <c r="G314" s="11" t="s">
        <v>2167</v>
      </c>
      <c r="H314" s="11"/>
      <c r="I314" s="11" t="s">
        <v>512</v>
      </c>
      <c r="J314" s="11" t="s">
        <v>2441</v>
      </c>
      <c r="K314" s="11" t="s">
        <v>2442</v>
      </c>
      <c r="L314" s="11" t="s">
        <v>2443</v>
      </c>
      <c r="M314" s="11"/>
      <c r="N314" s="14" t="n">
        <v>3</v>
      </c>
      <c r="O314" s="14" t="n">
        <v>3</v>
      </c>
      <c r="P314" s="14" t="n">
        <v>1</v>
      </c>
      <c r="Q314" s="14"/>
      <c r="R314" s="12" t="n">
        <f aca="false">IF(OR(N314="",P314=""),"",ROUND(N314*O314/P314,1))</f>
        <v>9</v>
      </c>
      <c r="S314" s="13" t="n">
        <f aca="false">IF(R314="","",IF(Q314="Y",1,IF(P314&gt;='Read me'!$B$16,3,IF(AND(R314&gt;='Read me'!$B$14,P314&lt;='Read me'!$B$15),1,2))))</f>
        <v>1</v>
      </c>
    </row>
    <row r="315" customFormat="false" ht="23.85" hidden="false" customHeight="false" outlineLevel="0" collapsed="false">
      <c r="A315" s="11" t="s">
        <v>2444</v>
      </c>
      <c r="B315" s="11" t="s">
        <v>34</v>
      </c>
      <c r="C315" s="11" t="s">
        <v>133</v>
      </c>
      <c r="D315" s="11" t="s">
        <v>134</v>
      </c>
      <c r="E315" s="11" t="s">
        <v>765</v>
      </c>
      <c r="F315" s="11" t="s">
        <v>2445</v>
      </c>
      <c r="G315" s="11" t="s">
        <v>822</v>
      </c>
      <c r="H315" s="11"/>
      <c r="I315" s="11" t="s">
        <v>2446</v>
      </c>
      <c r="J315" s="11" t="s">
        <v>2447</v>
      </c>
      <c r="K315" s="11" t="s">
        <v>1993</v>
      </c>
      <c r="L315" s="11" t="s">
        <v>2448</v>
      </c>
      <c r="M315" s="11"/>
      <c r="N315" s="14" t="n">
        <v>2</v>
      </c>
      <c r="O315" s="14" t="n">
        <v>2</v>
      </c>
      <c r="P315" s="14" t="n">
        <v>2</v>
      </c>
      <c r="Q315" s="14"/>
      <c r="R315" s="12" t="n">
        <f aca="false">IF(OR(N315="",P315=""),"",ROUND(N315*O315/P315,1))</f>
        <v>2</v>
      </c>
      <c r="S315" s="13" t="n">
        <f aca="false">IF(R315="","",IF(Q315="Y",1,IF(P315&gt;='Read me'!$B$16,3,IF(AND(R315&gt;='Read me'!$B$14,P315&lt;='Read me'!$B$15),1,2))))</f>
        <v>2</v>
      </c>
    </row>
    <row r="316" customFormat="false" ht="23.85" hidden="false" customHeight="false" outlineLevel="0" collapsed="false">
      <c r="A316" s="11" t="s">
        <v>2449</v>
      </c>
      <c r="B316" s="11" t="s">
        <v>34</v>
      </c>
      <c r="C316" s="11" t="s">
        <v>133</v>
      </c>
      <c r="D316" s="11" t="s">
        <v>134</v>
      </c>
      <c r="E316" s="11" t="s">
        <v>765</v>
      </c>
      <c r="F316" s="11" t="s">
        <v>2450</v>
      </c>
      <c r="G316" s="11" t="s">
        <v>946</v>
      </c>
      <c r="H316" s="11" t="s">
        <v>2451</v>
      </c>
      <c r="I316" s="11" t="s">
        <v>512</v>
      </c>
      <c r="J316" s="11" t="s">
        <v>2452</v>
      </c>
      <c r="K316" s="11" t="s">
        <v>2222</v>
      </c>
      <c r="L316" s="11" t="s">
        <v>2453</v>
      </c>
      <c r="M316" s="11"/>
      <c r="N316" s="14" t="n">
        <v>1</v>
      </c>
      <c r="O316" s="14" t="n">
        <v>3</v>
      </c>
      <c r="P316" s="14" t="n">
        <v>2</v>
      </c>
      <c r="Q316" s="14"/>
      <c r="R316" s="12" t="n">
        <f aca="false">IF(OR(N316="",P316=""),"",ROUND(N316*O316/P316,1))</f>
        <v>1.5</v>
      </c>
      <c r="S316" s="13" t="n">
        <f aca="false">IF(R316="","",IF(Q316="Y",1,IF(P316&gt;='Read me'!$B$16,3,IF(AND(R316&gt;='Read me'!$B$14,P316&lt;='Read me'!$B$15),1,2))))</f>
        <v>2</v>
      </c>
    </row>
    <row r="317" customFormat="false" ht="23.85" hidden="false" customHeight="false" outlineLevel="0" collapsed="false">
      <c r="A317" s="11" t="s">
        <v>2454</v>
      </c>
      <c r="B317" s="11" t="s">
        <v>34</v>
      </c>
      <c r="C317" s="11" t="s">
        <v>133</v>
      </c>
      <c r="D317" s="11" t="s">
        <v>134</v>
      </c>
      <c r="E317" s="11" t="s">
        <v>1081</v>
      </c>
      <c r="F317" s="11" t="s">
        <v>2455</v>
      </c>
      <c r="G317" s="11" t="s">
        <v>2456</v>
      </c>
      <c r="H317" s="11"/>
      <c r="I317" s="11" t="s">
        <v>2457</v>
      </c>
      <c r="J317" s="11" t="s">
        <v>2353</v>
      </c>
      <c r="K317" s="11" t="s">
        <v>1103</v>
      </c>
      <c r="L317" s="11" t="s">
        <v>1087</v>
      </c>
      <c r="M317" s="11"/>
      <c r="N317" s="14" t="n">
        <v>5</v>
      </c>
      <c r="O317" s="14" t="n">
        <v>4</v>
      </c>
      <c r="P317" s="14" t="n">
        <v>2</v>
      </c>
      <c r="Q317" s="14"/>
      <c r="R317" s="12" t="n">
        <f aca="false">IF(OR(N317="",P317=""),"",ROUND(N317*O317/P317,1))</f>
        <v>10</v>
      </c>
      <c r="S317" s="13" t="n">
        <f aca="false">IF(R317="","",IF(Q317="Y",1,IF(P317&gt;='Read me'!$B$16,3,IF(AND(R317&gt;='Read me'!$B$14,P317&lt;='Read me'!$B$15),1,2))))</f>
        <v>1</v>
      </c>
    </row>
    <row r="318" customFormat="false" ht="23.85" hidden="false" customHeight="false" outlineLevel="0" collapsed="false">
      <c r="A318" s="11" t="s">
        <v>2458</v>
      </c>
      <c r="B318" s="11" t="s">
        <v>34</v>
      </c>
      <c r="C318" s="11" t="s">
        <v>133</v>
      </c>
      <c r="D318" s="11" t="s">
        <v>134</v>
      </c>
      <c r="E318" s="11" t="s">
        <v>1081</v>
      </c>
      <c r="F318" s="11" t="s">
        <v>2459</v>
      </c>
      <c r="G318" s="11" t="s">
        <v>2460</v>
      </c>
      <c r="H318" s="11"/>
      <c r="I318" s="11" t="s">
        <v>2461</v>
      </c>
      <c r="J318" s="11" t="s">
        <v>2462</v>
      </c>
      <c r="K318" s="11" t="s">
        <v>1028</v>
      </c>
      <c r="L318" s="11" t="s">
        <v>2463</v>
      </c>
      <c r="M318" s="11"/>
      <c r="N318" s="14" t="n">
        <v>3</v>
      </c>
      <c r="O318" s="14" t="n">
        <v>2</v>
      </c>
      <c r="P318" s="14" t="n">
        <v>1</v>
      </c>
      <c r="Q318" s="14"/>
      <c r="R318" s="12" t="n">
        <f aca="false">IF(OR(N318="",P318=""),"",ROUND(N318*O318/P318,1))</f>
        <v>6</v>
      </c>
      <c r="S318" s="13" t="n">
        <f aca="false">IF(R318="","",IF(Q318="Y",1,IF(P318&gt;='Read me'!$B$16,3,IF(AND(R318&gt;='Read me'!$B$14,P318&lt;='Read me'!$B$15),1,2))))</f>
        <v>1</v>
      </c>
    </row>
    <row r="319" customFormat="false" ht="46.25" hidden="false" customHeight="false" outlineLevel="0" collapsed="false">
      <c r="A319" s="11" t="s">
        <v>2464</v>
      </c>
      <c r="B319" s="11" t="s">
        <v>34</v>
      </c>
      <c r="C319" s="11" t="s">
        <v>133</v>
      </c>
      <c r="D319" s="11" t="s">
        <v>134</v>
      </c>
      <c r="E319" s="11" t="s">
        <v>1081</v>
      </c>
      <c r="F319" s="11" t="s">
        <v>2465</v>
      </c>
      <c r="G319" s="11" t="s">
        <v>2456</v>
      </c>
      <c r="H319" s="11" t="s">
        <v>2466</v>
      </c>
      <c r="I319" s="11" t="s">
        <v>2467</v>
      </c>
      <c r="J319" s="11" t="s">
        <v>2468</v>
      </c>
      <c r="K319" s="11" t="s">
        <v>2469</v>
      </c>
      <c r="L319" s="11" t="s">
        <v>2470</v>
      </c>
      <c r="M319" s="11"/>
      <c r="N319" s="14" t="n">
        <v>2</v>
      </c>
      <c r="O319" s="14" t="n">
        <v>4</v>
      </c>
      <c r="P319" s="14" t="n">
        <v>3</v>
      </c>
      <c r="Q319" s="14"/>
      <c r="R319" s="12" t="n">
        <f aca="false">IF(OR(N319="",P319=""),"",ROUND(N319*O319/P319,1))</f>
        <v>2.7</v>
      </c>
      <c r="S319" s="13" t="n">
        <f aca="false">IF(R319="","",IF(Q319="Y",1,IF(P319&gt;='Read me'!$B$16,3,IF(AND(R319&gt;='Read me'!$B$14,P319&lt;='Read me'!$B$15),1,2))))</f>
        <v>2</v>
      </c>
    </row>
    <row r="320" customFormat="false" ht="23.85" hidden="false" customHeight="false" outlineLevel="0" collapsed="false">
      <c r="A320" s="11" t="s">
        <v>2471</v>
      </c>
      <c r="B320" s="11" t="s">
        <v>34</v>
      </c>
      <c r="C320" s="11" t="s">
        <v>133</v>
      </c>
      <c r="D320" s="11" t="s">
        <v>134</v>
      </c>
      <c r="E320" s="11" t="s">
        <v>1081</v>
      </c>
      <c r="F320" s="11" t="s">
        <v>2450</v>
      </c>
      <c r="G320" s="11" t="s">
        <v>2456</v>
      </c>
      <c r="H320" s="11" t="s">
        <v>2472</v>
      </c>
      <c r="I320" s="11" t="s">
        <v>2473</v>
      </c>
      <c r="J320" s="11" t="s">
        <v>2474</v>
      </c>
      <c r="K320" s="11" t="s">
        <v>2222</v>
      </c>
      <c r="L320" s="11" t="s">
        <v>2475</v>
      </c>
      <c r="M320" s="11"/>
      <c r="N320" s="14" t="n">
        <v>2</v>
      </c>
      <c r="O320" s="14" t="n">
        <v>3</v>
      </c>
      <c r="P320" s="14" t="n">
        <v>2</v>
      </c>
      <c r="Q320" s="14"/>
      <c r="R320" s="12" t="n">
        <f aca="false">IF(OR(N320="",P320=""),"",ROUND(N320*O320/P320,1))</f>
        <v>3</v>
      </c>
      <c r="S320" s="13" t="n">
        <f aca="false">IF(R320="","",IF(Q320="Y",1,IF(P320&gt;='Read me'!$B$16,3,IF(AND(R320&gt;='Read me'!$B$14,P320&lt;='Read me'!$B$15),1,2))))</f>
        <v>2</v>
      </c>
    </row>
    <row r="321" customFormat="false" ht="23.85" hidden="false" customHeight="false" outlineLevel="0" collapsed="false">
      <c r="A321" s="11" t="s">
        <v>2476</v>
      </c>
      <c r="B321" s="11" t="s">
        <v>34</v>
      </c>
      <c r="C321" s="11" t="s">
        <v>133</v>
      </c>
      <c r="D321" s="11" t="s">
        <v>134</v>
      </c>
      <c r="E321" s="11" t="s">
        <v>1081</v>
      </c>
      <c r="F321" s="11" t="s">
        <v>2477</v>
      </c>
      <c r="G321" s="11" t="s">
        <v>1188</v>
      </c>
      <c r="H321" s="11" t="s">
        <v>2478</v>
      </c>
      <c r="I321" s="11" t="s">
        <v>2479</v>
      </c>
      <c r="J321" s="11" t="s">
        <v>2480</v>
      </c>
      <c r="K321" s="11" t="s">
        <v>2481</v>
      </c>
      <c r="L321" s="11" t="s">
        <v>2482</v>
      </c>
      <c r="M321" s="11"/>
      <c r="N321" s="14" t="n">
        <v>1</v>
      </c>
      <c r="O321" s="14" t="n">
        <v>3</v>
      </c>
      <c r="P321" s="14" t="n">
        <v>2</v>
      </c>
      <c r="Q321" s="14"/>
      <c r="R321" s="12" t="n">
        <f aca="false">IF(OR(N321="",P321=""),"",ROUND(N321*O321/P321,1))</f>
        <v>1.5</v>
      </c>
      <c r="S321" s="13" t="n">
        <f aca="false">IF(R321="","",IF(Q321="Y",1,IF(P321&gt;='Read me'!$B$16,3,IF(AND(R321&gt;='Read me'!$B$14,P321&lt;='Read me'!$B$15),1,2))))</f>
        <v>2</v>
      </c>
    </row>
    <row r="322" customFormat="false" ht="23.85" hidden="false" customHeight="false" outlineLevel="0" collapsed="false">
      <c r="A322" s="11" t="s">
        <v>2483</v>
      </c>
      <c r="B322" s="11" t="s">
        <v>34</v>
      </c>
      <c r="C322" s="11" t="s">
        <v>133</v>
      </c>
      <c r="D322" s="11" t="s">
        <v>134</v>
      </c>
      <c r="E322" s="11" t="s">
        <v>1133</v>
      </c>
      <c r="F322" s="11" t="s">
        <v>2484</v>
      </c>
      <c r="G322" s="11" t="s">
        <v>2485</v>
      </c>
      <c r="H322" s="11" t="s">
        <v>2486</v>
      </c>
      <c r="I322" s="11" t="s">
        <v>2487</v>
      </c>
      <c r="J322" s="11" t="s">
        <v>2488</v>
      </c>
      <c r="K322" s="11" t="s">
        <v>2489</v>
      </c>
      <c r="L322" s="11" t="s">
        <v>2490</v>
      </c>
      <c r="M322" s="11"/>
      <c r="N322" s="14" t="n">
        <v>2</v>
      </c>
      <c r="O322" s="14" t="n">
        <v>3</v>
      </c>
      <c r="P322" s="14" t="n">
        <v>3</v>
      </c>
      <c r="Q322" s="14"/>
      <c r="R322" s="12" t="n">
        <f aca="false">IF(OR(N322="",P322=""),"",ROUND(N322*O322/P322,1))</f>
        <v>2</v>
      </c>
      <c r="S322" s="13" t="n">
        <f aca="false">IF(R322="","",IF(Q322="Y",1,IF(P322&gt;='Read me'!$B$16,3,IF(AND(R322&gt;='Read me'!$B$14,P322&lt;='Read me'!$B$15),1,2))))</f>
        <v>2</v>
      </c>
    </row>
    <row r="323" customFormat="false" ht="23.85" hidden="false" customHeight="false" outlineLevel="0" collapsed="false">
      <c r="A323" s="11" t="s">
        <v>2491</v>
      </c>
      <c r="B323" s="11" t="s">
        <v>34</v>
      </c>
      <c r="C323" s="11" t="s">
        <v>133</v>
      </c>
      <c r="D323" s="11" t="s">
        <v>134</v>
      </c>
      <c r="E323" s="11" t="s">
        <v>1133</v>
      </c>
      <c r="F323" s="11" t="s">
        <v>2492</v>
      </c>
      <c r="G323" s="11" t="s">
        <v>2485</v>
      </c>
      <c r="H323" s="11" t="s">
        <v>2493</v>
      </c>
      <c r="I323" s="11" t="s">
        <v>2494</v>
      </c>
      <c r="J323" s="11" t="s">
        <v>2495</v>
      </c>
      <c r="K323" s="11" t="s">
        <v>1417</v>
      </c>
      <c r="L323" s="11" t="s">
        <v>2496</v>
      </c>
      <c r="M323" s="11"/>
      <c r="N323" s="14" t="n">
        <v>1</v>
      </c>
      <c r="O323" s="14" t="n">
        <v>3</v>
      </c>
      <c r="P323" s="14" t="n">
        <v>3</v>
      </c>
      <c r="Q323" s="14"/>
      <c r="R323" s="12" t="n">
        <f aca="false">IF(OR(N323="",P323=""),"",ROUND(N323*O323/P323,1))</f>
        <v>1</v>
      </c>
      <c r="S323" s="13" t="n">
        <f aca="false">IF(R323="","",IF(Q323="Y",1,IF(P323&gt;='Read me'!$B$16,3,IF(AND(R323&gt;='Read me'!$B$14,P323&lt;='Read me'!$B$15),1,2))))</f>
        <v>2</v>
      </c>
    </row>
    <row r="324" customFormat="false" ht="23.85" hidden="false" customHeight="false" outlineLevel="0" collapsed="false">
      <c r="A324" s="11" t="s">
        <v>2497</v>
      </c>
      <c r="B324" s="11" t="s">
        <v>34</v>
      </c>
      <c r="C324" s="11" t="s">
        <v>133</v>
      </c>
      <c r="D324" s="11" t="s">
        <v>134</v>
      </c>
      <c r="E324" s="11" t="s">
        <v>1372</v>
      </c>
      <c r="F324" s="11" t="s">
        <v>2498</v>
      </c>
      <c r="G324" s="11" t="s">
        <v>511</v>
      </c>
      <c r="H324" s="11"/>
      <c r="I324" s="11" t="s">
        <v>2499</v>
      </c>
      <c r="J324" s="11" t="s">
        <v>2500</v>
      </c>
      <c r="K324" s="11" t="s">
        <v>2136</v>
      </c>
      <c r="L324" s="11" t="s">
        <v>2137</v>
      </c>
      <c r="M324" s="11"/>
      <c r="N324" s="14" t="n">
        <v>4</v>
      </c>
      <c r="O324" s="14" t="n">
        <v>3</v>
      </c>
      <c r="P324" s="14" t="n">
        <v>1</v>
      </c>
      <c r="Q324" s="14"/>
      <c r="R324" s="12" t="n">
        <f aca="false">IF(OR(N324="",P324=""),"",ROUND(N324*O324/P324,1))</f>
        <v>12</v>
      </c>
      <c r="S324" s="13" t="n">
        <f aca="false">IF(R324="","",IF(Q324="Y",1,IF(P324&gt;='Read me'!$B$16,3,IF(AND(R324&gt;='Read me'!$B$14,P324&lt;='Read me'!$B$15),1,2))))</f>
        <v>1</v>
      </c>
    </row>
    <row r="325" customFormat="false" ht="23.85" hidden="false" customHeight="false" outlineLevel="0" collapsed="false">
      <c r="A325" s="11" t="s">
        <v>2501</v>
      </c>
      <c r="B325" s="11" t="s">
        <v>34</v>
      </c>
      <c r="C325" s="11" t="s">
        <v>137</v>
      </c>
      <c r="D325" s="11" t="s">
        <v>138</v>
      </c>
      <c r="E325" s="11" t="s">
        <v>476</v>
      </c>
      <c r="F325" s="11" t="s">
        <v>2502</v>
      </c>
      <c r="G325" s="11" t="s">
        <v>2503</v>
      </c>
      <c r="H325" s="11"/>
      <c r="I325" s="11" t="s">
        <v>512</v>
      </c>
      <c r="J325" s="11" t="s">
        <v>2504</v>
      </c>
      <c r="K325" s="11" t="s">
        <v>2505</v>
      </c>
      <c r="L325" s="11" t="s">
        <v>2506</v>
      </c>
      <c r="M325" s="11"/>
      <c r="N325" s="14" t="n">
        <v>2</v>
      </c>
      <c r="O325" s="14" t="n">
        <v>4</v>
      </c>
      <c r="P325" s="14" t="n">
        <v>3</v>
      </c>
      <c r="Q325" s="14"/>
      <c r="R325" s="12" t="n">
        <f aca="false">IF(OR(N325="",P325=""),"",ROUND(N325*O325/P325,1))</f>
        <v>2.7</v>
      </c>
      <c r="S325" s="13" t="n">
        <f aca="false">IF(R325="","",IF(Q325="Y",1,IF(P325&gt;='Read me'!$B$16,3,IF(AND(R325&gt;='Read me'!$B$14,P325&lt;='Read me'!$B$15),1,2))))</f>
        <v>2</v>
      </c>
    </row>
    <row r="326" customFormat="false" ht="23.85" hidden="false" customHeight="false" outlineLevel="0" collapsed="false">
      <c r="A326" s="11" t="s">
        <v>2507</v>
      </c>
      <c r="B326" s="11" t="s">
        <v>34</v>
      </c>
      <c r="C326" s="11" t="s">
        <v>137</v>
      </c>
      <c r="D326" s="11" t="s">
        <v>138</v>
      </c>
      <c r="E326" s="11" t="s">
        <v>532</v>
      </c>
      <c r="F326" s="11" t="s">
        <v>2508</v>
      </c>
      <c r="G326" s="11" t="s">
        <v>2509</v>
      </c>
      <c r="H326" s="11"/>
      <c r="I326" s="11" t="s">
        <v>2510</v>
      </c>
      <c r="J326" s="11" t="s">
        <v>2511</v>
      </c>
      <c r="K326" s="11" t="s">
        <v>2320</v>
      </c>
      <c r="L326" s="11" t="s">
        <v>2512</v>
      </c>
      <c r="M326" s="11"/>
      <c r="N326" s="14" t="n">
        <v>3</v>
      </c>
      <c r="O326" s="14" t="n">
        <v>3</v>
      </c>
      <c r="P326" s="14" t="n">
        <v>2</v>
      </c>
      <c r="Q326" s="14"/>
      <c r="R326" s="12" t="n">
        <f aca="false">IF(OR(N326="",P326=""),"",ROUND(N326*O326/P326,1))</f>
        <v>4.5</v>
      </c>
      <c r="S326" s="13" t="n">
        <f aca="false">IF(R326="","",IF(Q326="Y",1,IF(P326&gt;='Read me'!$B$16,3,IF(AND(R326&gt;='Read me'!$B$14,P326&lt;='Read me'!$B$15),1,2))))</f>
        <v>2</v>
      </c>
    </row>
    <row r="327" customFormat="false" ht="46.25" hidden="false" customHeight="false" outlineLevel="0" collapsed="false">
      <c r="A327" s="11" t="s">
        <v>2513</v>
      </c>
      <c r="B327" s="11" t="s">
        <v>34</v>
      </c>
      <c r="C327" s="11" t="s">
        <v>137</v>
      </c>
      <c r="D327" s="11" t="s">
        <v>138</v>
      </c>
      <c r="E327" s="11" t="s">
        <v>532</v>
      </c>
      <c r="F327" s="11" t="s">
        <v>2514</v>
      </c>
      <c r="G327" s="11" t="s">
        <v>2515</v>
      </c>
      <c r="H327" s="11"/>
      <c r="I327" s="11" t="s">
        <v>2516</v>
      </c>
      <c r="J327" s="11" t="s">
        <v>2517</v>
      </c>
      <c r="K327" s="11" t="s">
        <v>2518</v>
      </c>
      <c r="L327" s="11" t="s">
        <v>2519</v>
      </c>
      <c r="M327" s="11" t="s">
        <v>2204</v>
      </c>
      <c r="N327" s="14" t="n">
        <v>2</v>
      </c>
      <c r="O327" s="14" t="n">
        <v>3</v>
      </c>
      <c r="P327" s="14" t="n">
        <v>3</v>
      </c>
      <c r="Q327" s="14"/>
      <c r="R327" s="12" t="n">
        <f aca="false">IF(OR(N327="",P327=""),"",ROUND(N327*O327/P327,1))</f>
        <v>2</v>
      </c>
      <c r="S327" s="13" t="n">
        <f aca="false">IF(R327="","",IF(Q327="Y",1,IF(P327&gt;='Read me'!$B$16,3,IF(AND(R327&gt;='Read me'!$B$14,P327&lt;='Read me'!$B$15),1,2))))</f>
        <v>2</v>
      </c>
    </row>
    <row r="328" customFormat="false" ht="23.85" hidden="false" customHeight="false" outlineLevel="0" collapsed="false">
      <c r="A328" s="11" t="s">
        <v>2520</v>
      </c>
      <c r="B328" s="11" t="s">
        <v>34</v>
      </c>
      <c r="C328" s="11" t="s">
        <v>137</v>
      </c>
      <c r="D328" s="11" t="s">
        <v>138</v>
      </c>
      <c r="E328" s="11" t="s">
        <v>532</v>
      </c>
      <c r="F328" s="11" t="s">
        <v>2521</v>
      </c>
      <c r="G328" s="11" t="s">
        <v>648</v>
      </c>
      <c r="H328" s="11"/>
      <c r="I328" s="11" t="s">
        <v>2522</v>
      </c>
      <c r="J328" s="11" t="s">
        <v>2523</v>
      </c>
      <c r="K328" s="11" t="s">
        <v>2524</v>
      </c>
      <c r="L328" s="11" t="s">
        <v>2525</v>
      </c>
      <c r="M328" s="11"/>
      <c r="N328" s="14" t="n">
        <v>2</v>
      </c>
      <c r="O328" s="14" t="n">
        <v>4</v>
      </c>
      <c r="P328" s="14" t="n">
        <v>4</v>
      </c>
      <c r="Q328" s="14"/>
      <c r="R328" s="12" t="n">
        <f aca="false">IF(OR(N328="",P328=""),"",ROUND(N328*O328/P328,1))</f>
        <v>2</v>
      </c>
      <c r="S328" s="13" t="n">
        <f aca="false">IF(R328="","",IF(Q328="Y",1,IF(P328&gt;='Read me'!$B$16,3,IF(AND(R328&gt;='Read me'!$B$14,P328&lt;='Read me'!$B$15),1,2))))</f>
        <v>3</v>
      </c>
    </row>
    <row r="329" customFormat="false" ht="23.85" hidden="false" customHeight="false" outlineLevel="0" collapsed="false">
      <c r="A329" s="11" t="s">
        <v>2526</v>
      </c>
      <c r="B329" s="11" t="s">
        <v>34</v>
      </c>
      <c r="C329" s="11" t="s">
        <v>137</v>
      </c>
      <c r="D329" s="11" t="s">
        <v>138</v>
      </c>
      <c r="E329" s="11" t="s">
        <v>532</v>
      </c>
      <c r="F329" s="11" t="s">
        <v>2527</v>
      </c>
      <c r="G329" s="11" t="s">
        <v>648</v>
      </c>
      <c r="H329" s="11"/>
      <c r="I329" s="11" t="s">
        <v>2528</v>
      </c>
      <c r="J329" s="11" t="s">
        <v>2529</v>
      </c>
      <c r="K329" s="11" t="s">
        <v>2530</v>
      </c>
      <c r="L329" s="11" t="s">
        <v>2531</v>
      </c>
      <c r="M329" s="11"/>
      <c r="N329" s="14" t="n">
        <v>2</v>
      </c>
      <c r="O329" s="14" t="n">
        <v>4</v>
      </c>
      <c r="P329" s="14" t="n">
        <v>3</v>
      </c>
      <c r="Q329" s="14"/>
      <c r="R329" s="12" t="n">
        <f aca="false">IF(OR(N329="",P329=""),"",ROUND(N329*O329/P329,1))</f>
        <v>2.7</v>
      </c>
      <c r="S329" s="13" t="n">
        <f aca="false">IF(R329="","",IF(Q329="Y",1,IF(P329&gt;='Read me'!$B$16,3,IF(AND(R329&gt;='Read me'!$B$14,P329&lt;='Read me'!$B$15),1,2))))</f>
        <v>2</v>
      </c>
    </row>
    <row r="330" customFormat="false" ht="23.85" hidden="false" customHeight="false" outlineLevel="0" collapsed="false">
      <c r="A330" s="11" t="s">
        <v>2532</v>
      </c>
      <c r="B330" s="11" t="s">
        <v>34</v>
      </c>
      <c r="C330" s="11" t="s">
        <v>137</v>
      </c>
      <c r="D330" s="11" t="s">
        <v>138</v>
      </c>
      <c r="E330" s="11" t="s">
        <v>532</v>
      </c>
      <c r="F330" s="11" t="s">
        <v>2533</v>
      </c>
      <c r="G330" s="11" t="s">
        <v>2534</v>
      </c>
      <c r="H330" s="11"/>
      <c r="I330" s="11" t="s">
        <v>2535</v>
      </c>
      <c r="J330" s="11" t="s">
        <v>2536</v>
      </c>
      <c r="K330" s="11" t="s">
        <v>1806</v>
      </c>
      <c r="L330" s="11" t="s">
        <v>2537</v>
      </c>
      <c r="M330" s="11"/>
      <c r="N330" s="14" t="n">
        <v>1</v>
      </c>
      <c r="O330" s="14" t="n">
        <v>4</v>
      </c>
      <c r="P330" s="14" t="n">
        <v>4</v>
      </c>
      <c r="Q330" s="14"/>
      <c r="R330" s="12" t="n">
        <f aca="false">IF(OR(N330="",P330=""),"",ROUND(N330*O330/P330,1))</f>
        <v>1</v>
      </c>
      <c r="S330" s="13" t="n">
        <f aca="false">IF(R330="","",IF(Q330="Y",1,IF(P330&gt;='Read me'!$B$16,3,IF(AND(R330&gt;='Read me'!$B$14,P330&lt;='Read me'!$B$15),1,2))))</f>
        <v>3</v>
      </c>
    </row>
    <row r="331" customFormat="false" ht="23.85" hidden="false" customHeight="false" outlineLevel="0" collapsed="false">
      <c r="A331" s="11" t="s">
        <v>2538</v>
      </c>
      <c r="B331" s="11" t="s">
        <v>34</v>
      </c>
      <c r="C331" s="11" t="s">
        <v>137</v>
      </c>
      <c r="D331" s="11" t="s">
        <v>138</v>
      </c>
      <c r="E331" s="11" t="s">
        <v>751</v>
      </c>
      <c r="F331" s="11" t="s">
        <v>2539</v>
      </c>
      <c r="G331" s="11" t="s">
        <v>2540</v>
      </c>
      <c r="H331" s="11"/>
      <c r="I331" s="11" t="s">
        <v>2541</v>
      </c>
      <c r="J331" s="11" t="s">
        <v>2542</v>
      </c>
      <c r="K331" s="11" t="s">
        <v>1254</v>
      </c>
      <c r="L331" s="11" t="s">
        <v>2543</v>
      </c>
      <c r="M331" s="11" t="s">
        <v>1577</v>
      </c>
      <c r="N331" s="14" t="n">
        <v>2</v>
      </c>
      <c r="O331" s="14" t="n">
        <v>2</v>
      </c>
      <c r="P331" s="14" t="n">
        <v>2</v>
      </c>
      <c r="Q331" s="14"/>
      <c r="R331" s="12" t="n">
        <f aca="false">IF(OR(N331="",P331=""),"",ROUND(N331*O331/P331,1))</f>
        <v>2</v>
      </c>
      <c r="S331" s="13" t="n">
        <f aca="false">IF(R331="","",IF(Q331="Y",1,IF(P331&gt;='Read me'!$B$16,3,IF(AND(R331&gt;='Read me'!$B$14,P331&lt;='Read me'!$B$15),1,2))))</f>
        <v>2</v>
      </c>
    </row>
    <row r="332" customFormat="false" ht="23.85" hidden="false" customHeight="false" outlineLevel="0" collapsed="false">
      <c r="A332" s="11" t="s">
        <v>2544</v>
      </c>
      <c r="B332" s="11" t="s">
        <v>34</v>
      </c>
      <c r="C332" s="11" t="s">
        <v>137</v>
      </c>
      <c r="D332" s="11" t="s">
        <v>138</v>
      </c>
      <c r="E332" s="11" t="s">
        <v>802</v>
      </c>
      <c r="F332" s="11" t="s">
        <v>2545</v>
      </c>
      <c r="G332" s="11" t="s">
        <v>2546</v>
      </c>
      <c r="H332" s="11"/>
      <c r="I332" s="11" t="s">
        <v>2547</v>
      </c>
      <c r="J332" s="11" t="s">
        <v>2548</v>
      </c>
      <c r="K332" s="11" t="s">
        <v>2549</v>
      </c>
      <c r="L332" s="11" t="s">
        <v>2550</v>
      </c>
      <c r="M332" s="11"/>
      <c r="N332" s="14" t="n">
        <v>3</v>
      </c>
      <c r="O332" s="14" t="n">
        <v>3</v>
      </c>
      <c r="P332" s="14" t="n">
        <v>1</v>
      </c>
      <c r="Q332" s="14"/>
      <c r="R332" s="12" t="n">
        <f aca="false">IF(OR(N332="",P332=""),"",ROUND(N332*O332/P332,1))</f>
        <v>9</v>
      </c>
      <c r="S332" s="13" t="n">
        <f aca="false">IF(R332="","",IF(Q332="Y",1,IF(P332&gt;='Read me'!$B$16,3,IF(AND(R332&gt;='Read me'!$B$14,P332&lt;='Read me'!$B$15),1,2))))</f>
        <v>1</v>
      </c>
    </row>
    <row r="333" customFormat="false" ht="23.85" hidden="false" customHeight="false" outlineLevel="0" collapsed="false">
      <c r="A333" s="11" t="s">
        <v>2551</v>
      </c>
      <c r="B333" s="11" t="s">
        <v>34</v>
      </c>
      <c r="C333" s="11" t="s">
        <v>137</v>
      </c>
      <c r="D333" s="11" t="s">
        <v>138</v>
      </c>
      <c r="E333" s="11" t="s">
        <v>765</v>
      </c>
      <c r="F333" s="11" t="s">
        <v>2552</v>
      </c>
      <c r="G333" s="11" t="s">
        <v>822</v>
      </c>
      <c r="H333" s="11"/>
      <c r="I333" s="11" t="s">
        <v>2553</v>
      </c>
      <c r="J333" s="11" t="s">
        <v>2554</v>
      </c>
      <c r="K333" s="11" t="s">
        <v>1993</v>
      </c>
      <c r="L333" s="11" t="s">
        <v>2348</v>
      </c>
      <c r="M333" s="11"/>
      <c r="N333" s="14" t="n">
        <v>1</v>
      </c>
      <c r="O333" s="14" t="n">
        <v>2</v>
      </c>
      <c r="P333" s="14" t="n">
        <v>1</v>
      </c>
      <c r="Q333" s="14"/>
      <c r="R333" s="12" t="n">
        <f aca="false">IF(OR(N333="",P333=""),"",ROUND(N333*O333/P333,1))</f>
        <v>2</v>
      </c>
      <c r="S333" s="13" t="n">
        <f aca="false">IF(R333="","",IF(Q333="Y",1,IF(P333&gt;='Read me'!$B$16,3,IF(AND(R333&gt;='Read me'!$B$14,P333&lt;='Read me'!$B$15),1,2))))</f>
        <v>2</v>
      </c>
    </row>
    <row r="334" customFormat="false" ht="23.85" hidden="false" customHeight="false" outlineLevel="0" collapsed="false">
      <c r="A334" s="11" t="s">
        <v>2555</v>
      </c>
      <c r="B334" s="11" t="s">
        <v>34</v>
      </c>
      <c r="C334" s="11" t="s">
        <v>137</v>
      </c>
      <c r="D334" s="11" t="s">
        <v>138</v>
      </c>
      <c r="E334" s="11" t="s">
        <v>1081</v>
      </c>
      <c r="F334" s="11" t="s">
        <v>2556</v>
      </c>
      <c r="G334" s="11" t="s">
        <v>1118</v>
      </c>
      <c r="H334" s="11"/>
      <c r="I334" s="11" t="s">
        <v>2557</v>
      </c>
      <c r="J334" s="11" t="s">
        <v>2558</v>
      </c>
      <c r="K334" s="11" t="s">
        <v>2272</v>
      </c>
      <c r="L334" s="11" t="s">
        <v>2559</v>
      </c>
      <c r="M334" s="11"/>
      <c r="N334" s="14" t="n">
        <v>2</v>
      </c>
      <c r="O334" s="14" t="n">
        <v>2</v>
      </c>
      <c r="P334" s="14" t="n">
        <v>1</v>
      </c>
      <c r="Q334" s="14"/>
      <c r="R334" s="12" t="n">
        <f aca="false">IF(OR(N334="",P334=""),"",ROUND(N334*O334/P334,1))</f>
        <v>4</v>
      </c>
      <c r="S334" s="13" t="n">
        <f aca="false">IF(R334="","",IF(Q334="Y",1,IF(P334&gt;='Read me'!$B$16,3,IF(AND(R334&gt;='Read me'!$B$14,P334&lt;='Read me'!$B$15),1,2))))</f>
        <v>2</v>
      </c>
    </row>
    <row r="335" customFormat="false" ht="68.65" hidden="false" customHeight="false" outlineLevel="0" collapsed="false">
      <c r="A335" s="11" t="s">
        <v>2560</v>
      </c>
      <c r="B335" s="11" t="s">
        <v>34</v>
      </c>
      <c r="C335" s="11" t="s">
        <v>137</v>
      </c>
      <c r="D335" s="11" t="s">
        <v>138</v>
      </c>
      <c r="E335" s="11" t="s">
        <v>1187</v>
      </c>
      <c r="F335" s="11" t="s">
        <v>2561</v>
      </c>
      <c r="G335" s="11" t="s">
        <v>2562</v>
      </c>
      <c r="H335" s="11" t="s">
        <v>1165</v>
      </c>
      <c r="I335" s="11" t="s">
        <v>2563</v>
      </c>
      <c r="J335" s="11" t="s">
        <v>2564</v>
      </c>
      <c r="K335" s="11" t="s">
        <v>2565</v>
      </c>
      <c r="L335" s="11" t="s">
        <v>2362</v>
      </c>
      <c r="M335" s="11"/>
      <c r="N335" s="14" t="n">
        <v>1</v>
      </c>
      <c r="O335" s="14" t="n">
        <v>3</v>
      </c>
      <c r="P335" s="14" t="n">
        <v>3</v>
      </c>
      <c r="Q335" s="14"/>
      <c r="R335" s="12" t="n">
        <f aca="false">IF(OR(N335="",P335=""),"",ROUND(N335*O335/P335,1))</f>
        <v>1</v>
      </c>
      <c r="S335" s="13" t="n">
        <f aca="false">IF(R335="","",IF(Q335="Y",1,IF(P335&gt;='Read me'!$B$16,3,IF(AND(R335&gt;='Read me'!$B$14,P335&lt;='Read me'!$B$15),1,2))))</f>
        <v>2</v>
      </c>
    </row>
    <row r="336" customFormat="false" ht="23.85" hidden="false" customHeight="false" outlineLevel="0" collapsed="false">
      <c r="A336" s="11" t="s">
        <v>2566</v>
      </c>
      <c r="B336" s="11" t="s">
        <v>34</v>
      </c>
      <c r="C336" s="11" t="s">
        <v>137</v>
      </c>
      <c r="D336" s="11" t="s">
        <v>138</v>
      </c>
      <c r="E336" s="11" t="s">
        <v>1187</v>
      </c>
      <c r="F336" s="11" t="s">
        <v>2567</v>
      </c>
      <c r="G336" s="11" t="s">
        <v>2562</v>
      </c>
      <c r="H336" s="11" t="s">
        <v>2568</v>
      </c>
      <c r="I336" s="11" t="s">
        <v>2569</v>
      </c>
      <c r="J336" s="11" t="s">
        <v>2570</v>
      </c>
      <c r="K336" s="11" t="s">
        <v>2571</v>
      </c>
      <c r="L336" s="11" t="s">
        <v>2572</v>
      </c>
      <c r="M336" s="11"/>
      <c r="N336" s="14" t="n">
        <v>1</v>
      </c>
      <c r="O336" s="14" t="n">
        <v>2</v>
      </c>
      <c r="P336" s="14" t="n">
        <v>2</v>
      </c>
      <c r="Q336" s="14"/>
      <c r="R336" s="12" t="n">
        <f aca="false">IF(OR(N336="",P336=""),"",ROUND(N336*O336/P336,1))</f>
        <v>1</v>
      </c>
      <c r="S336" s="13" t="n">
        <f aca="false">IF(R336="","",IF(Q336="Y",1,IF(P336&gt;='Read me'!$B$16,3,IF(AND(R336&gt;='Read me'!$B$14,P336&lt;='Read me'!$B$15),1,2))))</f>
        <v>2</v>
      </c>
    </row>
    <row r="337" customFormat="false" ht="23.85" hidden="false" customHeight="false" outlineLevel="0" collapsed="false">
      <c r="A337" s="11" t="s">
        <v>2573</v>
      </c>
      <c r="B337" s="11" t="s">
        <v>34</v>
      </c>
      <c r="C337" s="11" t="s">
        <v>137</v>
      </c>
      <c r="D337" s="11" t="s">
        <v>138</v>
      </c>
      <c r="E337" s="11" t="s">
        <v>1187</v>
      </c>
      <c r="F337" s="11" t="s">
        <v>2574</v>
      </c>
      <c r="G337" s="11" t="s">
        <v>2575</v>
      </c>
      <c r="H337" s="11" t="s">
        <v>2576</v>
      </c>
      <c r="I337" s="11" t="s">
        <v>2577</v>
      </c>
      <c r="J337" s="11" t="s">
        <v>2578</v>
      </c>
      <c r="K337" s="11" t="s">
        <v>1176</v>
      </c>
      <c r="L337" s="11" t="s">
        <v>2579</v>
      </c>
      <c r="M337" s="11"/>
      <c r="N337" s="14" t="n">
        <v>1</v>
      </c>
      <c r="O337" s="14" t="n">
        <v>4</v>
      </c>
      <c r="P337" s="14" t="n">
        <v>4</v>
      </c>
      <c r="Q337" s="14"/>
      <c r="R337" s="12" t="n">
        <f aca="false">IF(OR(N337="",P337=""),"",ROUND(N337*O337/P337,1))</f>
        <v>1</v>
      </c>
      <c r="S337" s="13" t="n">
        <f aca="false">IF(R337="","",IF(Q337="Y",1,IF(P337&gt;='Read me'!$B$16,3,IF(AND(R337&gt;='Read me'!$B$14,P337&lt;='Read me'!$B$15),1,2))))</f>
        <v>3</v>
      </c>
    </row>
    <row r="338" customFormat="false" ht="35.05" hidden="false" customHeight="false" outlineLevel="0" collapsed="false">
      <c r="A338" s="11" t="s">
        <v>2580</v>
      </c>
      <c r="B338" s="11" t="s">
        <v>34</v>
      </c>
      <c r="C338" s="11" t="s">
        <v>140</v>
      </c>
      <c r="D338" s="11" t="s">
        <v>141</v>
      </c>
      <c r="E338" s="11" t="s">
        <v>476</v>
      </c>
      <c r="F338" s="11" t="s">
        <v>2581</v>
      </c>
      <c r="G338" s="11" t="s">
        <v>1188</v>
      </c>
      <c r="H338" s="11"/>
      <c r="I338" s="11" t="s">
        <v>512</v>
      </c>
      <c r="J338" s="11" t="s">
        <v>2582</v>
      </c>
      <c r="K338" s="11" t="s">
        <v>2583</v>
      </c>
      <c r="L338" s="11" t="s">
        <v>2584</v>
      </c>
      <c r="M338" s="11"/>
      <c r="N338" s="14" t="n">
        <v>2</v>
      </c>
      <c r="O338" s="14" t="n">
        <v>3</v>
      </c>
      <c r="P338" s="14" t="n">
        <v>1</v>
      </c>
      <c r="Q338" s="14"/>
      <c r="R338" s="12" t="n">
        <f aca="false">IF(OR(N338="",P338=""),"",ROUND(N338*O338/P338,1))</f>
        <v>6</v>
      </c>
      <c r="S338" s="13" t="n">
        <f aca="false">IF(R338="","",IF(Q338="Y",1,IF(P338&gt;='Read me'!$B$16,3,IF(AND(R338&gt;='Read me'!$B$14,P338&lt;='Read me'!$B$15),1,2))))</f>
        <v>1</v>
      </c>
    </row>
    <row r="339" customFormat="false" ht="23.85" hidden="false" customHeight="false" outlineLevel="0" collapsed="false">
      <c r="A339" s="11" t="s">
        <v>2585</v>
      </c>
      <c r="B339" s="11" t="s">
        <v>34</v>
      </c>
      <c r="C339" s="11" t="s">
        <v>140</v>
      </c>
      <c r="D339" s="11" t="s">
        <v>141</v>
      </c>
      <c r="E339" s="11" t="s">
        <v>532</v>
      </c>
      <c r="F339" s="11" t="s">
        <v>2586</v>
      </c>
      <c r="G339" s="11" t="s">
        <v>1500</v>
      </c>
      <c r="H339" s="11"/>
      <c r="I339" s="11" t="s">
        <v>2587</v>
      </c>
      <c r="J339" s="11" t="s">
        <v>2588</v>
      </c>
      <c r="K339" s="11" t="s">
        <v>2314</v>
      </c>
      <c r="L339" s="11" t="s">
        <v>2589</v>
      </c>
      <c r="M339" s="11"/>
      <c r="N339" s="14" t="n">
        <v>2</v>
      </c>
      <c r="O339" s="14" t="n">
        <v>3</v>
      </c>
      <c r="P339" s="14" t="n">
        <v>1</v>
      </c>
      <c r="Q339" s="14"/>
      <c r="R339" s="12" t="n">
        <f aca="false">IF(OR(N339="",P339=""),"",ROUND(N339*O339/P339,1))</f>
        <v>6</v>
      </c>
      <c r="S339" s="13" t="n">
        <f aca="false">IF(R339="","",IF(Q339="Y",1,IF(P339&gt;='Read me'!$B$16,3,IF(AND(R339&gt;='Read me'!$B$14,P339&lt;='Read me'!$B$15),1,2))))</f>
        <v>1</v>
      </c>
    </row>
    <row r="340" customFormat="false" ht="23.85" hidden="false" customHeight="false" outlineLevel="0" collapsed="false">
      <c r="A340" s="11" t="s">
        <v>2590</v>
      </c>
      <c r="B340" s="11" t="s">
        <v>34</v>
      </c>
      <c r="C340" s="11" t="s">
        <v>140</v>
      </c>
      <c r="D340" s="11" t="s">
        <v>141</v>
      </c>
      <c r="E340" s="11" t="s">
        <v>532</v>
      </c>
      <c r="F340" s="11" t="s">
        <v>2591</v>
      </c>
      <c r="G340" s="11" t="s">
        <v>2592</v>
      </c>
      <c r="H340" s="11"/>
      <c r="I340" s="11" t="s">
        <v>2593</v>
      </c>
      <c r="J340" s="11" t="s">
        <v>2594</v>
      </c>
      <c r="K340" s="11" t="s">
        <v>2595</v>
      </c>
      <c r="L340" s="11" t="s">
        <v>2596</v>
      </c>
      <c r="M340" s="11"/>
      <c r="N340" s="14" t="n">
        <v>2</v>
      </c>
      <c r="O340" s="14" t="n">
        <v>3</v>
      </c>
      <c r="P340" s="14" t="n">
        <v>2</v>
      </c>
      <c r="Q340" s="14"/>
      <c r="R340" s="12" t="n">
        <f aca="false">IF(OR(N340="",P340=""),"",ROUND(N340*O340/P340,1))</f>
        <v>3</v>
      </c>
      <c r="S340" s="13" t="n">
        <f aca="false">IF(R340="","",IF(Q340="Y",1,IF(P340&gt;='Read me'!$B$16,3,IF(AND(R340&gt;='Read me'!$B$14,P340&lt;='Read me'!$B$15),1,2))))</f>
        <v>2</v>
      </c>
    </row>
    <row r="341" customFormat="false" ht="23.85" hidden="false" customHeight="false" outlineLevel="0" collapsed="false">
      <c r="A341" s="11" t="s">
        <v>2597</v>
      </c>
      <c r="B341" s="11" t="s">
        <v>34</v>
      </c>
      <c r="C341" s="11" t="s">
        <v>140</v>
      </c>
      <c r="D341" s="11" t="s">
        <v>141</v>
      </c>
      <c r="E341" s="11" t="s">
        <v>532</v>
      </c>
      <c r="F341" s="11" t="s">
        <v>2598</v>
      </c>
      <c r="G341" s="11" t="s">
        <v>2599</v>
      </c>
      <c r="H341" s="11"/>
      <c r="I341" s="11" t="s">
        <v>2600</v>
      </c>
      <c r="J341" s="11" t="s">
        <v>2601</v>
      </c>
      <c r="K341" s="11" t="s">
        <v>2602</v>
      </c>
      <c r="L341" s="11" t="s">
        <v>2603</v>
      </c>
      <c r="M341" s="11"/>
      <c r="N341" s="14" t="n">
        <v>2</v>
      </c>
      <c r="O341" s="14" t="n">
        <v>2</v>
      </c>
      <c r="P341" s="14" t="n">
        <v>1</v>
      </c>
      <c r="Q341" s="14"/>
      <c r="R341" s="12" t="n">
        <f aca="false">IF(OR(N341="",P341=""),"",ROUND(N341*O341/P341,1))</f>
        <v>4</v>
      </c>
      <c r="S341" s="13" t="n">
        <f aca="false">IF(R341="","",IF(Q341="Y",1,IF(P341&gt;='Read me'!$B$16,3,IF(AND(R341&gt;='Read me'!$B$14,P341&lt;='Read me'!$B$15),1,2))))</f>
        <v>2</v>
      </c>
    </row>
    <row r="342" customFormat="false" ht="23.85" hidden="false" customHeight="false" outlineLevel="0" collapsed="false">
      <c r="A342" s="11" t="s">
        <v>2604</v>
      </c>
      <c r="B342" s="11" t="s">
        <v>34</v>
      </c>
      <c r="C342" s="11" t="s">
        <v>140</v>
      </c>
      <c r="D342" s="11" t="s">
        <v>141</v>
      </c>
      <c r="E342" s="11" t="s">
        <v>532</v>
      </c>
      <c r="F342" s="11" t="s">
        <v>2605</v>
      </c>
      <c r="G342" s="11" t="s">
        <v>2606</v>
      </c>
      <c r="H342" s="11"/>
      <c r="I342" s="11" t="s">
        <v>2607</v>
      </c>
      <c r="J342" s="11" t="s">
        <v>2608</v>
      </c>
      <c r="K342" s="11" t="s">
        <v>2609</v>
      </c>
      <c r="L342" s="11" t="s">
        <v>2550</v>
      </c>
      <c r="M342" s="11"/>
      <c r="N342" s="14" t="n">
        <v>2</v>
      </c>
      <c r="O342" s="14" t="n">
        <v>2</v>
      </c>
      <c r="P342" s="14" t="n">
        <v>1</v>
      </c>
      <c r="Q342" s="14"/>
      <c r="R342" s="12" t="n">
        <f aca="false">IF(OR(N342="",P342=""),"",ROUND(N342*O342/P342,1))</f>
        <v>4</v>
      </c>
      <c r="S342" s="13" t="n">
        <f aca="false">IF(R342="","",IF(Q342="Y",1,IF(P342&gt;='Read me'!$B$16,3,IF(AND(R342&gt;='Read me'!$B$14,P342&lt;='Read me'!$B$15),1,2))))</f>
        <v>2</v>
      </c>
    </row>
    <row r="343" customFormat="false" ht="23.85" hidden="false" customHeight="false" outlineLevel="0" collapsed="false">
      <c r="A343" s="11" t="s">
        <v>2610</v>
      </c>
      <c r="B343" s="11" t="s">
        <v>34</v>
      </c>
      <c r="C343" s="11" t="s">
        <v>140</v>
      </c>
      <c r="D343" s="11" t="s">
        <v>141</v>
      </c>
      <c r="E343" s="11" t="s">
        <v>532</v>
      </c>
      <c r="F343" s="11" t="s">
        <v>2611</v>
      </c>
      <c r="G343" s="11" t="s">
        <v>2612</v>
      </c>
      <c r="H343" s="11"/>
      <c r="I343" s="11" t="s">
        <v>2613</v>
      </c>
      <c r="J343" s="11" t="s">
        <v>2614</v>
      </c>
      <c r="K343" s="11" t="s">
        <v>2320</v>
      </c>
      <c r="L343" s="11" t="s">
        <v>2615</v>
      </c>
      <c r="M343" s="11"/>
      <c r="N343" s="14" t="n">
        <v>2</v>
      </c>
      <c r="O343" s="14" t="n">
        <v>3</v>
      </c>
      <c r="P343" s="14" t="n">
        <v>2</v>
      </c>
      <c r="Q343" s="14"/>
      <c r="R343" s="12" t="n">
        <f aca="false">IF(OR(N343="",P343=""),"",ROUND(N343*O343/P343,1))</f>
        <v>3</v>
      </c>
      <c r="S343" s="13" t="n">
        <f aca="false">IF(R343="","",IF(Q343="Y",1,IF(P343&gt;='Read me'!$B$16,3,IF(AND(R343&gt;='Read me'!$B$14,P343&lt;='Read me'!$B$15),1,2))))</f>
        <v>2</v>
      </c>
    </row>
    <row r="344" customFormat="false" ht="23.85" hidden="false" customHeight="false" outlineLevel="0" collapsed="false">
      <c r="A344" s="11" t="s">
        <v>2616</v>
      </c>
      <c r="B344" s="11" t="s">
        <v>34</v>
      </c>
      <c r="C344" s="11" t="s">
        <v>140</v>
      </c>
      <c r="D344" s="11" t="s">
        <v>141</v>
      </c>
      <c r="E344" s="11" t="s">
        <v>532</v>
      </c>
      <c r="F344" s="11" t="s">
        <v>2617</v>
      </c>
      <c r="G344" s="11" t="s">
        <v>2618</v>
      </c>
      <c r="H344" s="11"/>
      <c r="I344" s="11" t="s">
        <v>2619</v>
      </c>
      <c r="J344" s="11" t="s">
        <v>2620</v>
      </c>
      <c r="K344" s="11" t="s">
        <v>2320</v>
      </c>
      <c r="L344" s="11" t="s">
        <v>2621</v>
      </c>
      <c r="M344" s="11"/>
      <c r="N344" s="14" t="n">
        <v>2</v>
      </c>
      <c r="O344" s="14" t="n">
        <v>3</v>
      </c>
      <c r="P344" s="14" t="n">
        <v>2</v>
      </c>
      <c r="Q344" s="14"/>
      <c r="R344" s="12" t="n">
        <f aca="false">IF(OR(N344="",P344=""),"",ROUND(N344*O344/P344,1))</f>
        <v>3</v>
      </c>
      <c r="S344" s="13" t="n">
        <f aca="false">IF(R344="","",IF(Q344="Y",1,IF(P344&gt;='Read me'!$B$16,3,IF(AND(R344&gt;='Read me'!$B$14,P344&lt;='Read me'!$B$15),1,2))))</f>
        <v>2</v>
      </c>
    </row>
    <row r="345" customFormat="false" ht="23.85" hidden="false" customHeight="false" outlineLevel="0" collapsed="false">
      <c r="A345" s="11" t="s">
        <v>2622</v>
      </c>
      <c r="B345" s="11" t="s">
        <v>34</v>
      </c>
      <c r="C345" s="11" t="s">
        <v>140</v>
      </c>
      <c r="D345" s="11" t="s">
        <v>141</v>
      </c>
      <c r="E345" s="11" t="s">
        <v>532</v>
      </c>
      <c r="F345" s="11" t="s">
        <v>2623</v>
      </c>
      <c r="G345" s="11" t="s">
        <v>1479</v>
      </c>
      <c r="H345" s="11"/>
      <c r="I345" s="11" t="s">
        <v>2624</v>
      </c>
      <c r="J345" s="11" t="s">
        <v>2625</v>
      </c>
      <c r="K345" s="11" t="s">
        <v>916</v>
      </c>
      <c r="L345" s="11" t="s">
        <v>2626</v>
      </c>
      <c r="M345" s="11"/>
      <c r="N345" s="14" t="n">
        <v>1</v>
      </c>
      <c r="O345" s="14" t="n">
        <v>5</v>
      </c>
      <c r="P345" s="14" t="n">
        <v>3</v>
      </c>
      <c r="Q345" s="14"/>
      <c r="R345" s="12" t="n">
        <f aca="false">IF(OR(N345="",P345=""),"",ROUND(N345*O345/P345,1))</f>
        <v>1.7</v>
      </c>
      <c r="S345" s="13" t="n">
        <f aca="false">IF(R345="","",IF(Q345="Y",1,IF(P345&gt;='Read me'!$B$16,3,IF(AND(R345&gt;='Read me'!$B$14,P345&lt;='Read me'!$B$15),1,2))))</f>
        <v>2</v>
      </c>
    </row>
    <row r="346" customFormat="false" ht="23.85" hidden="false" customHeight="false" outlineLevel="0" collapsed="false">
      <c r="A346" s="11" t="s">
        <v>2627</v>
      </c>
      <c r="B346" s="11" t="s">
        <v>34</v>
      </c>
      <c r="C346" s="11" t="s">
        <v>140</v>
      </c>
      <c r="D346" s="11" t="s">
        <v>141</v>
      </c>
      <c r="E346" s="11" t="s">
        <v>532</v>
      </c>
      <c r="F346" s="11" t="s">
        <v>2628</v>
      </c>
      <c r="G346" s="11" t="s">
        <v>2629</v>
      </c>
      <c r="H346" s="11"/>
      <c r="I346" s="11" t="s">
        <v>2630</v>
      </c>
      <c r="J346" s="11" t="s">
        <v>2631</v>
      </c>
      <c r="K346" s="11" t="s">
        <v>2632</v>
      </c>
      <c r="L346" s="11" t="s">
        <v>2633</v>
      </c>
      <c r="M346" s="11"/>
      <c r="N346" s="14" t="n">
        <v>2</v>
      </c>
      <c r="O346" s="14" t="n">
        <v>5</v>
      </c>
      <c r="P346" s="14" t="n">
        <v>3</v>
      </c>
      <c r="Q346" s="14"/>
      <c r="R346" s="12" t="n">
        <f aca="false">IF(OR(N346="",P346=""),"",ROUND(N346*O346/P346,1))</f>
        <v>3.3</v>
      </c>
      <c r="S346" s="13" t="n">
        <f aca="false">IF(R346="","",IF(Q346="Y",1,IF(P346&gt;='Read me'!$B$16,3,IF(AND(R346&gt;='Read me'!$B$14,P346&lt;='Read me'!$B$15),1,2))))</f>
        <v>2</v>
      </c>
    </row>
    <row r="347" customFormat="false" ht="23.85" hidden="false" customHeight="false" outlineLevel="0" collapsed="false">
      <c r="A347" s="11" t="s">
        <v>2634</v>
      </c>
      <c r="B347" s="11" t="s">
        <v>34</v>
      </c>
      <c r="C347" s="11" t="s">
        <v>140</v>
      </c>
      <c r="D347" s="11" t="s">
        <v>141</v>
      </c>
      <c r="E347" s="11" t="s">
        <v>532</v>
      </c>
      <c r="F347" s="11" t="s">
        <v>2635</v>
      </c>
      <c r="G347" s="11" t="s">
        <v>2218</v>
      </c>
      <c r="H347" s="11" t="s">
        <v>2219</v>
      </c>
      <c r="I347" s="11" t="s">
        <v>2636</v>
      </c>
      <c r="J347" s="11" t="s">
        <v>2637</v>
      </c>
      <c r="K347" s="11" t="s">
        <v>2222</v>
      </c>
      <c r="L347" s="11" t="s">
        <v>2223</v>
      </c>
      <c r="M347" s="11"/>
      <c r="N347" s="14" t="n">
        <v>2</v>
      </c>
      <c r="O347" s="14" t="n">
        <v>2</v>
      </c>
      <c r="P347" s="14" t="n">
        <v>1</v>
      </c>
      <c r="Q347" s="14"/>
      <c r="R347" s="12" t="n">
        <f aca="false">IF(OR(N347="",P347=""),"",ROUND(N347*O347/P347,1))</f>
        <v>4</v>
      </c>
      <c r="S347" s="13" t="n">
        <f aca="false">IF(R347="","",IF(Q347="Y",1,IF(P347&gt;='Read me'!$B$16,3,IF(AND(R347&gt;='Read me'!$B$14,P347&lt;='Read me'!$B$15),1,2))))</f>
        <v>2</v>
      </c>
    </row>
    <row r="348" customFormat="false" ht="23.85" hidden="false" customHeight="false" outlineLevel="0" collapsed="false">
      <c r="A348" s="11" t="s">
        <v>2638</v>
      </c>
      <c r="B348" s="11" t="s">
        <v>34</v>
      </c>
      <c r="C348" s="11" t="s">
        <v>140</v>
      </c>
      <c r="D348" s="11" t="s">
        <v>141</v>
      </c>
      <c r="E348" s="11" t="s">
        <v>751</v>
      </c>
      <c r="F348" s="11" t="s">
        <v>2639</v>
      </c>
      <c r="G348" s="11" t="s">
        <v>491</v>
      </c>
      <c r="H348" s="11"/>
      <c r="I348" s="11" t="s">
        <v>2640</v>
      </c>
      <c r="J348" s="11" t="s">
        <v>2438</v>
      </c>
      <c r="K348" s="11" t="s">
        <v>1254</v>
      </c>
      <c r="L348" s="11" t="s">
        <v>2341</v>
      </c>
      <c r="M348" s="11" t="s">
        <v>1577</v>
      </c>
      <c r="N348" s="14" t="n">
        <v>3</v>
      </c>
      <c r="O348" s="14" t="n">
        <v>3</v>
      </c>
      <c r="P348" s="14" t="n">
        <v>3</v>
      </c>
      <c r="Q348" s="14"/>
      <c r="R348" s="12" t="n">
        <f aca="false">IF(OR(N348="",P348=""),"",ROUND(N348*O348/P348,1))</f>
        <v>3</v>
      </c>
      <c r="S348" s="13" t="n">
        <f aca="false">IF(R348="","",IF(Q348="Y",1,IF(P348&gt;='Read me'!$B$16,3,IF(AND(R348&gt;='Read me'!$B$14,P348&lt;='Read me'!$B$15),1,2))))</f>
        <v>2</v>
      </c>
    </row>
    <row r="349" customFormat="false" ht="23.85" hidden="false" customHeight="false" outlineLevel="0" collapsed="false">
      <c r="A349" s="11" t="s">
        <v>2641</v>
      </c>
      <c r="B349" s="11" t="s">
        <v>34</v>
      </c>
      <c r="C349" s="11" t="s">
        <v>140</v>
      </c>
      <c r="D349" s="11" t="s">
        <v>141</v>
      </c>
      <c r="E349" s="11" t="s">
        <v>751</v>
      </c>
      <c r="F349" s="11" t="s">
        <v>2639</v>
      </c>
      <c r="G349" s="11" t="s">
        <v>1285</v>
      </c>
      <c r="H349" s="11" t="s">
        <v>1286</v>
      </c>
      <c r="I349" s="11" t="s">
        <v>754</v>
      </c>
      <c r="J349" s="11" t="s">
        <v>1593</v>
      </c>
      <c r="K349" s="11" t="s">
        <v>935</v>
      </c>
      <c r="L349" s="11" t="s">
        <v>1288</v>
      </c>
      <c r="M349" s="11"/>
      <c r="N349" s="14" t="n">
        <v>1</v>
      </c>
      <c r="O349" s="14" t="n">
        <v>2</v>
      </c>
      <c r="P349" s="14" t="n">
        <v>3</v>
      </c>
      <c r="Q349" s="14"/>
      <c r="R349" s="12" t="n">
        <f aca="false">IF(OR(N349="",P349=""),"",ROUND(N349*O349/P349,1))</f>
        <v>0.7</v>
      </c>
      <c r="S349" s="13" t="n">
        <f aca="false">IF(R349="","",IF(Q349="Y",1,IF(P349&gt;='Read me'!$B$16,3,IF(AND(R349&gt;='Read me'!$B$14,P349&lt;='Read me'!$B$15),1,2))))</f>
        <v>2</v>
      </c>
    </row>
    <row r="350" customFormat="false" ht="23.85" hidden="false" customHeight="false" outlineLevel="0" collapsed="false">
      <c r="A350" s="11" t="s">
        <v>2642</v>
      </c>
      <c r="B350" s="11" t="s">
        <v>34</v>
      </c>
      <c r="C350" s="11" t="s">
        <v>140</v>
      </c>
      <c r="D350" s="11" t="s">
        <v>141</v>
      </c>
      <c r="E350" s="11" t="s">
        <v>765</v>
      </c>
      <c r="F350" s="11" t="s">
        <v>2643</v>
      </c>
      <c r="G350" s="11" t="s">
        <v>822</v>
      </c>
      <c r="H350" s="11"/>
      <c r="I350" s="11" t="s">
        <v>2644</v>
      </c>
      <c r="J350" s="11" t="s">
        <v>2554</v>
      </c>
      <c r="K350" s="11" t="s">
        <v>1993</v>
      </c>
      <c r="L350" s="11" t="s">
        <v>2348</v>
      </c>
      <c r="M350" s="11"/>
      <c r="N350" s="14" t="n">
        <v>2</v>
      </c>
      <c r="O350" s="14" t="n">
        <v>2</v>
      </c>
      <c r="P350" s="14" t="n">
        <v>2</v>
      </c>
      <c r="Q350" s="14"/>
      <c r="R350" s="12" t="n">
        <f aca="false">IF(OR(N350="",P350=""),"",ROUND(N350*O350/P350,1))</f>
        <v>2</v>
      </c>
      <c r="S350" s="13" t="n">
        <f aca="false">IF(R350="","",IF(Q350="Y",1,IF(P350&gt;='Read me'!$B$16,3,IF(AND(R350&gt;='Read me'!$B$14,P350&lt;='Read me'!$B$15),1,2))))</f>
        <v>2</v>
      </c>
    </row>
    <row r="351" customFormat="false" ht="46.25" hidden="false" customHeight="false" outlineLevel="0" collapsed="false">
      <c r="A351" s="11" t="s">
        <v>2645</v>
      </c>
      <c r="B351" s="11" t="s">
        <v>34</v>
      </c>
      <c r="C351" s="11" t="s">
        <v>140</v>
      </c>
      <c r="D351" s="11" t="s">
        <v>141</v>
      </c>
      <c r="E351" s="11" t="s">
        <v>1187</v>
      </c>
      <c r="F351" s="11" t="s">
        <v>2646</v>
      </c>
      <c r="G351" s="11" t="s">
        <v>2647</v>
      </c>
      <c r="H351" s="11" t="s">
        <v>2648</v>
      </c>
      <c r="I351" s="11" t="s">
        <v>2649</v>
      </c>
      <c r="J351" s="11" t="s">
        <v>2650</v>
      </c>
      <c r="K351" s="11" t="s">
        <v>2651</v>
      </c>
      <c r="L351" s="11" t="s">
        <v>2369</v>
      </c>
      <c r="M351" s="11"/>
      <c r="N351" s="14" t="n">
        <v>1</v>
      </c>
      <c r="O351" s="14" t="n">
        <v>3</v>
      </c>
      <c r="P351" s="14" t="n">
        <v>3</v>
      </c>
      <c r="Q351" s="14"/>
      <c r="R351" s="12" t="n">
        <f aca="false">IF(OR(N351="",P351=""),"",ROUND(N351*O351/P351,1))</f>
        <v>1</v>
      </c>
      <c r="S351" s="13" t="n">
        <f aca="false">IF(R351="","",IF(Q351="Y",1,IF(P351&gt;='Read me'!$B$16,3,IF(AND(R351&gt;='Read me'!$B$14,P351&lt;='Read me'!$B$15),1,2))))</f>
        <v>2</v>
      </c>
    </row>
    <row r="352" customFormat="false" ht="23.85" hidden="false" customHeight="false" outlineLevel="0" collapsed="false">
      <c r="A352" s="11" t="s">
        <v>2652</v>
      </c>
      <c r="B352" s="11" t="s">
        <v>34</v>
      </c>
      <c r="C352" s="11" t="s">
        <v>140</v>
      </c>
      <c r="D352" s="11" t="s">
        <v>141</v>
      </c>
      <c r="E352" s="11" t="s">
        <v>1187</v>
      </c>
      <c r="F352" s="11" t="s">
        <v>2653</v>
      </c>
      <c r="G352" s="11" t="s">
        <v>2654</v>
      </c>
      <c r="H352" s="11" t="s">
        <v>2655</v>
      </c>
      <c r="I352" s="11" t="s">
        <v>2656</v>
      </c>
      <c r="J352" s="11" t="s">
        <v>2657</v>
      </c>
      <c r="K352" s="11" t="s">
        <v>2658</v>
      </c>
      <c r="L352" s="11" t="s">
        <v>2659</v>
      </c>
      <c r="M352" s="11"/>
      <c r="N352" s="14" t="n">
        <v>1</v>
      </c>
      <c r="O352" s="14" t="n">
        <v>3</v>
      </c>
      <c r="P352" s="14" t="n">
        <v>4</v>
      </c>
      <c r="Q352" s="14"/>
      <c r="R352" s="12" t="n">
        <f aca="false">IF(OR(N352="",P352=""),"",ROUND(N352*O352/P352,1))</f>
        <v>0.8</v>
      </c>
      <c r="S352" s="13" t="n">
        <f aca="false">IF(R352="","",IF(Q352="Y",1,IF(P352&gt;='Read me'!$B$16,3,IF(AND(R352&gt;='Read me'!$B$14,P352&lt;='Read me'!$B$15),1,2))))</f>
        <v>3</v>
      </c>
    </row>
    <row r="353" customFormat="false" ht="23.85" hidden="false" customHeight="false" outlineLevel="0" collapsed="false">
      <c r="A353" s="11" t="s">
        <v>2660</v>
      </c>
      <c r="B353" s="11" t="s">
        <v>34</v>
      </c>
      <c r="C353" s="11" t="s">
        <v>140</v>
      </c>
      <c r="D353" s="11" t="s">
        <v>141</v>
      </c>
      <c r="E353" s="11" t="s">
        <v>1187</v>
      </c>
      <c r="F353" s="11" t="s">
        <v>2661</v>
      </c>
      <c r="G353" s="11" t="s">
        <v>2662</v>
      </c>
      <c r="H353" s="11" t="s">
        <v>2663</v>
      </c>
      <c r="I353" s="11" t="s">
        <v>2664</v>
      </c>
      <c r="J353" s="11" t="s">
        <v>2665</v>
      </c>
      <c r="K353" s="11" t="s">
        <v>675</v>
      </c>
      <c r="L353" s="11" t="s">
        <v>2666</v>
      </c>
      <c r="M353" s="11"/>
      <c r="N353" s="14" t="n">
        <v>1</v>
      </c>
      <c r="O353" s="14" t="n">
        <v>3</v>
      </c>
      <c r="P353" s="14" t="n">
        <v>4</v>
      </c>
      <c r="Q353" s="14"/>
      <c r="R353" s="12" t="n">
        <f aca="false">IF(OR(N353="",P353=""),"",ROUND(N353*O353/P353,1))</f>
        <v>0.8</v>
      </c>
      <c r="S353" s="13" t="n">
        <f aca="false">IF(R353="","",IF(Q353="Y",1,IF(P353&gt;='Read me'!$B$16,3,IF(AND(R353&gt;='Read me'!$B$14,P353&lt;='Read me'!$B$15),1,2))))</f>
        <v>3</v>
      </c>
    </row>
    <row r="354" customFormat="false" ht="23.85" hidden="false" customHeight="false" outlineLevel="0" collapsed="false">
      <c r="A354" s="11" t="s">
        <v>2667</v>
      </c>
      <c r="B354" s="11" t="s">
        <v>34</v>
      </c>
      <c r="C354" s="11" t="s">
        <v>143</v>
      </c>
      <c r="D354" s="11" t="s">
        <v>144</v>
      </c>
      <c r="E354" s="11" t="s">
        <v>751</v>
      </c>
      <c r="F354" s="11" t="s">
        <v>2668</v>
      </c>
      <c r="G354" s="11" t="s">
        <v>2669</v>
      </c>
      <c r="H354" s="11" t="s">
        <v>1866</v>
      </c>
      <c r="I354" s="11" t="s">
        <v>2670</v>
      </c>
      <c r="J354" s="11" t="s">
        <v>2671</v>
      </c>
      <c r="K354" s="11" t="s">
        <v>2672</v>
      </c>
      <c r="L354" s="11" t="s">
        <v>2572</v>
      </c>
      <c r="M354" s="11" t="s">
        <v>1577</v>
      </c>
      <c r="N354" s="14" t="n">
        <v>1</v>
      </c>
      <c r="O354" s="14" t="n">
        <v>3</v>
      </c>
      <c r="P354" s="14" t="n">
        <v>2</v>
      </c>
      <c r="Q354" s="14"/>
      <c r="R354" s="12" t="n">
        <f aca="false">IF(OR(N354="",P354=""),"",ROUND(N354*O354/P354,1))</f>
        <v>1.5</v>
      </c>
      <c r="S354" s="13" t="n">
        <f aca="false">IF(R354="","",IF(Q354="Y",1,IF(P354&gt;='Read me'!$B$16,3,IF(AND(R354&gt;='Read me'!$B$14,P354&lt;='Read me'!$B$15),1,2))))</f>
        <v>2</v>
      </c>
    </row>
    <row r="355" customFormat="false" ht="23.85" hidden="false" customHeight="false" outlineLevel="0" collapsed="false">
      <c r="A355" s="11" t="s">
        <v>2673</v>
      </c>
      <c r="B355" s="11" t="s">
        <v>34</v>
      </c>
      <c r="C355" s="11" t="s">
        <v>143</v>
      </c>
      <c r="D355" s="11" t="s">
        <v>144</v>
      </c>
      <c r="E355" s="11" t="s">
        <v>1187</v>
      </c>
      <c r="F355" s="11" t="s">
        <v>1188</v>
      </c>
      <c r="G355" s="11" t="s">
        <v>2674</v>
      </c>
      <c r="H355" s="11" t="s">
        <v>2675</v>
      </c>
      <c r="I355" s="11" t="s">
        <v>512</v>
      </c>
      <c r="J355" s="11" t="s">
        <v>2676</v>
      </c>
      <c r="K355" s="11" t="s">
        <v>2677</v>
      </c>
      <c r="L355" s="11" t="s">
        <v>2678</v>
      </c>
      <c r="M355" s="11"/>
      <c r="N355" s="14" t="n">
        <v>4</v>
      </c>
      <c r="O355" s="14" t="n">
        <v>4</v>
      </c>
      <c r="P355" s="14" t="n">
        <v>3</v>
      </c>
      <c r="Q355" s="14"/>
      <c r="R355" s="12" t="n">
        <f aca="false">IF(OR(N355="",P355=""),"",ROUND(N355*O355/P355,1))</f>
        <v>5.3</v>
      </c>
      <c r="S355" s="13" t="n">
        <f aca="false">IF(R355="","",IF(Q355="Y",1,IF(P355&gt;='Read me'!$B$16,3,IF(AND(R355&gt;='Read me'!$B$14,P355&lt;='Read me'!$B$15),1,2))))</f>
        <v>2</v>
      </c>
    </row>
    <row r="356" customFormat="false" ht="23.85" hidden="false" customHeight="false" outlineLevel="0" collapsed="false">
      <c r="A356" s="11" t="s">
        <v>2679</v>
      </c>
      <c r="B356" s="11" t="s">
        <v>34</v>
      </c>
      <c r="C356" s="11" t="s">
        <v>143</v>
      </c>
      <c r="D356" s="11" t="s">
        <v>144</v>
      </c>
      <c r="E356" s="11" t="s">
        <v>1187</v>
      </c>
      <c r="F356" s="11" t="s">
        <v>2680</v>
      </c>
      <c r="G356" s="11" t="s">
        <v>2674</v>
      </c>
      <c r="H356" s="11" t="s">
        <v>2681</v>
      </c>
      <c r="I356" s="11" t="s">
        <v>512</v>
      </c>
      <c r="J356" s="11" t="s">
        <v>2682</v>
      </c>
      <c r="K356" s="11" t="s">
        <v>2683</v>
      </c>
      <c r="L356" s="11" t="s">
        <v>2684</v>
      </c>
      <c r="M356" s="11"/>
      <c r="N356" s="14" t="n">
        <v>2</v>
      </c>
      <c r="O356" s="14" t="n">
        <v>3</v>
      </c>
      <c r="P356" s="14" t="n">
        <v>3</v>
      </c>
      <c r="Q356" s="14"/>
      <c r="R356" s="12" t="n">
        <f aca="false">IF(OR(N356="",P356=""),"",ROUND(N356*O356/P356,1))</f>
        <v>2</v>
      </c>
      <c r="S356" s="13" t="n">
        <f aca="false">IF(R356="","",IF(Q356="Y",1,IF(P356&gt;='Read me'!$B$16,3,IF(AND(R356&gt;='Read me'!$B$14,P356&lt;='Read me'!$B$15),1,2))))</f>
        <v>2</v>
      </c>
    </row>
    <row r="357" customFormat="false" ht="46.25" hidden="false" customHeight="false" outlineLevel="0" collapsed="false">
      <c r="A357" s="11" t="s">
        <v>2685</v>
      </c>
      <c r="B357" s="11" t="s">
        <v>34</v>
      </c>
      <c r="C357" s="11" t="s">
        <v>143</v>
      </c>
      <c r="D357" s="11" t="s">
        <v>144</v>
      </c>
      <c r="E357" s="11" t="s">
        <v>1187</v>
      </c>
      <c r="F357" s="11" t="s">
        <v>2686</v>
      </c>
      <c r="G357" s="11" t="s">
        <v>2674</v>
      </c>
      <c r="H357" s="11" t="s">
        <v>2687</v>
      </c>
      <c r="I357" s="11" t="s">
        <v>2688</v>
      </c>
      <c r="J357" s="11" t="s">
        <v>2689</v>
      </c>
      <c r="K357" s="11" t="s">
        <v>2690</v>
      </c>
      <c r="L357" s="11" t="s">
        <v>2369</v>
      </c>
      <c r="M357" s="11"/>
      <c r="N357" s="14" t="n">
        <v>3</v>
      </c>
      <c r="O357" s="14" t="n">
        <v>4</v>
      </c>
      <c r="P357" s="14" t="n">
        <v>3</v>
      </c>
      <c r="Q357" s="14"/>
      <c r="R357" s="12" t="n">
        <f aca="false">IF(OR(N357="",P357=""),"",ROUND(N357*O357/P357,1))</f>
        <v>4</v>
      </c>
      <c r="S357" s="13" t="n">
        <f aca="false">IF(R357="","",IF(Q357="Y",1,IF(P357&gt;='Read me'!$B$16,3,IF(AND(R357&gt;='Read me'!$B$14,P357&lt;='Read me'!$B$15),1,2))))</f>
        <v>2</v>
      </c>
    </row>
    <row r="358" customFormat="false" ht="46.25" hidden="false" customHeight="false" outlineLevel="0" collapsed="false">
      <c r="A358" s="11" t="s">
        <v>2691</v>
      </c>
      <c r="B358" s="11" t="s">
        <v>34</v>
      </c>
      <c r="C358" s="11" t="s">
        <v>143</v>
      </c>
      <c r="D358" s="11" t="s">
        <v>144</v>
      </c>
      <c r="E358" s="11" t="s">
        <v>1187</v>
      </c>
      <c r="F358" s="11" t="s">
        <v>1198</v>
      </c>
      <c r="G358" s="11" t="s">
        <v>2674</v>
      </c>
      <c r="H358" s="11" t="s">
        <v>1198</v>
      </c>
      <c r="I358" s="11" t="s">
        <v>512</v>
      </c>
      <c r="J358" s="11" t="s">
        <v>2692</v>
      </c>
      <c r="K358" s="11" t="s">
        <v>2693</v>
      </c>
      <c r="L358" s="11" t="s">
        <v>2369</v>
      </c>
      <c r="M358" s="11"/>
      <c r="N358" s="14" t="n">
        <v>2</v>
      </c>
      <c r="O358" s="14" t="n">
        <v>4</v>
      </c>
      <c r="P358" s="14" t="n">
        <v>3</v>
      </c>
      <c r="Q358" s="14"/>
      <c r="R358" s="12" t="n">
        <f aca="false">IF(OR(N358="",P358=""),"",ROUND(N358*O358/P358,1))</f>
        <v>2.7</v>
      </c>
      <c r="S358" s="13" t="n">
        <f aca="false">IF(R358="","",IF(Q358="Y",1,IF(P358&gt;='Read me'!$B$16,3,IF(AND(R358&gt;='Read me'!$B$14,P358&lt;='Read me'!$B$15),1,2))))</f>
        <v>2</v>
      </c>
    </row>
    <row r="359" customFormat="false" ht="46.25" hidden="false" customHeight="false" outlineLevel="0" collapsed="false">
      <c r="A359" s="11" t="s">
        <v>2694</v>
      </c>
      <c r="B359" s="11" t="s">
        <v>34</v>
      </c>
      <c r="C359" s="11" t="s">
        <v>143</v>
      </c>
      <c r="D359" s="11" t="s">
        <v>144</v>
      </c>
      <c r="E359" s="11" t="s">
        <v>1187</v>
      </c>
      <c r="F359" s="11" t="s">
        <v>2695</v>
      </c>
      <c r="G359" s="11" t="s">
        <v>1239</v>
      </c>
      <c r="H359" s="11" t="s">
        <v>1240</v>
      </c>
      <c r="I359" s="11" t="s">
        <v>512</v>
      </c>
      <c r="J359" s="11" t="s">
        <v>2696</v>
      </c>
      <c r="K359" s="11" t="s">
        <v>675</v>
      </c>
      <c r="L359" s="11" t="s">
        <v>2369</v>
      </c>
      <c r="M359" s="11"/>
      <c r="N359" s="14" t="n">
        <v>1</v>
      </c>
      <c r="O359" s="14" t="n">
        <v>4</v>
      </c>
      <c r="P359" s="14" t="n">
        <v>4</v>
      </c>
      <c r="Q359" s="14"/>
      <c r="R359" s="12" t="n">
        <f aca="false">IF(OR(N359="",P359=""),"",ROUND(N359*O359/P359,1))</f>
        <v>1</v>
      </c>
      <c r="S359" s="13" t="n">
        <f aca="false">IF(R359="","",IF(Q359="Y",1,IF(P359&gt;='Read me'!$B$16,3,IF(AND(R359&gt;='Read me'!$B$14,P359&lt;='Read me'!$B$15),1,2))))</f>
        <v>3</v>
      </c>
    </row>
    <row r="360" customFormat="false" ht="23.85" hidden="false" customHeight="false" outlineLevel="0" collapsed="false">
      <c r="A360" s="11" t="s">
        <v>2697</v>
      </c>
      <c r="B360" s="11" t="s">
        <v>34</v>
      </c>
      <c r="C360" s="11" t="s">
        <v>143</v>
      </c>
      <c r="D360" s="11" t="s">
        <v>144</v>
      </c>
      <c r="E360" s="11" t="s">
        <v>1187</v>
      </c>
      <c r="F360" s="11" t="s">
        <v>2698</v>
      </c>
      <c r="G360" s="11" t="s">
        <v>2674</v>
      </c>
      <c r="H360" s="11" t="s">
        <v>2699</v>
      </c>
      <c r="I360" s="11" t="s">
        <v>512</v>
      </c>
      <c r="J360" s="11" t="s">
        <v>2700</v>
      </c>
      <c r="K360" s="11" t="s">
        <v>1098</v>
      </c>
      <c r="L360" s="11" t="s">
        <v>2701</v>
      </c>
      <c r="M360" s="11"/>
      <c r="N360" s="14" t="n">
        <v>1</v>
      </c>
      <c r="O360" s="14" t="n">
        <v>3</v>
      </c>
      <c r="P360" s="14" t="n">
        <v>3</v>
      </c>
      <c r="Q360" s="14"/>
      <c r="R360" s="12" t="n">
        <f aca="false">IF(OR(N360="",P360=""),"",ROUND(N360*O360/P360,1))</f>
        <v>1</v>
      </c>
      <c r="S360" s="13" t="n">
        <f aca="false">IF(R360="","",IF(Q360="Y",1,IF(P360&gt;='Read me'!$B$16,3,IF(AND(R360&gt;='Read me'!$B$14,P360&lt;='Read me'!$B$15),1,2))))</f>
        <v>2</v>
      </c>
    </row>
    <row r="361" customFormat="false" ht="79.85" hidden="false" customHeight="false" outlineLevel="0" collapsed="false">
      <c r="A361" s="11" t="s">
        <v>2702</v>
      </c>
      <c r="B361" s="11" t="s">
        <v>34</v>
      </c>
      <c r="C361" s="11" t="s">
        <v>143</v>
      </c>
      <c r="D361" s="11" t="s">
        <v>144</v>
      </c>
      <c r="E361" s="11" t="s">
        <v>1187</v>
      </c>
      <c r="F361" s="11" t="s">
        <v>2703</v>
      </c>
      <c r="G361" s="11" t="s">
        <v>1118</v>
      </c>
      <c r="H361" s="11" t="s">
        <v>2704</v>
      </c>
      <c r="I361" s="11" t="s">
        <v>2705</v>
      </c>
      <c r="J361" s="11" t="s">
        <v>2706</v>
      </c>
      <c r="K361" s="11" t="s">
        <v>2707</v>
      </c>
      <c r="L361" s="11" t="s">
        <v>2708</v>
      </c>
      <c r="M361" s="11"/>
      <c r="N361" s="14" t="n">
        <v>2</v>
      </c>
      <c r="O361" s="14" t="n">
        <v>5</v>
      </c>
      <c r="P361" s="14" t="n">
        <v>5</v>
      </c>
      <c r="Q361" s="14"/>
      <c r="R361" s="12" t="n">
        <f aca="false">IF(OR(N361="",P361=""),"",ROUND(N361*O361/P361,1))</f>
        <v>2</v>
      </c>
      <c r="S361" s="13" t="n">
        <f aca="false">IF(R361="","",IF(Q361="Y",1,IF(P361&gt;='Read me'!$B$16,3,IF(AND(R361&gt;='Read me'!$B$14,P361&lt;='Read me'!$B$15),1,2))))</f>
        <v>3</v>
      </c>
    </row>
    <row r="362" customFormat="false" ht="23.85" hidden="false" customHeight="false" outlineLevel="0" collapsed="false">
      <c r="A362" s="11" t="s">
        <v>2709</v>
      </c>
      <c r="B362" s="11" t="s">
        <v>34</v>
      </c>
      <c r="C362" s="11" t="s">
        <v>143</v>
      </c>
      <c r="D362" s="11" t="s">
        <v>144</v>
      </c>
      <c r="E362" s="11" t="s">
        <v>1187</v>
      </c>
      <c r="F362" s="11" t="s">
        <v>2710</v>
      </c>
      <c r="G362" s="11" t="s">
        <v>1118</v>
      </c>
      <c r="H362" s="11" t="s">
        <v>2711</v>
      </c>
      <c r="I362" s="11" t="s">
        <v>2712</v>
      </c>
      <c r="J362" s="11" t="s">
        <v>2713</v>
      </c>
      <c r="K362" s="11" t="s">
        <v>2272</v>
      </c>
      <c r="L362" s="11" t="s">
        <v>2290</v>
      </c>
      <c r="M362" s="11"/>
      <c r="N362" s="14" t="n">
        <v>2</v>
      </c>
      <c r="O362" s="14" t="n">
        <v>4</v>
      </c>
      <c r="P362" s="14" t="n">
        <v>3</v>
      </c>
      <c r="Q362" s="14"/>
      <c r="R362" s="12" t="n">
        <f aca="false">IF(OR(N362="",P362=""),"",ROUND(N362*O362/P362,1))</f>
        <v>2.7</v>
      </c>
      <c r="S362" s="13" t="n">
        <f aca="false">IF(R362="","",IF(Q362="Y",1,IF(P362&gt;='Read me'!$B$16,3,IF(AND(R362&gt;='Read me'!$B$14,P362&lt;='Read me'!$B$15),1,2))))</f>
        <v>2</v>
      </c>
    </row>
    <row r="363" customFormat="false" ht="46.25" hidden="false" customHeight="false" outlineLevel="0" collapsed="false">
      <c r="A363" s="11" t="s">
        <v>2714</v>
      </c>
      <c r="B363" s="11" t="s">
        <v>34</v>
      </c>
      <c r="C363" s="11" t="s">
        <v>143</v>
      </c>
      <c r="D363" s="11" t="s">
        <v>144</v>
      </c>
      <c r="E363" s="11" t="s">
        <v>1187</v>
      </c>
      <c r="F363" s="11" t="s">
        <v>2715</v>
      </c>
      <c r="G363" s="11" t="s">
        <v>1118</v>
      </c>
      <c r="H363" s="11" t="s">
        <v>2716</v>
      </c>
      <c r="I363" s="11" t="s">
        <v>2717</v>
      </c>
      <c r="J363" s="11" t="s">
        <v>2718</v>
      </c>
      <c r="K363" s="11" t="s">
        <v>2719</v>
      </c>
      <c r="L363" s="11" t="s">
        <v>2369</v>
      </c>
      <c r="M363" s="11"/>
      <c r="N363" s="14" t="n">
        <v>1</v>
      </c>
      <c r="O363" s="14" t="n">
        <v>4</v>
      </c>
      <c r="P363" s="14" t="n">
        <v>4</v>
      </c>
      <c r="Q363" s="14"/>
      <c r="R363" s="12" t="n">
        <f aca="false">IF(OR(N363="",P363=""),"",ROUND(N363*O363/P363,1))</f>
        <v>1</v>
      </c>
      <c r="S363" s="13" t="n">
        <f aca="false">IF(R363="","",IF(Q363="Y",1,IF(P363&gt;='Read me'!$B$16,3,IF(AND(R363&gt;='Read me'!$B$14,P363&lt;='Read me'!$B$15),1,2))))</f>
        <v>3</v>
      </c>
    </row>
    <row r="364" customFormat="false" ht="23.85" hidden="false" customHeight="false" outlineLevel="0" collapsed="false">
      <c r="A364" s="11" t="s">
        <v>2720</v>
      </c>
      <c r="B364" s="11" t="s">
        <v>34</v>
      </c>
      <c r="C364" s="11" t="s">
        <v>143</v>
      </c>
      <c r="D364" s="11" t="s">
        <v>144</v>
      </c>
      <c r="E364" s="11" t="s">
        <v>1187</v>
      </c>
      <c r="F364" s="11" t="s">
        <v>2721</v>
      </c>
      <c r="G364" s="11" t="s">
        <v>2722</v>
      </c>
      <c r="H364" s="11" t="s">
        <v>2716</v>
      </c>
      <c r="I364" s="11" t="s">
        <v>2723</v>
      </c>
      <c r="J364" s="11" t="s">
        <v>2724</v>
      </c>
      <c r="K364" s="11" t="s">
        <v>2725</v>
      </c>
      <c r="L364" s="11" t="s">
        <v>2726</v>
      </c>
      <c r="M364" s="11"/>
      <c r="N364" s="14" t="n">
        <v>1</v>
      </c>
      <c r="O364" s="14" t="n">
        <v>4</v>
      </c>
      <c r="P364" s="14" t="n">
        <v>4</v>
      </c>
      <c r="Q364" s="14"/>
      <c r="R364" s="12" t="n">
        <f aca="false">IF(OR(N364="",P364=""),"",ROUND(N364*O364/P364,1))</f>
        <v>1</v>
      </c>
      <c r="S364" s="13" t="n">
        <f aca="false">IF(R364="","",IF(Q364="Y",1,IF(P364&gt;='Read me'!$B$16,3,IF(AND(R364&gt;='Read me'!$B$14,P364&lt;='Read me'!$B$15),1,2))))</f>
        <v>3</v>
      </c>
    </row>
    <row r="365" customFormat="false" ht="23.85" hidden="false" customHeight="false" outlineLevel="0" collapsed="false">
      <c r="A365" s="11" t="s">
        <v>2727</v>
      </c>
      <c r="B365" s="11" t="s">
        <v>34</v>
      </c>
      <c r="C365" s="11" t="s">
        <v>143</v>
      </c>
      <c r="D365" s="11" t="s">
        <v>144</v>
      </c>
      <c r="E365" s="11" t="s">
        <v>1187</v>
      </c>
      <c r="F365" s="11" t="s">
        <v>2728</v>
      </c>
      <c r="G365" s="11" t="s">
        <v>2729</v>
      </c>
      <c r="H365" s="11" t="s">
        <v>2730</v>
      </c>
      <c r="I365" s="11" t="s">
        <v>512</v>
      </c>
      <c r="J365" s="11" t="s">
        <v>2731</v>
      </c>
      <c r="K365" s="11" t="s">
        <v>2732</v>
      </c>
      <c r="L365" s="11" t="s">
        <v>2733</v>
      </c>
      <c r="M365" s="11"/>
      <c r="N365" s="14" t="n">
        <v>2</v>
      </c>
      <c r="O365" s="14" t="n">
        <v>3</v>
      </c>
      <c r="P365" s="14" t="n">
        <v>3</v>
      </c>
      <c r="Q365" s="14"/>
      <c r="R365" s="12" t="n">
        <f aca="false">IF(OR(N365="",P365=""),"",ROUND(N365*O365/P365,1))</f>
        <v>2</v>
      </c>
      <c r="S365" s="13" t="n">
        <f aca="false">IF(R365="","",IF(Q365="Y",1,IF(P365&gt;='Read me'!$B$16,3,IF(AND(R365&gt;='Read me'!$B$14,P365&lt;='Read me'!$B$15),1,2))))</f>
        <v>2</v>
      </c>
    </row>
    <row r="366" customFormat="false" ht="23.85" hidden="false" customHeight="false" outlineLevel="0" collapsed="false">
      <c r="A366" s="11" t="s">
        <v>2734</v>
      </c>
      <c r="B366" s="11" t="s">
        <v>34</v>
      </c>
      <c r="C366" s="11" t="s">
        <v>143</v>
      </c>
      <c r="D366" s="11" t="s">
        <v>144</v>
      </c>
      <c r="E366" s="11" t="s">
        <v>1187</v>
      </c>
      <c r="F366" s="11" t="s">
        <v>2735</v>
      </c>
      <c r="G366" s="11" t="s">
        <v>2729</v>
      </c>
      <c r="H366" s="11" t="s">
        <v>2736</v>
      </c>
      <c r="I366" s="11" t="s">
        <v>512</v>
      </c>
      <c r="J366" s="11" t="s">
        <v>2737</v>
      </c>
      <c r="K366" s="11" t="s">
        <v>2738</v>
      </c>
      <c r="L366" s="11" t="s">
        <v>2739</v>
      </c>
      <c r="M366" s="11"/>
      <c r="N366" s="14" t="n">
        <v>2</v>
      </c>
      <c r="O366" s="14" t="n">
        <v>3</v>
      </c>
      <c r="P366" s="14" t="n">
        <v>3</v>
      </c>
      <c r="Q366" s="14"/>
      <c r="R366" s="12" t="n">
        <f aca="false">IF(OR(N366="",P366=""),"",ROUND(N366*O366/P366,1))</f>
        <v>2</v>
      </c>
      <c r="S366" s="13" t="n">
        <f aca="false">IF(R366="","",IF(Q366="Y",1,IF(P366&gt;='Read me'!$B$16,3,IF(AND(R366&gt;='Read me'!$B$14,P366&lt;='Read me'!$B$15),1,2))))</f>
        <v>2</v>
      </c>
    </row>
    <row r="367" customFormat="false" ht="23.85" hidden="false" customHeight="false" outlineLevel="0" collapsed="false">
      <c r="A367" s="11" t="s">
        <v>2740</v>
      </c>
      <c r="B367" s="11" t="s">
        <v>34</v>
      </c>
      <c r="C367" s="11" t="s">
        <v>143</v>
      </c>
      <c r="D367" s="11" t="s">
        <v>144</v>
      </c>
      <c r="E367" s="11" t="s">
        <v>1187</v>
      </c>
      <c r="F367" s="11" t="s">
        <v>2741</v>
      </c>
      <c r="G367" s="11" t="s">
        <v>2669</v>
      </c>
      <c r="H367" s="11" t="s">
        <v>2742</v>
      </c>
      <c r="I367" s="11" t="s">
        <v>2743</v>
      </c>
      <c r="J367" s="11" t="s">
        <v>2744</v>
      </c>
      <c r="K367" s="11" t="s">
        <v>2745</v>
      </c>
      <c r="L367" s="11" t="s">
        <v>2746</v>
      </c>
      <c r="M367" s="11"/>
      <c r="N367" s="14" t="n">
        <v>1</v>
      </c>
      <c r="O367" s="14" t="n">
        <v>3</v>
      </c>
      <c r="P367" s="14" t="n">
        <v>3</v>
      </c>
      <c r="Q367" s="14"/>
      <c r="R367" s="12" t="n">
        <f aca="false">IF(OR(N367="",P367=""),"",ROUND(N367*O367/P367,1))</f>
        <v>1</v>
      </c>
      <c r="S367" s="13" t="n">
        <f aca="false">IF(R367="","",IF(Q367="Y",1,IF(P367&gt;='Read me'!$B$16,3,IF(AND(R367&gt;='Read me'!$B$14,P367&lt;='Read me'!$B$15),1,2))))</f>
        <v>2</v>
      </c>
    </row>
    <row r="368" customFormat="false" ht="46.25" hidden="false" customHeight="false" outlineLevel="0" collapsed="false">
      <c r="A368" s="11" t="s">
        <v>2747</v>
      </c>
      <c r="B368" s="11" t="s">
        <v>34</v>
      </c>
      <c r="C368" s="11" t="s">
        <v>143</v>
      </c>
      <c r="D368" s="11" t="s">
        <v>144</v>
      </c>
      <c r="E368" s="11" t="s">
        <v>1187</v>
      </c>
      <c r="F368" s="11" t="s">
        <v>2748</v>
      </c>
      <c r="G368" s="11" t="s">
        <v>2669</v>
      </c>
      <c r="H368" s="11" t="s">
        <v>2749</v>
      </c>
      <c r="I368" s="11" t="s">
        <v>2750</v>
      </c>
      <c r="J368" s="11" t="s">
        <v>2751</v>
      </c>
      <c r="K368" s="11" t="s">
        <v>2368</v>
      </c>
      <c r="L368" s="11" t="s">
        <v>2369</v>
      </c>
      <c r="M368" s="11"/>
      <c r="N368" s="14" t="n">
        <v>1</v>
      </c>
      <c r="O368" s="14" t="n">
        <v>3</v>
      </c>
      <c r="P368" s="14" t="n">
        <v>3</v>
      </c>
      <c r="Q368" s="14"/>
      <c r="R368" s="12" t="n">
        <f aca="false">IF(OR(N368="",P368=""),"",ROUND(N368*O368/P368,1))</f>
        <v>1</v>
      </c>
      <c r="S368" s="13" t="n">
        <f aca="false">IF(R368="","",IF(Q368="Y",1,IF(P368&gt;='Read me'!$B$16,3,IF(AND(R368&gt;='Read me'!$B$14,P368&lt;='Read me'!$B$15),1,2))))</f>
        <v>2</v>
      </c>
    </row>
    <row r="369" customFormat="false" ht="46.25" hidden="false" customHeight="false" outlineLevel="0" collapsed="false">
      <c r="A369" s="11" t="s">
        <v>2752</v>
      </c>
      <c r="B369" s="11" t="s">
        <v>34</v>
      </c>
      <c r="C369" s="11" t="s">
        <v>143</v>
      </c>
      <c r="D369" s="11" t="s">
        <v>144</v>
      </c>
      <c r="E369" s="11" t="s">
        <v>1187</v>
      </c>
      <c r="F369" s="11" t="s">
        <v>2753</v>
      </c>
      <c r="G369" s="11" t="s">
        <v>946</v>
      </c>
      <c r="H369" s="11" t="s">
        <v>1700</v>
      </c>
      <c r="I369" s="11" t="s">
        <v>512</v>
      </c>
      <c r="J369" s="11" t="s">
        <v>2754</v>
      </c>
      <c r="K369" s="11" t="s">
        <v>2368</v>
      </c>
      <c r="L369" s="11" t="s">
        <v>2369</v>
      </c>
      <c r="M369" s="11"/>
      <c r="N369" s="14" t="n">
        <v>1</v>
      </c>
      <c r="O369" s="14" t="n">
        <v>4</v>
      </c>
      <c r="P369" s="14" t="n">
        <v>4</v>
      </c>
      <c r="Q369" s="14"/>
      <c r="R369" s="12" t="n">
        <f aca="false">IF(OR(N369="",P369=""),"",ROUND(N369*O369/P369,1))</f>
        <v>1</v>
      </c>
      <c r="S369" s="13" t="n">
        <f aca="false">IF(R369="","",IF(Q369="Y",1,IF(P369&gt;='Read me'!$B$16,3,IF(AND(R369&gt;='Read me'!$B$14,P369&lt;='Read me'!$B$15),1,2))))</f>
        <v>3</v>
      </c>
    </row>
    <row r="370" customFormat="false" ht="23.85" hidden="false" customHeight="false" outlineLevel="0" collapsed="false">
      <c r="A370" s="11" t="s">
        <v>2755</v>
      </c>
      <c r="B370" s="11" t="s">
        <v>34</v>
      </c>
      <c r="C370" s="11" t="s">
        <v>143</v>
      </c>
      <c r="D370" s="11" t="s">
        <v>144</v>
      </c>
      <c r="E370" s="11" t="s">
        <v>1187</v>
      </c>
      <c r="F370" s="11" t="s">
        <v>2756</v>
      </c>
      <c r="G370" s="11" t="s">
        <v>2669</v>
      </c>
      <c r="H370" s="11" t="s">
        <v>2757</v>
      </c>
      <c r="I370" s="11" t="s">
        <v>2758</v>
      </c>
      <c r="J370" s="11" t="s">
        <v>2759</v>
      </c>
      <c r="K370" s="11" t="s">
        <v>2760</v>
      </c>
      <c r="L370" s="11" t="s">
        <v>2761</v>
      </c>
      <c r="M370" s="11"/>
      <c r="N370" s="14" t="n">
        <v>1</v>
      </c>
      <c r="O370" s="14" t="n">
        <v>3</v>
      </c>
      <c r="P370" s="14" t="n">
        <v>3</v>
      </c>
      <c r="Q370" s="14"/>
      <c r="R370" s="12" t="n">
        <f aca="false">IF(OR(N370="",P370=""),"",ROUND(N370*O370/P370,1))</f>
        <v>1</v>
      </c>
      <c r="S370" s="13" t="n">
        <f aca="false">IF(R370="","",IF(Q370="Y",1,IF(P370&gt;='Read me'!$B$16,3,IF(AND(R370&gt;='Read me'!$B$14,P370&lt;='Read me'!$B$15),1,2))))</f>
        <v>2</v>
      </c>
    </row>
    <row r="371" customFormat="false" ht="23.85" hidden="false" customHeight="false" outlineLevel="0" collapsed="false">
      <c r="A371" s="11" t="s">
        <v>2762</v>
      </c>
      <c r="B371" s="11" t="s">
        <v>34</v>
      </c>
      <c r="C371" s="11" t="s">
        <v>143</v>
      </c>
      <c r="D371" s="11" t="s">
        <v>144</v>
      </c>
      <c r="E371" s="11" t="s">
        <v>1187</v>
      </c>
      <c r="F371" s="11" t="s">
        <v>2763</v>
      </c>
      <c r="G371" s="11" t="s">
        <v>2764</v>
      </c>
      <c r="H371" s="11" t="s">
        <v>2765</v>
      </c>
      <c r="I371" s="11" t="s">
        <v>2766</v>
      </c>
      <c r="J371" s="11" t="s">
        <v>2767</v>
      </c>
      <c r="K371" s="11" t="s">
        <v>2768</v>
      </c>
      <c r="L371" s="11" t="s">
        <v>2769</v>
      </c>
      <c r="M371" s="11"/>
      <c r="N371" s="14" t="n">
        <v>1</v>
      </c>
      <c r="O371" s="14" t="n">
        <v>3</v>
      </c>
      <c r="P371" s="14" t="n">
        <v>4</v>
      </c>
      <c r="Q371" s="14"/>
      <c r="R371" s="12" t="n">
        <f aca="false">IF(OR(N371="",P371=""),"",ROUND(N371*O371/P371,1))</f>
        <v>0.8</v>
      </c>
      <c r="S371" s="13" t="n">
        <f aca="false">IF(R371="","",IF(Q371="Y",1,IF(P371&gt;='Read me'!$B$16,3,IF(AND(R371&gt;='Read me'!$B$14,P371&lt;='Read me'!$B$15),1,2))))</f>
        <v>3</v>
      </c>
    </row>
    <row r="372" customFormat="false" ht="35.05" hidden="false" customHeight="false" outlineLevel="0" collapsed="false">
      <c r="A372" s="11" t="s">
        <v>2770</v>
      </c>
      <c r="B372" s="11" t="s">
        <v>34</v>
      </c>
      <c r="C372" s="11" t="s">
        <v>143</v>
      </c>
      <c r="D372" s="11" t="s">
        <v>144</v>
      </c>
      <c r="E372" s="11" t="s">
        <v>1187</v>
      </c>
      <c r="F372" s="11" t="s">
        <v>2771</v>
      </c>
      <c r="G372" s="11" t="s">
        <v>2772</v>
      </c>
      <c r="H372" s="11" t="s">
        <v>1208</v>
      </c>
      <c r="I372" s="11" t="s">
        <v>2773</v>
      </c>
      <c r="J372" s="11" t="s">
        <v>2774</v>
      </c>
      <c r="K372" s="11" t="s">
        <v>1176</v>
      </c>
      <c r="L372" s="11" t="s">
        <v>2579</v>
      </c>
      <c r="M372" s="11"/>
      <c r="N372" s="14" t="n">
        <v>1</v>
      </c>
      <c r="O372" s="14" t="n">
        <v>4</v>
      </c>
      <c r="P372" s="14" t="n">
        <v>4</v>
      </c>
      <c r="Q372" s="14"/>
      <c r="R372" s="12" t="n">
        <f aca="false">IF(OR(N372="",P372=""),"",ROUND(N372*O372/P372,1))</f>
        <v>1</v>
      </c>
      <c r="S372" s="13" t="n">
        <f aca="false">IF(R372="","",IF(Q372="Y",1,IF(P372&gt;='Read me'!$B$16,3,IF(AND(R372&gt;='Read me'!$B$14,P372&lt;='Read me'!$B$15),1,2))))</f>
        <v>3</v>
      </c>
    </row>
    <row r="373" customFormat="false" ht="35.05" hidden="false" customHeight="false" outlineLevel="0" collapsed="false">
      <c r="A373" s="11" t="s">
        <v>2775</v>
      </c>
      <c r="B373" s="11" t="s">
        <v>34</v>
      </c>
      <c r="C373" s="11" t="s">
        <v>143</v>
      </c>
      <c r="D373" s="11" t="s">
        <v>144</v>
      </c>
      <c r="E373" s="11" t="s">
        <v>1187</v>
      </c>
      <c r="F373" s="11" t="s">
        <v>2776</v>
      </c>
      <c r="G373" s="11" t="s">
        <v>1083</v>
      </c>
      <c r="H373" s="11" t="s">
        <v>2777</v>
      </c>
      <c r="I373" s="11" t="s">
        <v>2778</v>
      </c>
      <c r="J373" s="11" t="s">
        <v>2779</v>
      </c>
      <c r="K373" s="11" t="s">
        <v>675</v>
      </c>
      <c r="L373" s="11" t="s">
        <v>2054</v>
      </c>
      <c r="M373" s="11" t="s">
        <v>2055</v>
      </c>
      <c r="N373" s="14" t="n">
        <v>1</v>
      </c>
      <c r="O373" s="14" t="n">
        <v>3</v>
      </c>
      <c r="P373" s="14" t="n">
        <v>5</v>
      </c>
      <c r="Q373" s="14"/>
      <c r="R373" s="12" t="n">
        <f aca="false">IF(OR(N373="",P373=""),"",ROUND(N373*O373/P373,1))</f>
        <v>0.6</v>
      </c>
      <c r="S373" s="13" t="n">
        <f aca="false">IF(R373="","",IF(Q373="Y",1,IF(P373&gt;='Read me'!$B$16,3,IF(AND(R373&gt;='Read me'!$B$14,P373&lt;='Read me'!$B$15),1,2))))</f>
        <v>3</v>
      </c>
    </row>
    <row r="374" customFormat="false" ht="35.05" hidden="false" customHeight="false" outlineLevel="0" collapsed="false">
      <c r="A374" s="11" t="s">
        <v>2780</v>
      </c>
      <c r="B374" s="11" t="s">
        <v>34</v>
      </c>
      <c r="C374" s="11" t="s">
        <v>143</v>
      </c>
      <c r="D374" s="11" t="s">
        <v>144</v>
      </c>
      <c r="E374" s="11" t="s">
        <v>1187</v>
      </c>
      <c r="F374" s="11" t="s">
        <v>2781</v>
      </c>
      <c r="G374" s="11" t="s">
        <v>2782</v>
      </c>
      <c r="H374" s="11" t="s">
        <v>2783</v>
      </c>
      <c r="I374" s="11" t="s">
        <v>2784</v>
      </c>
      <c r="J374" s="11" t="s">
        <v>2785</v>
      </c>
      <c r="K374" s="11" t="s">
        <v>1151</v>
      </c>
      <c r="L374" s="11" t="s">
        <v>2786</v>
      </c>
      <c r="M374" s="11"/>
      <c r="N374" s="14" t="n">
        <v>1</v>
      </c>
      <c r="O374" s="14" t="n">
        <v>2</v>
      </c>
      <c r="P374" s="14" t="n">
        <v>2</v>
      </c>
      <c r="Q374" s="14"/>
      <c r="R374" s="12" t="n">
        <f aca="false">IF(OR(N374="",P374=""),"",ROUND(N374*O374/P374,1))</f>
        <v>1</v>
      </c>
      <c r="S374" s="13" t="n">
        <f aca="false">IF(R374="","",IF(Q374="Y",1,IF(P374&gt;='Read me'!$B$16,3,IF(AND(R374&gt;='Read me'!$B$14,P374&lt;='Read me'!$B$15),1,2))))</f>
        <v>2</v>
      </c>
    </row>
    <row r="375" customFormat="false" ht="46.25" hidden="false" customHeight="false" outlineLevel="0" collapsed="false">
      <c r="A375" s="11" t="s">
        <v>2787</v>
      </c>
      <c r="B375" s="11" t="s">
        <v>34</v>
      </c>
      <c r="C375" s="11" t="s">
        <v>143</v>
      </c>
      <c r="D375" s="11" t="s">
        <v>144</v>
      </c>
      <c r="E375" s="11" t="s">
        <v>1133</v>
      </c>
      <c r="F375" s="11" t="s">
        <v>2788</v>
      </c>
      <c r="G375" s="11" t="s">
        <v>2764</v>
      </c>
      <c r="H375" s="11"/>
      <c r="I375" s="11" t="s">
        <v>2789</v>
      </c>
      <c r="J375" s="11" t="s">
        <v>2790</v>
      </c>
      <c r="K375" s="11" t="s">
        <v>2791</v>
      </c>
      <c r="L375" s="11" t="s">
        <v>2369</v>
      </c>
      <c r="M375" s="11"/>
      <c r="N375" s="14" t="n">
        <v>2</v>
      </c>
      <c r="O375" s="14" t="n">
        <v>3</v>
      </c>
      <c r="P375" s="14" t="n">
        <v>3</v>
      </c>
      <c r="Q375" s="14"/>
      <c r="R375" s="12" t="n">
        <f aca="false">IF(OR(N375="",P375=""),"",ROUND(N375*O375/P375,1))</f>
        <v>2</v>
      </c>
      <c r="S375" s="13" t="n">
        <f aca="false">IF(R375="","",IF(Q375="Y",1,IF(P375&gt;='Read me'!$B$16,3,IF(AND(R375&gt;='Read me'!$B$14,P375&lt;='Read me'!$B$15),1,2))))</f>
        <v>2</v>
      </c>
    </row>
    <row r="376" customFormat="false" ht="23.85" hidden="false" customHeight="false" outlineLevel="0" collapsed="false">
      <c r="A376" s="11" t="s">
        <v>2792</v>
      </c>
      <c r="B376" s="11" t="s">
        <v>34</v>
      </c>
      <c r="C376" s="11" t="s">
        <v>143</v>
      </c>
      <c r="D376" s="11" t="s">
        <v>144</v>
      </c>
      <c r="E376" s="11" t="s">
        <v>1133</v>
      </c>
      <c r="F376" s="11" t="s">
        <v>2793</v>
      </c>
      <c r="G376" s="11" t="s">
        <v>1148</v>
      </c>
      <c r="H376" s="11"/>
      <c r="I376" s="11" t="s">
        <v>2794</v>
      </c>
      <c r="J376" s="11" t="s">
        <v>2795</v>
      </c>
      <c r="K376" s="11" t="s">
        <v>1151</v>
      </c>
      <c r="L376" s="11" t="s">
        <v>1152</v>
      </c>
      <c r="M376" s="11" t="s">
        <v>1153</v>
      </c>
      <c r="N376" s="14" t="n">
        <v>1</v>
      </c>
      <c r="O376" s="14" t="n">
        <v>3</v>
      </c>
      <c r="P376" s="14" t="n">
        <v>4</v>
      </c>
      <c r="Q376" s="14"/>
      <c r="R376" s="12" t="n">
        <f aca="false">IF(OR(N376="",P376=""),"",ROUND(N376*O376/P376,1))</f>
        <v>0.8</v>
      </c>
      <c r="S376" s="13" t="n">
        <f aca="false">IF(R376="","",IF(Q376="Y",1,IF(P376&gt;='Read me'!$B$16,3,IF(AND(R376&gt;='Read me'!$B$14,P376&lt;='Read me'!$B$15),1,2))))</f>
        <v>3</v>
      </c>
    </row>
    <row r="377" customFormat="false" ht="35.05" hidden="false" customHeight="false" outlineLevel="0" collapsed="false">
      <c r="A377" s="11" t="s">
        <v>2796</v>
      </c>
      <c r="B377" s="11" t="s">
        <v>35</v>
      </c>
      <c r="C377" s="11" t="s">
        <v>146</v>
      </c>
      <c r="D377" s="11" t="s">
        <v>147</v>
      </c>
      <c r="E377" s="11" t="s">
        <v>532</v>
      </c>
      <c r="F377" s="11" t="s">
        <v>2797</v>
      </c>
      <c r="G377" s="11" t="s">
        <v>2798</v>
      </c>
      <c r="H377" s="11"/>
      <c r="I377" s="11" t="s">
        <v>2799</v>
      </c>
      <c r="J377" s="11" t="s">
        <v>2800</v>
      </c>
      <c r="K377" s="11" t="s">
        <v>2801</v>
      </c>
      <c r="L377" s="11" t="s">
        <v>2802</v>
      </c>
      <c r="M377" s="11" t="s">
        <v>2803</v>
      </c>
      <c r="N377" s="14" t="n">
        <v>5</v>
      </c>
      <c r="O377" s="14" t="n">
        <v>4</v>
      </c>
      <c r="P377" s="14" t="n">
        <v>2</v>
      </c>
      <c r="Q377" s="14"/>
      <c r="R377" s="12" t="n">
        <f aca="false">IF(OR(N377="",P377=""),"",ROUND(N377*O377/P377,1))</f>
        <v>10</v>
      </c>
      <c r="S377" s="13" t="n">
        <f aca="false">IF(R377="","",IF(Q377="Y",1,IF(P377&gt;='Read me'!$B$16,3,IF(AND(R377&gt;='Read me'!$B$14,P377&lt;='Read me'!$B$15),1,2))))</f>
        <v>1</v>
      </c>
    </row>
    <row r="378" customFormat="false" ht="35.05" hidden="false" customHeight="false" outlineLevel="0" collapsed="false">
      <c r="A378" s="11" t="s">
        <v>2804</v>
      </c>
      <c r="B378" s="11" t="s">
        <v>35</v>
      </c>
      <c r="C378" s="11" t="s">
        <v>146</v>
      </c>
      <c r="D378" s="11" t="s">
        <v>147</v>
      </c>
      <c r="E378" s="11" t="s">
        <v>532</v>
      </c>
      <c r="F378" s="11" t="s">
        <v>2805</v>
      </c>
      <c r="G378" s="11" t="s">
        <v>2806</v>
      </c>
      <c r="H378" s="11"/>
      <c r="I378" s="11" t="s">
        <v>2807</v>
      </c>
      <c r="J378" s="11" t="s">
        <v>2808</v>
      </c>
      <c r="K378" s="11" t="s">
        <v>2809</v>
      </c>
      <c r="L378" s="11" t="s">
        <v>2810</v>
      </c>
      <c r="M378" s="11" t="s">
        <v>2803</v>
      </c>
      <c r="N378" s="14" t="n">
        <v>3</v>
      </c>
      <c r="O378" s="14" t="n">
        <v>3</v>
      </c>
      <c r="P378" s="14" t="n">
        <v>2</v>
      </c>
      <c r="Q378" s="14"/>
      <c r="R378" s="12" t="n">
        <f aca="false">IF(OR(N378="",P378=""),"",ROUND(N378*O378/P378,1))</f>
        <v>4.5</v>
      </c>
      <c r="S378" s="13" t="n">
        <f aca="false">IF(R378="","",IF(Q378="Y",1,IF(P378&gt;='Read me'!$B$16,3,IF(AND(R378&gt;='Read me'!$B$14,P378&lt;='Read me'!$B$15),1,2))))</f>
        <v>2</v>
      </c>
    </row>
    <row r="379" customFormat="false" ht="15" hidden="false" customHeight="false" outlineLevel="0" collapsed="false">
      <c r="A379" s="11" t="s">
        <v>2811</v>
      </c>
      <c r="B379" s="11" t="s">
        <v>35</v>
      </c>
      <c r="C379" s="11" t="s">
        <v>146</v>
      </c>
      <c r="D379" s="11" t="s">
        <v>147</v>
      </c>
      <c r="E379" s="11" t="s">
        <v>532</v>
      </c>
      <c r="F379" s="11" t="s">
        <v>2797</v>
      </c>
      <c r="G379" s="11" t="s">
        <v>2812</v>
      </c>
      <c r="H379" s="11"/>
      <c r="I379" s="11" t="s">
        <v>2813</v>
      </c>
      <c r="J379" s="11" t="s">
        <v>2814</v>
      </c>
      <c r="K379" s="11" t="s">
        <v>2815</v>
      </c>
      <c r="L379" s="11" t="s">
        <v>2816</v>
      </c>
      <c r="M379" s="11"/>
      <c r="N379" s="14" t="n">
        <v>3</v>
      </c>
      <c r="O379" s="14" t="n">
        <v>3</v>
      </c>
      <c r="P379" s="14" t="n">
        <v>2</v>
      </c>
      <c r="Q379" s="14"/>
      <c r="R379" s="12" t="n">
        <f aca="false">IF(OR(N379="",P379=""),"",ROUND(N379*O379/P379,1))</f>
        <v>4.5</v>
      </c>
      <c r="S379" s="13" t="n">
        <f aca="false">IF(R379="","",IF(Q379="Y",1,IF(P379&gt;='Read me'!$B$16,3,IF(AND(R379&gt;='Read me'!$B$14,P379&lt;='Read me'!$B$15),1,2))))</f>
        <v>2</v>
      </c>
    </row>
    <row r="380" customFormat="false" ht="15" hidden="false" customHeight="false" outlineLevel="0" collapsed="false">
      <c r="A380" s="11" t="s">
        <v>2817</v>
      </c>
      <c r="B380" s="11" t="s">
        <v>35</v>
      </c>
      <c r="C380" s="11" t="s">
        <v>146</v>
      </c>
      <c r="D380" s="11" t="s">
        <v>147</v>
      </c>
      <c r="E380" s="11" t="s">
        <v>532</v>
      </c>
      <c r="F380" s="11" t="s">
        <v>2797</v>
      </c>
      <c r="G380" s="11" t="s">
        <v>1479</v>
      </c>
      <c r="H380" s="11"/>
      <c r="I380" s="11" t="s">
        <v>2818</v>
      </c>
      <c r="J380" s="11" t="s">
        <v>2819</v>
      </c>
      <c r="K380" s="11" t="s">
        <v>903</v>
      </c>
      <c r="L380" s="11" t="s">
        <v>2820</v>
      </c>
      <c r="M380" s="11"/>
      <c r="N380" s="14" t="n">
        <v>2</v>
      </c>
      <c r="O380" s="14" t="n">
        <v>4</v>
      </c>
      <c r="P380" s="14" t="n">
        <v>1</v>
      </c>
      <c r="Q380" s="14"/>
      <c r="R380" s="12" t="n">
        <f aca="false">IF(OR(N380="",P380=""),"",ROUND(N380*O380/P380,1))</f>
        <v>8</v>
      </c>
      <c r="S380" s="13" t="n">
        <f aca="false">IF(R380="","",IF(Q380="Y",1,IF(P380&gt;='Read me'!$B$16,3,IF(AND(R380&gt;='Read me'!$B$14,P380&lt;='Read me'!$B$15),1,2))))</f>
        <v>1</v>
      </c>
    </row>
    <row r="381" customFormat="false" ht="23.85" hidden="false" customHeight="false" outlineLevel="0" collapsed="false">
      <c r="A381" s="11" t="s">
        <v>2821</v>
      </c>
      <c r="B381" s="11" t="s">
        <v>35</v>
      </c>
      <c r="C381" s="11" t="s">
        <v>146</v>
      </c>
      <c r="D381" s="11" t="s">
        <v>147</v>
      </c>
      <c r="E381" s="11" t="s">
        <v>532</v>
      </c>
      <c r="F381" s="11" t="s">
        <v>2797</v>
      </c>
      <c r="G381" s="11" t="s">
        <v>2822</v>
      </c>
      <c r="H381" s="11"/>
      <c r="I381" s="11" t="s">
        <v>2823</v>
      </c>
      <c r="J381" s="11" t="s">
        <v>2824</v>
      </c>
      <c r="K381" s="11" t="s">
        <v>2825</v>
      </c>
      <c r="L381" s="11" t="s">
        <v>2826</v>
      </c>
      <c r="M381" s="11" t="s">
        <v>2827</v>
      </c>
      <c r="N381" s="14" t="n">
        <v>1</v>
      </c>
      <c r="O381" s="14" t="n">
        <v>3</v>
      </c>
      <c r="P381" s="14" t="n">
        <v>4</v>
      </c>
      <c r="Q381" s="14"/>
      <c r="R381" s="12" t="n">
        <f aca="false">IF(OR(N381="",P381=""),"",ROUND(N381*O381/P381,1))</f>
        <v>0.8</v>
      </c>
      <c r="S381" s="13" t="n">
        <f aca="false">IF(R381="","",IF(Q381="Y",1,IF(P381&gt;='Read me'!$B$16,3,IF(AND(R381&gt;='Read me'!$B$14,P381&lt;='Read me'!$B$15),1,2))))</f>
        <v>3</v>
      </c>
    </row>
    <row r="382" customFormat="false" ht="23.85" hidden="false" customHeight="false" outlineLevel="0" collapsed="false">
      <c r="A382" s="11" t="s">
        <v>2828</v>
      </c>
      <c r="B382" s="11" t="s">
        <v>35</v>
      </c>
      <c r="C382" s="11" t="s">
        <v>146</v>
      </c>
      <c r="D382" s="11" t="s">
        <v>147</v>
      </c>
      <c r="E382" s="11" t="s">
        <v>532</v>
      </c>
      <c r="F382" s="11" t="s">
        <v>2797</v>
      </c>
      <c r="G382" s="11" t="s">
        <v>1473</v>
      </c>
      <c r="H382" s="11"/>
      <c r="I382" s="11" t="s">
        <v>2829</v>
      </c>
      <c r="J382" s="11" t="s">
        <v>2830</v>
      </c>
      <c r="K382" s="11" t="s">
        <v>2825</v>
      </c>
      <c r="L382" s="11" t="s">
        <v>2831</v>
      </c>
      <c r="M382" s="11"/>
      <c r="N382" s="14" t="n">
        <v>1</v>
      </c>
      <c r="O382" s="14" t="n">
        <v>3</v>
      </c>
      <c r="P382" s="14" t="n">
        <v>4</v>
      </c>
      <c r="Q382" s="14"/>
      <c r="R382" s="12" t="n">
        <f aca="false">IF(OR(N382="",P382=""),"",ROUND(N382*O382/P382,1))</f>
        <v>0.8</v>
      </c>
      <c r="S382" s="13" t="n">
        <f aca="false">IF(R382="","",IF(Q382="Y",1,IF(P382&gt;='Read me'!$B$16,3,IF(AND(R382&gt;='Read me'!$B$14,P382&lt;='Read me'!$B$15),1,2))))</f>
        <v>3</v>
      </c>
    </row>
    <row r="383" customFormat="false" ht="23.85" hidden="false" customHeight="false" outlineLevel="0" collapsed="false">
      <c r="A383" s="11" t="s">
        <v>2832</v>
      </c>
      <c r="B383" s="11" t="s">
        <v>35</v>
      </c>
      <c r="C383" s="11" t="s">
        <v>146</v>
      </c>
      <c r="D383" s="11" t="s">
        <v>147</v>
      </c>
      <c r="E383" s="11" t="s">
        <v>532</v>
      </c>
      <c r="F383" s="11" t="s">
        <v>2833</v>
      </c>
      <c r="G383" s="11" t="s">
        <v>2834</v>
      </c>
      <c r="H383" s="11"/>
      <c r="I383" s="11" t="s">
        <v>2835</v>
      </c>
      <c r="J383" s="11" t="s">
        <v>2836</v>
      </c>
      <c r="K383" s="11" t="s">
        <v>2837</v>
      </c>
      <c r="L383" s="11" t="s">
        <v>2838</v>
      </c>
      <c r="M383" s="11"/>
      <c r="N383" s="14" t="n">
        <v>2</v>
      </c>
      <c r="O383" s="14" t="n">
        <v>3</v>
      </c>
      <c r="P383" s="14" t="n">
        <v>3</v>
      </c>
      <c r="Q383" s="14"/>
      <c r="R383" s="12" t="n">
        <f aca="false">IF(OR(N383="",P383=""),"",ROUND(N383*O383/P383,1))</f>
        <v>2</v>
      </c>
      <c r="S383" s="13" t="n">
        <f aca="false">IF(R383="","",IF(Q383="Y",1,IF(P383&gt;='Read me'!$B$16,3,IF(AND(R383&gt;='Read me'!$B$14,P383&lt;='Read me'!$B$15),1,2))))</f>
        <v>2</v>
      </c>
    </row>
    <row r="384" customFormat="false" ht="23.85" hidden="false" customHeight="false" outlineLevel="0" collapsed="false">
      <c r="A384" s="11" t="s">
        <v>2839</v>
      </c>
      <c r="B384" s="11" t="s">
        <v>35</v>
      </c>
      <c r="C384" s="11" t="s">
        <v>146</v>
      </c>
      <c r="D384" s="11" t="s">
        <v>147</v>
      </c>
      <c r="E384" s="11" t="s">
        <v>626</v>
      </c>
      <c r="F384" s="11" t="s">
        <v>2840</v>
      </c>
      <c r="G384" s="11" t="s">
        <v>2841</v>
      </c>
      <c r="H384" s="11"/>
      <c r="I384" s="11" t="s">
        <v>2842</v>
      </c>
      <c r="J384" s="11" t="s">
        <v>2843</v>
      </c>
      <c r="K384" s="11" t="s">
        <v>529</v>
      </c>
      <c r="L384" s="11" t="s">
        <v>2844</v>
      </c>
      <c r="M384" s="11"/>
      <c r="N384" s="14" t="n">
        <v>2</v>
      </c>
      <c r="O384" s="14" t="n">
        <v>2</v>
      </c>
      <c r="P384" s="14" t="n">
        <v>1</v>
      </c>
      <c r="Q384" s="14"/>
      <c r="R384" s="12" t="n">
        <f aca="false">IF(OR(N384="",P384=""),"",ROUND(N384*O384/P384,1))</f>
        <v>4</v>
      </c>
      <c r="S384" s="13" t="n">
        <f aca="false">IF(R384="","",IF(Q384="Y",1,IF(P384&gt;='Read me'!$B$16,3,IF(AND(R384&gt;='Read me'!$B$14,P384&lt;='Read me'!$B$15),1,2))))</f>
        <v>2</v>
      </c>
    </row>
    <row r="385" customFormat="false" ht="23.85" hidden="false" customHeight="false" outlineLevel="0" collapsed="false">
      <c r="A385" s="11" t="s">
        <v>2845</v>
      </c>
      <c r="B385" s="11" t="s">
        <v>35</v>
      </c>
      <c r="C385" s="11" t="s">
        <v>146</v>
      </c>
      <c r="D385" s="11" t="s">
        <v>147</v>
      </c>
      <c r="E385" s="11" t="s">
        <v>751</v>
      </c>
      <c r="F385" s="11" t="s">
        <v>2846</v>
      </c>
      <c r="G385" s="11" t="s">
        <v>2253</v>
      </c>
      <c r="H385" s="11"/>
      <c r="I385" s="11" t="s">
        <v>2847</v>
      </c>
      <c r="J385" s="11" t="s">
        <v>2848</v>
      </c>
      <c r="K385" s="11" t="s">
        <v>2849</v>
      </c>
      <c r="L385" s="11" t="s">
        <v>2850</v>
      </c>
      <c r="M385" s="11" t="s">
        <v>1577</v>
      </c>
      <c r="N385" s="14" t="n">
        <v>4</v>
      </c>
      <c r="O385" s="14" t="n">
        <v>4</v>
      </c>
      <c r="P385" s="14" t="n">
        <v>3</v>
      </c>
      <c r="Q385" s="14"/>
      <c r="R385" s="12" t="n">
        <f aca="false">IF(OR(N385="",P385=""),"",ROUND(N385*O385/P385,1))</f>
        <v>5.3</v>
      </c>
      <c r="S385" s="13" t="n">
        <f aca="false">IF(R385="","",IF(Q385="Y",1,IF(P385&gt;='Read me'!$B$16,3,IF(AND(R385&gt;='Read me'!$B$14,P385&lt;='Read me'!$B$15),1,2))))</f>
        <v>2</v>
      </c>
    </row>
    <row r="386" customFormat="false" ht="23.85" hidden="false" customHeight="false" outlineLevel="0" collapsed="false">
      <c r="A386" s="11" t="s">
        <v>2851</v>
      </c>
      <c r="B386" s="11" t="s">
        <v>35</v>
      </c>
      <c r="C386" s="11" t="s">
        <v>146</v>
      </c>
      <c r="D386" s="11" t="s">
        <v>147</v>
      </c>
      <c r="E386" s="11" t="s">
        <v>751</v>
      </c>
      <c r="F386" s="11" t="s">
        <v>2852</v>
      </c>
      <c r="G386" s="11" t="s">
        <v>2853</v>
      </c>
      <c r="H386" s="11" t="s">
        <v>2854</v>
      </c>
      <c r="I386" s="11" t="s">
        <v>2855</v>
      </c>
      <c r="J386" s="11" t="s">
        <v>2856</v>
      </c>
      <c r="K386" s="11" t="s">
        <v>2857</v>
      </c>
      <c r="L386" s="11" t="s">
        <v>2858</v>
      </c>
      <c r="M386" s="11"/>
      <c r="N386" s="14" t="n">
        <v>2</v>
      </c>
      <c r="O386" s="14" t="n">
        <v>3</v>
      </c>
      <c r="P386" s="14" t="n">
        <v>3</v>
      </c>
      <c r="Q386" s="14"/>
      <c r="R386" s="12" t="n">
        <f aca="false">IF(OR(N386="",P386=""),"",ROUND(N386*O386/P386,1))</f>
        <v>2</v>
      </c>
      <c r="S386" s="13" t="n">
        <f aca="false">IF(R386="","",IF(Q386="Y",1,IF(P386&gt;='Read me'!$B$16,3,IF(AND(R386&gt;='Read me'!$B$14,P386&lt;='Read me'!$B$15),1,2))))</f>
        <v>2</v>
      </c>
    </row>
    <row r="387" customFormat="false" ht="15" hidden="false" customHeight="false" outlineLevel="0" collapsed="false">
      <c r="A387" s="11" t="s">
        <v>2859</v>
      </c>
      <c r="B387" s="11" t="s">
        <v>35</v>
      </c>
      <c r="C387" s="11" t="s">
        <v>146</v>
      </c>
      <c r="D387" s="11" t="s">
        <v>147</v>
      </c>
      <c r="E387" s="11" t="s">
        <v>765</v>
      </c>
      <c r="F387" s="11" t="s">
        <v>2860</v>
      </c>
      <c r="G387" s="11" t="s">
        <v>1990</v>
      </c>
      <c r="H387" s="11"/>
      <c r="I387" s="11" t="s">
        <v>2861</v>
      </c>
      <c r="J387" s="11" t="s">
        <v>2862</v>
      </c>
      <c r="K387" s="11" t="s">
        <v>1993</v>
      </c>
      <c r="L387" s="11" t="s">
        <v>2863</v>
      </c>
      <c r="M387" s="11"/>
      <c r="N387" s="14" t="n">
        <v>3</v>
      </c>
      <c r="O387" s="14" t="n">
        <v>2</v>
      </c>
      <c r="P387" s="14" t="n">
        <v>2</v>
      </c>
      <c r="Q387" s="14"/>
      <c r="R387" s="12" t="n">
        <f aca="false">IF(OR(N387="",P387=""),"",ROUND(N387*O387/P387,1))</f>
        <v>3</v>
      </c>
      <c r="S387" s="13" t="n">
        <f aca="false">IF(R387="","",IF(Q387="Y",1,IF(P387&gt;='Read me'!$B$16,3,IF(AND(R387&gt;='Read me'!$B$14,P387&lt;='Read me'!$B$15),1,2))))</f>
        <v>2</v>
      </c>
    </row>
    <row r="388" customFormat="false" ht="15" hidden="false" customHeight="false" outlineLevel="0" collapsed="false">
      <c r="A388" s="11" t="s">
        <v>2864</v>
      </c>
      <c r="B388" s="11" t="s">
        <v>35</v>
      </c>
      <c r="C388" s="11" t="s">
        <v>146</v>
      </c>
      <c r="D388" s="11" t="s">
        <v>147</v>
      </c>
      <c r="E388" s="11" t="s">
        <v>1081</v>
      </c>
      <c r="F388" s="11" t="s">
        <v>2865</v>
      </c>
      <c r="G388" s="11" t="s">
        <v>2866</v>
      </c>
      <c r="H388" s="11"/>
      <c r="I388" s="11" t="s">
        <v>2867</v>
      </c>
      <c r="J388" s="11" t="s">
        <v>2868</v>
      </c>
      <c r="K388" s="11" t="s">
        <v>2869</v>
      </c>
      <c r="L388" s="11" t="s">
        <v>2870</v>
      </c>
      <c r="M388" s="11"/>
      <c r="N388" s="14" t="n">
        <v>5</v>
      </c>
      <c r="O388" s="14" t="n">
        <v>3</v>
      </c>
      <c r="P388" s="14" t="n">
        <v>2</v>
      </c>
      <c r="Q388" s="14"/>
      <c r="R388" s="12" t="n">
        <f aca="false">IF(OR(N388="",P388=""),"",ROUND(N388*O388/P388,1))</f>
        <v>7.5</v>
      </c>
      <c r="S388" s="13" t="n">
        <f aca="false">IF(R388="","",IF(Q388="Y",1,IF(P388&gt;='Read me'!$B$16,3,IF(AND(R388&gt;='Read me'!$B$14,P388&lt;='Read me'!$B$15),1,2))))</f>
        <v>1</v>
      </c>
    </row>
    <row r="389" customFormat="false" ht="15" hidden="false" customHeight="false" outlineLevel="0" collapsed="false">
      <c r="A389" s="11" t="s">
        <v>2871</v>
      </c>
      <c r="B389" s="11" t="s">
        <v>35</v>
      </c>
      <c r="C389" s="11" t="s">
        <v>146</v>
      </c>
      <c r="D389" s="11" t="s">
        <v>147</v>
      </c>
      <c r="E389" s="11" t="s">
        <v>1081</v>
      </c>
      <c r="F389" s="11" t="s">
        <v>2872</v>
      </c>
      <c r="G389" s="11" t="s">
        <v>2873</v>
      </c>
      <c r="H389" s="11"/>
      <c r="I389" s="11" t="s">
        <v>2874</v>
      </c>
      <c r="J389" s="11" t="s">
        <v>2875</v>
      </c>
      <c r="K389" s="11" t="s">
        <v>2876</v>
      </c>
      <c r="L389" s="11" t="s">
        <v>1044</v>
      </c>
      <c r="M389" s="11"/>
      <c r="N389" s="14" t="n">
        <v>2</v>
      </c>
      <c r="O389" s="14" t="n">
        <v>2</v>
      </c>
      <c r="P389" s="14" t="n">
        <v>3</v>
      </c>
      <c r="Q389" s="14"/>
      <c r="R389" s="12" t="n">
        <f aca="false">IF(OR(N389="",P389=""),"",ROUND(N389*O389/P389,1))</f>
        <v>1.3</v>
      </c>
      <c r="S389" s="13" t="n">
        <f aca="false">IF(R389="","",IF(Q389="Y",1,IF(P389&gt;='Read me'!$B$16,3,IF(AND(R389&gt;='Read me'!$B$14,P389&lt;='Read me'!$B$15),1,2))))</f>
        <v>2</v>
      </c>
    </row>
    <row r="390" customFormat="false" ht="23.85" hidden="false" customHeight="false" outlineLevel="0" collapsed="false">
      <c r="A390" s="11" t="s">
        <v>2877</v>
      </c>
      <c r="B390" s="11" t="s">
        <v>35</v>
      </c>
      <c r="C390" s="11" t="s">
        <v>146</v>
      </c>
      <c r="D390" s="11" t="s">
        <v>147</v>
      </c>
      <c r="E390" s="11" t="s">
        <v>1187</v>
      </c>
      <c r="F390" s="11" t="s">
        <v>2878</v>
      </c>
      <c r="G390" s="11" t="s">
        <v>2866</v>
      </c>
      <c r="H390" s="11" t="s">
        <v>1700</v>
      </c>
      <c r="I390" s="11" t="s">
        <v>512</v>
      </c>
      <c r="J390" s="11" t="s">
        <v>2879</v>
      </c>
      <c r="K390" s="11" t="s">
        <v>2880</v>
      </c>
      <c r="L390" s="11" t="s">
        <v>2881</v>
      </c>
      <c r="M390" s="11"/>
      <c r="N390" s="14" t="n">
        <v>2</v>
      </c>
      <c r="O390" s="14" t="n">
        <v>3</v>
      </c>
      <c r="P390" s="14" t="n">
        <v>2</v>
      </c>
      <c r="Q390" s="14"/>
      <c r="R390" s="12" t="n">
        <f aca="false">IF(OR(N390="",P390=""),"",ROUND(N390*O390/P390,1))</f>
        <v>3</v>
      </c>
      <c r="S390" s="13" t="n">
        <f aca="false">IF(R390="","",IF(Q390="Y",1,IF(P390&gt;='Read me'!$B$16,3,IF(AND(R390&gt;='Read me'!$B$14,P390&lt;='Read me'!$B$15),1,2))))</f>
        <v>2</v>
      </c>
    </row>
    <row r="391" customFormat="false" ht="23.85" hidden="false" customHeight="false" outlineLevel="0" collapsed="false">
      <c r="A391" s="11" t="s">
        <v>2882</v>
      </c>
      <c r="B391" s="11" t="s">
        <v>35</v>
      </c>
      <c r="C391" s="11" t="s">
        <v>146</v>
      </c>
      <c r="D391" s="11" t="s">
        <v>147</v>
      </c>
      <c r="E391" s="11" t="s">
        <v>1187</v>
      </c>
      <c r="F391" s="11" t="s">
        <v>2883</v>
      </c>
      <c r="G391" s="11" t="s">
        <v>2884</v>
      </c>
      <c r="H391" s="11" t="s">
        <v>1659</v>
      </c>
      <c r="I391" s="11" t="s">
        <v>2885</v>
      </c>
      <c r="J391" s="11" t="s">
        <v>2886</v>
      </c>
      <c r="K391" s="11" t="s">
        <v>2887</v>
      </c>
      <c r="L391" s="11" t="s">
        <v>2888</v>
      </c>
      <c r="M391" s="11"/>
      <c r="N391" s="14" t="n">
        <v>2</v>
      </c>
      <c r="O391" s="14" t="n">
        <v>2</v>
      </c>
      <c r="P391" s="14" t="n">
        <v>2</v>
      </c>
      <c r="Q391" s="14"/>
      <c r="R391" s="12" t="n">
        <f aca="false">IF(OR(N391="",P391=""),"",ROUND(N391*O391/P391,1))</f>
        <v>2</v>
      </c>
      <c r="S391" s="13" t="n">
        <f aca="false">IF(R391="","",IF(Q391="Y",1,IF(P391&gt;='Read me'!$B$16,3,IF(AND(R391&gt;='Read me'!$B$14,P391&lt;='Read me'!$B$15),1,2))))</f>
        <v>2</v>
      </c>
    </row>
    <row r="392" customFormat="false" ht="23.85" hidden="false" customHeight="false" outlineLevel="0" collapsed="false">
      <c r="A392" s="11" t="s">
        <v>2889</v>
      </c>
      <c r="B392" s="11" t="s">
        <v>35</v>
      </c>
      <c r="C392" s="11" t="s">
        <v>146</v>
      </c>
      <c r="D392" s="11" t="s">
        <v>147</v>
      </c>
      <c r="E392" s="11" t="s">
        <v>1187</v>
      </c>
      <c r="F392" s="11" t="s">
        <v>2890</v>
      </c>
      <c r="G392" s="11" t="s">
        <v>2884</v>
      </c>
      <c r="H392" s="11" t="s">
        <v>1564</v>
      </c>
      <c r="I392" s="11" t="s">
        <v>2891</v>
      </c>
      <c r="J392" s="11" t="s">
        <v>2892</v>
      </c>
      <c r="K392" s="11" t="s">
        <v>813</v>
      </c>
      <c r="L392" s="11" t="s">
        <v>2893</v>
      </c>
      <c r="M392" s="11"/>
      <c r="N392" s="14" t="n">
        <v>2</v>
      </c>
      <c r="O392" s="14" t="n">
        <v>2</v>
      </c>
      <c r="P392" s="14" t="n">
        <v>2</v>
      </c>
      <c r="Q392" s="14"/>
      <c r="R392" s="12" t="n">
        <f aca="false">IF(OR(N392="",P392=""),"",ROUND(N392*O392/P392,1))</f>
        <v>2</v>
      </c>
      <c r="S392" s="13" t="n">
        <f aca="false">IF(R392="","",IF(Q392="Y",1,IF(P392&gt;='Read me'!$B$16,3,IF(AND(R392&gt;='Read me'!$B$14,P392&lt;='Read me'!$B$15),1,2))))</f>
        <v>2</v>
      </c>
    </row>
    <row r="393" customFormat="false" ht="35.05" hidden="false" customHeight="false" outlineLevel="0" collapsed="false">
      <c r="A393" s="11" t="s">
        <v>2894</v>
      </c>
      <c r="B393" s="11" t="s">
        <v>35</v>
      </c>
      <c r="C393" s="11" t="s">
        <v>146</v>
      </c>
      <c r="D393" s="11" t="s">
        <v>147</v>
      </c>
      <c r="E393" s="11" t="s">
        <v>1187</v>
      </c>
      <c r="F393" s="11" t="s">
        <v>2895</v>
      </c>
      <c r="G393" s="11" t="s">
        <v>2896</v>
      </c>
      <c r="H393" s="11" t="s">
        <v>2897</v>
      </c>
      <c r="I393" s="11" t="s">
        <v>2898</v>
      </c>
      <c r="J393" s="11" t="s">
        <v>2899</v>
      </c>
      <c r="K393" s="11" t="s">
        <v>2900</v>
      </c>
      <c r="L393" s="11" t="s">
        <v>2054</v>
      </c>
      <c r="M393" s="11" t="s">
        <v>2055</v>
      </c>
      <c r="N393" s="14" t="n">
        <v>1</v>
      </c>
      <c r="O393" s="14" t="n">
        <v>3</v>
      </c>
      <c r="P393" s="14" t="n">
        <v>5</v>
      </c>
      <c r="Q393" s="14"/>
      <c r="R393" s="12" t="n">
        <f aca="false">IF(OR(N393="",P393=""),"",ROUND(N393*O393/P393,1))</f>
        <v>0.6</v>
      </c>
      <c r="S393" s="13" t="n">
        <f aca="false">IF(R393="","",IF(Q393="Y",1,IF(P393&gt;='Read me'!$B$16,3,IF(AND(R393&gt;='Read me'!$B$14,P393&lt;='Read me'!$B$15),1,2))))</f>
        <v>3</v>
      </c>
    </row>
    <row r="394" customFormat="false" ht="23.85" hidden="false" customHeight="false" outlineLevel="0" collapsed="false">
      <c r="A394" s="11" t="s">
        <v>2901</v>
      </c>
      <c r="B394" s="11" t="s">
        <v>35</v>
      </c>
      <c r="C394" s="11" t="s">
        <v>146</v>
      </c>
      <c r="D394" s="11" t="s">
        <v>147</v>
      </c>
      <c r="E394" s="11" t="s">
        <v>1133</v>
      </c>
      <c r="F394" s="11" t="s">
        <v>2057</v>
      </c>
      <c r="G394" s="11" t="s">
        <v>2853</v>
      </c>
      <c r="H394" s="11" t="s">
        <v>2783</v>
      </c>
      <c r="I394" s="11" t="s">
        <v>2902</v>
      </c>
      <c r="J394" s="11" t="s">
        <v>2903</v>
      </c>
      <c r="K394" s="11" t="s">
        <v>2904</v>
      </c>
      <c r="L394" s="11" t="s">
        <v>2905</v>
      </c>
      <c r="M394" s="11"/>
      <c r="N394" s="14" t="n">
        <v>1</v>
      </c>
      <c r="O394" s="14" t="n">
        <v>2</v>
      </c>
      <c r="P394" s="14" t="n">
        <v>2</v>
      </c>
      <c r="Q394" s="14"/>
      <c r="R394" s="12" t="n">
        <f aca="false">IF(OR(N394="",P394=""),"",ROUND(N394*O394/P394,1))</f>
        <v>1</v>
      </c>
      <c r="S394" s="13" t="n">
        <f aca="false">IF(R394="","",IF(Q394="Y",1,IF(P394&gt;='Read me'!$B$16,3,IF(AND(R394&gt;='Read me'!$B$14,P394&lt;='Read me'!$B$15),1,2))))</f>
        <v>2</v>
      </c>
    </row>
    <row r="395" customFormat="false" ht="15" hidden="false" customHeight="false" outlineLevel="0" collapsed="false">
      <c r="A395" s="11" t="s">
        <v>2906</v>
      </c>
      <c r="B395" s="11" t="s">
        <v>35</v>
      </c>
      <c r="C395" s="11" t="s">
        <v>146</v>
      </c>
      <c r="D395" s="11" t="s">
        <v>147</v>
      </c>
      <c r="E395" s="11" t="s">
        <v>1133</v>
      </c>
      <c r="F395" s="11" t="s">
        <v>1366</v>
      </c>
      <c r="G395" s="11" t="s">
        <v>2301</v>
      </c>
      <c r="H395" s="11"/>
      <c r="I395" s="11" t="s">
        <v>2907</v>
      </c>
      <c r="J395" s="11" t="s">
        <v>2908</v>
      </c>
      <c r="K395" s="11" t="s">
        <v>997</v>
      </c>
      <c r="L395" s="11" t="s">
        <v>2909</v>
      </c>
      <c r="M395" s="11"/>
      <c r="N395" s="14" t="n">
        <v>3</v>
      </c>
      <c r="O395" s="14" t="n">
        <v>2</v>
      </c>
      <c r="P395" s="14" t="n">
        <v>1</v>
      </c>
      <c r="Q395" s="14"/>
      <c r="R395" s="12" t="n">
        <f aca="false">IF(OR(N395="",P395=""),"",ROUND(N395*O395/P395,1))</f>
        <v>6</v>
      </c>
      <c r="S395" s="13" t="n">
        <f aca="false">IF(R395="","",IF(Q395="Y",1,IF(P395&gt;='Read me'!$B$16,3,IF(AND(R395&gt;='Read me'!$B$14,P395&lt;='Read me'!$B$15),1,2))))</f>
        <v>1</v>
      </c>
    </row>
    <row r="396" customFormat="false" ht="23.85" hidden="false" customHeight="false" outlineLevel="0" collapsed="false">
      <c r="A396" s="11" t="s">
        <v>2910</v>
      </c>
      <c r="B396" s="11" t="s">
        <v>35</v>
      </c>
      <c r="C396" s="11" t="s">
        <v>146</v>
      </c>
      <c r="D396" s="11" t="s">
        <v>147</v>
      </c>
      <c r="E396" s="11" t="s">
        <v>1133</v>
      </c>
      <c r="F396" s="11" t="s">
        <v>2911</v>
      </c>
      <c r="G396" s="11" t="s">
        <v>2853</v>
      </c>
      <c r="H396" s="11" t="s">
        <v>2912</v>
      </c>
      <c r="I396" s="11" t="s">
        <v>2913</v>
      </c>
      <c r="J396" s="11" t="s">
        <v>2914</v>
      </c>
      <c r="K396" s="11" t="s">
        <v>1417</v>
      </c>
      <c r="L396" s="11" t="s">
        <v>1418</v>
      </c>
      <c r="M396" s="11"/>
      <c r="N396" s="14" t="n">
        <v>1</v>
      </c>
      <c r="O396" s="14" t="n">
        <v>3</v>
      </c>
      <c r="P396" s="14" t="n">
        <v>4</v>
      </c>
      <c r="Q396" s="14"/>
      <c r="R396" s="12" t="n">
        <f aca="false">IF(OR(N396="",P396=""),"",ROUND(N396*O396/P396,1))</f>
        <v>0.8</v>
      </c>
      <c r="S396" s="13" t="n">
        <f aca="false">IF(R396="","",IF(Q396="Y",1,IF(P396&gt;='Read me'!$B$16,3,IF(AND(R396&gt;='Read me'!$B$14,P396&lt;='Read me'!$B$15),1,2))))</f>
        <v>3</v>
      </c>
    </row>
    <row r="397" customFormat="false" ht="23.85" hidden="false" customHeight="false" outlineLevel="0" collapsed="false">
      <c r="A397" s="11" t="s">
        <v>2915</v>
      </c>
      <c r="B397" s="11" t="s">
        <v>35</v>
      </c>
      <c r="C397" s="11" t="s">
        <v>146</v>
      </c>
      <c r="D397" s="11" t="s">
        <v>147</v>
      </c>
      <c r="E397" s="11" t="s">
        <v>1133</v>
      </c>
      <c r="F397" s="11" t="s">
        <v>2916</v>
      </c>
      <c r="G397" s="11" t="s">
        <v>1148</v>
      </c>
      <c r="H397" s="11"/>
      <c r="I397" s="11" t="s">
        <v>2917</v>
      </c>
      <c r="J397" s="11" t="s">
        <v>2918</v>
      </c>
      <c r="K397" s="11" t="s">
        <v>2904</v>
      </c>
      <c r="L397" s="11" t="s">
        <v>2919</v>
      </c>
      <c r="M397" s="11"/>
      <c r="N397" s="14" t="n">
        <v>1</v>
      </c>
      <c r="O397" s="14" t="n">
        <v>3</v>
      </c>
      <c r="P397" s="14" t="n">
        <v>3</v>
      </c>
      <c r="Q397" s="14"/>
      <c r="R397" s="12" t="n">
        <f aca="false">IF(OR(N397="",P397=""),"",ROUND(N397*O397/P397,1))</f>
        <v>1</v>
      </c>
      <c r="S397" s="13" t="n">
        <f aca="false">IF(R397="","",IF(Q397="Y",1,IF(P397&gt;='Read me'!$B$16,3,IF(AND(R397&gt;='Read me'!$B$14,P397&lt;='Read me'!$B$15),1,2))))</f>
        <v>2</v>
      </c>
    </row>
    <row r="398" customFormat="false" ht="35.05" hidden="false" customHeight="false" outlineLevel="0" collapsed="false">
      <c r="A398" s="11" t="s">
        <v>2920</v>
      </c>
      <c r="B398" s="11" t="s">
        <v>35</v>
      </c>
      <c r="C398" s="11" t="s">
        <v>151</v>
      </c>
      <c r="D398" s="11" t="s">
        <v>152</v>
      </c>
      <c r="E398" s="11" t="s">
        <v>476</v>
      </c>
      <c r="F398" s="11" t="s">
        <v>2921</v>
      </c>
      <c r="G398" s="11" t="s">
        <v>2922</v>
      </c>
      <c r="H398" s="11"/>
      <c r="I398" s="11" t="s">
        <v>512</v>
      </c>
      <c r="J398" s="11" t="s">
        <v>2923</v>
      </c>
      <c r="K398" s="11" t="s">
        <v>2924</v>
      </c>
      <c r="L398" s="11" t="s">
        <v>2925</v>
      </c>
      <c r="M398" s="11" t="s">
        <v>516</v>
      </c>
      <c r="N398" s="14" t="n">
        <v>3</v>
      </c>
      <c r="O398" s="14" t="n">
        <v>3</v>
      </c>
      <c r="P398" s="14" t="n">
        <v>2</v>
      </c>
      <c r="Q398" s="14"/>
      <c r="R398" s="12" t="n">
        <f aca="false">IF(OR(N398="",P398=""),"",ROUND(N398*O398/P398,1))</f>
        <v>4.5</v>
      </c>
      <c r="S398" s="13" t="n">
        <f aca="false">IF(R398="","",IF(Q398="Y",1,IF(P398&gt;='Read me'!$B$16,3,IF(AND(R398&gt;='Read me'!$B$14,P398&lt;='Read me'!$B$15),1,2))))</f>
        <v>2</v>
      </c>
    </row>
    <row r="399" customFormat="false" ht="35.05" hidden="false" customHeight="false" outlineLevel="0" collapsed="false">
      <c r="A399" s="11" t="s">
        <v>2926</v>
      </c>
      <c r="B399" s="11" t="s">
        <v>35</v>
      </c>
      <c r="C399" s="11" t="s">
        <v>151</v>
      </c>
      <c r="D399" s="11" t="s">
        <v>152</v>
      </c>
      <c r="E399" s="11" t="s">
        <v>532</v>
      </c>
      <c r="F399" s="11" t="s">
        <v>2927</v>
      </c>
      <c r="G399" s="11" t="s">
        <v>2178</v>
      </c>
      <c r="H399" s="11"/>
      <c r="I399" s="11" t="s">
        <v>2928</v>
      </c>
      <c r="J399" s="11" t="s">
        <v>2929</v>
      </c>
      <c r="K399" s="11" t="s">
        <v>2930</v>
      </c>
      <c r="L399" s="11" t="s">
        <v>2931</v>
      </c>
      <c r="M399" s="11" t="s">
        <v>2803</v>
      </c>
      <c r="N399" s="14" t="n">
        <v>4</v>
      </c>
      <c r="O399" s="14" t="n">
        <v>4</v>
      </c>
      <c r="P399" s="14" t="n">
        <v>3</v>
      </c>
      <c r="Q399" s="14"/>
      <c r="R399" s="12" t="n">
        <f aca="false">IF(OR(N399="",P399=""),"",ROUND(N399*O399/P399,1))</f>
        <v>5.3</v>
      </c>
      <c r="S399" s="13" t="n">
        <f aca="false">IF(R399="","",IF(Q399="Y",1,IF(P399&gt;='Read me'!$B$16,3,IF(AND(R399&gt;='Read me'!$B$14,P399&lt;='Read me'!$B$15),1,2))))</f>
        <v>2</v>
      </c>
    </row>
    <row r="400" customFormat="false" ht="35.05" hidden="false" customHeight="false" outlineLevel="0" collapsed="false">
      <c r="A400" s="11" t="s">
        <v>2932</v>
      </c>
      <c r="B400" s="11" t="s">
        <v>35</v>
      </c>
      <c r="C400" s="11" t="s">
        <v>151</v>
      </c>
      <c r="D400" s="11" t="s">
        <v>152</v>
      </c>
      <c r="E400" s="11" t="s">
        <v>532</v>
      </c>
      <c r="F400" s="11" t="s">
        <v>2927</v>
      </c>
      <c r="G400" s="11" t="s">
        <v>1803</v>
      </c>
      <c r="H400" s="11"/>
      <c r="I400" s="11" t="s">
        <v>2933</v>
      </c>
      <c r="J400" s="11" t="s">
        <v>2934</v>
      </c>
      <c r="K400" s="11" t="s">
        <v>2935</v>
      </c>
      <c r="L400" s="11" t="s">
        <v>2936</v>
      </c>
      <c r="M400" s="11" t="s">
        <v>2803</v>
      </c>
      <c r="N400" s="14" t="n">
        <v>4</v>
      </c>
      <c r="O400" s="14" t="n">
        <v>4</v>
      </c>
      <c r="P400" s="14" t="n">
        <v>3</v>
      </c>
      <c r="Q400" s="14"/>
      <c r="R400" s="12" t="n">
        <f aca="false">IF(OR(N400="",P400=""),"",ROUND(N400*O400/P400,1))</f>
        <v>5.3</v>
      </c>
      <c r="S400" s="13" t="n">
        <f aca="false">IF(R400="","",IF(Q400="Y",1,IF(P400&gt;='Read me'!$B$16,3,IF(AND(R400&gt;='Read me'!$B$14,P400&lt;='Read me'!$B$15),1,2))))</f>
        <v>2</v>
      </c>
    </row>
    <row r="401" customFormat="false" ht="23.85" hidden="false" customHeight="false" outlineLevel="0" collapsed="false">
      <c r="A401" s="11" t="s">
        <v>2937</v>
      </c>
      <c r="B401" s="11" t="s">
        <v>35</v>
      </c>
      <c r="C401" s="11" t="s">
        <v>151</v>
      </c>
      <c r="D401" s="11" t="s">
        <v>152</v>
      </c>
      <c r="E401" s="11" t="s">
        <v>532</v>
      </c>
      <c r="F401" s="11" t="s">
        <v>2927</v>
      </c>
      <c r="G401" s="11" t="s">
        <v>2938</v>
      </c>
      <c r="H401" s="11"/>
      <c r="I401" s="11" t="s">
        <v>2939</v>
      </c>
      <c r="J401" s="11" t="s">
        <v>2940</v>
      </c>
      <c r="K401" s="11" t="s">
        <v>2941</v>
      </c>
      <c r="L401" s="11" t="s">
        <v>2942</v>
      </c>
      <c r="M401" s="11"/>
      <c r="N401" s="14" t="n">
        <v>2</v>
      </c>
      <c r="O401" s="14" t="n">
        <v>4</v>
      </c>
      <c r="P401" s="14" t="n">
        <v>2</v>
      </c>
      <c r="Q401" s="14"/>
      <c r="R401" s="12" t="n">
        <f aca="false">IF(OR(N401="",P401=""),"",ROUND(N401*O401/P401,1))</f>
        <v>4</v>
      </c>
      <c r="S401" s="13" t="n">
        <f aca="false">IF(R401="","",IF(Q401="Y",1,IF(P401&gt;='Read me'!$B$16,3,IF(AND(R401&gt;='Read me'!$B$14,P401&lt;='Read me'!$B$15),1,2))))</f>
        <v>2</v>
      </c>
    </row>
    <row r="402" customFormat="false" ht="23.85" hidden="false" customHeight="false" outlineLevel="0" collapsed="false">
      <c r="A402" s="11" t="s">
        <v>2943</v>
      </c>
      <c r="B402" s="11" t="s">
        <v>35</v>
      </c>
      <c r="C402" s="11" t="s">
        <v>151</v>
      </c>
      <c r="D402" s="11" t="s">
        <v>152</v>
      </c>
      <c r="E402" s="11" t="s">
        <v>532</v>
      </c>
      <c r="F402" s="11" t="s">
        <v>2927</v>
      </c>
      <c r="G402" s="11" t="s">
        <v>2944</v>
      </c>
      <c r="H402" s="11"/>
      <c r="I402" s="11" t="s">
        <v>2945</v>
      </c>
      <c r="J402" s="11" t="s">
        <v>2946</v>
      </c>
      <c r="K402" s="11" t="s">
        <v>2815</v>
      </c>
      <c r="L402" s="11" t="s">
        <v>2947</v>
      </c>
      <c r="M402" s="11"/>
      <c r="N402" s="14" t="n">
        <v>3</v>
      </c>
      <c r="O402" s="14" t="n">
        <v>3</v>
      </c>
      <c r="P402" s="14" t="n">
        <v>2</v>
      </c>
      <c r="Q402" s="14"/>
      <c r="R402" s="12" t="n">
        <f aca="false">IF(OR(N402="",P402=""),"",ROUND(N402*O402/P402,1))</f>
        <v>4.5</v>
      </c>
      <c r="S402" s="13" t="n">
        <f aca="false">IF(R402="","",IF(Q402="Y",1,IF(P402&gt;='Read me'!$B$16,3,IF(AND(R402&gt;='Read me'!$B$14,P402&lt;='Read me'!$B$15),1,2))))</f>
        <v>2</v>
      </c>
    </row>
    <row r="403" customFormat="false" ht="23.85" hidden="false" customHeight="false" outlineLevel="0" collapsed="false">
      <c r="A403" s="11" t="s">
        <v>2948</v>
      </c>
      <c r="B403" s="11" t="s">
        <v>35</v>
      </c>
      <c r="C403" s="11" t="s">
        <v>151</v>
      </c>
      <c r="D403" s="11" t="s">
        <v>152</v>
      </c>
      <c r="E403" s="11" t="s">
        <v>532</v>
      </c>
      <c r="F403" s="11" t="s">
        <v>2949</v>
      </c>
      <c r="G403" s="11" t="s">
        <v>2950</v>
      </c>
      <c r="H403" s="11"/>
      <c r="I403" s="11" t="s">
        <v>2951</v>
      </c>
      <c r="J403" s="11" t="s">
        <v>2952</v>
      </c>
      <c r="K403" s="11" t="s">
        <v>2953</v>
      </c>
      <c r="L403" s="11" t="s">
        <v>2954</v>
      </c>
      <c r="M403" s="11"/>
      <c r="N403" s="14" t="n">
        <v>3</v>
      </c>
      <c r="O403" s="14" t="n">
        <v>2</v>
      </c>
      <c r="P403" s="14" t="n">
        <v>1</v>
      </c>
      <c r="Q403" s="14"/>
      <c r="R403" s="12" t="n">
        <f aca="false">IF(OR(N403="",P403=""),"",ROUND(N403*O403/P403,1))</f>
        <v>6</v>
      </c>
      <c r="S403" s="13" t="n">
        <f aca="false">IF(R403="","",IF(Q403="Y",1,IF(P403&gt;='Read me'!$B$16,3,IF(AND(R403&gt;='Read me'!$B$14,P403&lt;='Read me'!$B$15),1,2))))</f>
        <v>1</v>
      </c>
    </row>
    <row r="404" customFormat="false" ht="23.85" hidden="false" customHeight="false" outlineLevel="0" collapsed="false">
      <c r="A404" s="11" t="s">
        <v>2955</v>
      </c>
      <c r="B404" s="11" t="s">
        <v>35</v>
      </c>
      <c r="C404" s="11" t="s">
        <v>151</v>
      </c>
      <c r="D404" s="11" t="s">
        <v>152</v>
      </c>
      <c r="E404" s="11" t="s">
        <v>751</v>
      </c>
      <c r="F404" s="11" t="s">
        <v>2956</v>
      </c>
      <c r="G404" s="11" t="s">
        <v>2253</v>
      </c>
      <c r="H404" s="11"/>
      <c r="I404" s="11" t="s">
        <v>1251</v>
      </c>
      <c r="J404" s="11" t="s">
        <v>2957</v>
      </c>
      <c r="K404" s="11" t="s">
        <v>1254</v>
      </c>
      <c r="L404" s="11" t="s">
        <v>2958</v>
      </c>
      <c r="M404" s="11" t="s">
        <v>1577</v>
      </c>
      <c r="N404" s="14" t="n">
        <v>3</v>
      </c>
      <c r="O404" s="14" t="n">
        <v>3</v>
      </c>
      <c r="P404" s="14" t="n">
        <v>3</v>
      </c>
      <c r="Q404" s="14"/>
      <c r="R404" s="12" t="n">
        <f aca="false">IF(OR(N404="",P404=""),"",ROUND(N404*O404/P404,1))</f>
        <v>3</v>
      </c>
      <c r="S404" s="13" t="n">
        <f aca="false">IF(R404="","",IF(Q404="Y",1,IF(P404&gt;='Read me'!$B$16,3,IF(AND(R404&gt;='Read me'!$B$14,P404&lt;='Read me'!$B$15),1,2))))</f>
        <v>2</v>
      </c>
    </row>
    <row r="405" customFormat="false" ht="15" hidden="false" customHeight="false" outlineLevel="0" collapsed="false">
      <c r="A405" s="11" t="s">
        <v>2959</v>
      </c>
      <c r="B405" s="11" t="s">
        <v>35</v>
      </c>
      <c r="C405" s="11" t="s">
        <v>151</v>
      </c>
      <c r="D405" s="11" t="s">
        <v>152</v>
      </c>
      <c r="E405" s="11" t="s">
        <v>765</v>
      </c>
      <c r="F405" s="11" t="s">
        <v>2960</v>
      </c>
      <c r="G405" s="11" t="s">
        <v>2961</v>
      </c>
      <c r="H405" s="11"/>
      <c r="I405" s="11" t="s">
        <v>2962</v>
      </c>
      <c r="J405" s="11" t="s">
        <v>2963</v>
      </c>
      <c r="K405" s="11" t="s">
        <v>2964</v>
      </c>
      <c r="L405" s="11" t="s">
        <v>2965</v>
      </c>
      <c r="M405" s="11"/>
      <c r="N405" s="14" t="n">
        <v>2</v>
      </c>
      <c r="O405" s="14" t="n">
        <v>3</v>
      </c>
      <c r="P405" s="14" t="n">
        <v>2</v>
      </c>
      <c r="Q405" s="14"/>
      <c r="R405" s="12" t="n">
        <f aca="false">IF(OR(N405="",P405=""),"",ROUND(N405*O405/P405,1))</f>
        <v>3</v>
      </c>
      <c r="S405" s="13" t="n">
        <f aca="false">IF(R405="","",IF(Q405="Y",1,IF(P405&gt;='Read me'!$B$16,3,IF(AND(R405&gt;='Read me'!$B$14,P405&lt;='Read me'!$B$15),1,2))))</f>
        <v>2</v>
      </c>
    </row>
    <row r="406" customFormat="false" ht="15" hidden="false" customHeight="false" outlineLevel="0" collapsed="false">
      <c r="A406" s="11" t="s">
        <v>2966</v>
      </c>
      <c r="B406" s="11" t="s">
        <v>35</v>
      </c>
      <c r="C406" s="11" t="s">
        <v>151</v>
      </c>
      <c r="D406" s="11" t="s">
        <v>152</v>
      </c>
      <c r="E406" s="11" t="s">
        <v>765</v>
      </c>
      <c r="F406" s="11" t="s">
        <v>2967</v>
      </c>
      <c r="G406" s="11" t="s">
        <v>822</v>
      </c>
      <c r="H406" s="11"/>
      <c r="I406" s="11" t="s">
        <v>2968</v>
      </c>
      <c r="J406" s="11" t="s">
        <v>2969</v>
      </c>
      <c r="K406" s="11" t="s">
        <v>1993</v>
      </c>
      <c r="L406" s="11" t="s">
        <v>2970</v>
      </c>
      <c r="M406" s="11"/>
      <c r="N406" s="14" t="n">
        <v>2</v>
      </c>
      <c r="O406" s="14" t="n">
        <v>2</v>
      </c>
      <c r="P406" s="14" t="n">
        <v>2</v>
      </c>
      <c r="Q406" s="14"/>
      <c r="R406" s="12" t="n">
        <f aca="false">IF(OR(N406="",P406=""),"",ROUND(N406*O406/P406,1))</f>
        <v>2</v>
      </c>
      <c r="S406" s="13" t="n">
        <f aca="false">IF(R406="","",IF(Q406="Y",1,IF(P406&gt;='Read me'!$B$16,3,IF(AND(R406&gt;='Read me'!$B$14,P406&lt;='Read me'!$B$15),1,2))))</f>
        <v>2</v>
      </c>
    </row>
    <row r="407" customFormat="false" ht="23.85" hidden="false" customHeight="false" outlineLevel="0" collapsed="false">
      <c r="A407" s="11" t="s">
        <v>2971</v>
      </c>
      <c r="B407" s="11" t="s">
        <v>35</v>
      </c>
      <c r="C407" s="11" t="s">
        <v>151</v>
      </c>
      <c r="D407" s="11" t="s">
        <v>152</v>
      </c>
      <c r="E407" s="11" t="s">
        <v>1081</v>
      </c>
      <c r="F407" s="11" t="s">
        <v>2972</v>
      </c>
      <c r="G407" s="11" t="s">
        <v>1118</v>
      </c>
      <c r="H407" s="11"/>
      <c r="I407" s="11" t="s">
        <v>2973</v>
      </c>
      <c r="J407" s="11" t="s">
        <v>2974</v>
      </c>
      <c r="K407" s="11" t="s">
        <v>2975</v>
      </c>
      <c r="L407" s="11" t="s">
        <v>2976</v>
      </c>
      <c r="M407" s="11" t="s">
        <v>2977</v>
      </c>
      <c r="N407" s="14" t="n">
        <v>4</v>
      </c>
      <c r="O407" s="14" t="n">
        <v>3</v>
      </c>
      <c r="P407" s="14" t="n">
        <v>2</v>
      </c>
      <c r="Q407" s="14"/>
      <c r="R407" s="12" t="n">
        <f aca="false">IF(OR(N407="",P407=""),"",ROUND(N407*O407/P407,1))</f>
        <v>6</v>
      </c>
      <c r="S407" s="13" t="n">
        <f aca="false">IF(R407="","",IF(Q407="Y",1,IF(P407&gt;='Read me'!$B$16,3,IF(AND(R407&gt;='Read me'!$B$14,P407&lt;='Read me'!$B$15),1,2))))</f>
        <v>1</v>
      </c>
    </row>
    <row r="408" customFormat="false" ht="23.85" hidden="false" customHeight="false" outlineLevel="0" collapsed="false">
      <c r="A408" s="11" t="s">
        <v>2978</v>
      </c>
      <c r="B408" s="11" t="s">
        <v>35</v>
      </c>
      <c r="C408" s="11" t="s">
        <v>151</v>
      </c>
      <c r="D408" s="11" t="s">
        <v>152</v>
      </c>
      <c r="E408" s="11" t="s">
        <v>1187</v>
      </c>
      <c r="F408" s="11" t="s">
        <v>1188</v>
      </c>
      <c r="G408" s="11" t="s">
        <v>2979</v>
      </c>
      <c r="H408" s="11" t="s">
        <v>2675</v>
      </c>
      <c r="I408" s="11" t="s">
        <v>512</v>
      </c>
      <c r="J408" s="11" t="s">
        <v>2980</v>
      </c>
      <c r="K408" s="11" t="s">
        <v>1098</v>
      </c>
      <c r="L408" s="11" t="s">
        <v>2981</v>
      </c>
      <c r="M408" s="11"/>
      <c r="N408" s="14" t="n">
        <v>3</v>
      </c>
      <c r="O408" s="14" t="n">
        <v>3</v>
      </c>
      <c r="P408" s="14" t="n">
        <v>2</v>
      </c>
      <c r="Q408" s="14"/>
      <c r="R408" s="12" t="n">
        <f aca="false">IF(OR(N408="",P408=""),"",ROUND(N408*O408/P408,1))</f>
        <v>4.5</v>
      </c>
      <c r="S408" s="13" t="n">
        <f aca="false">IF(R408="","",IF(Q408="Y",1,IF(P408&gt;='Read me'!$B$16,3,IF(AND(R408&gt;='Read me'!$B$14,P408&lt;='Read me'!$B$15),1,2))))</f>
        <v>2</v>
      </c>
    </row>
    <row r="409" customFormat="false" ht="23.85" hidden="false" customHeight="false" outlineLevel="0" collapsed="false">
      <c r="A409" s="11" t="s">
        <v>2982</v>
      </c>
      <c r="B409" s="11" t="s">
        <v>35</v>
      </c>
      <c r="C409" s="11" t="s">
        <v>151</v>
      </c>
      <c r="D409" s="11" t="s">
        <v>152</v>
      </c>
      <c r="E409" s="11" t="s">
        <v>1187</v>
      </c>
      <c r="F409" s="11" t="s">
        <v>2983</v>
      </c>
      <c r="G409" s="11" t="s">
        <v>2984</v>
      </c>
      <c r="H409" s="11" t="s">
        <v>2711</v>
      </c>
      <c r="I409" s="11" t="s">
        <v>2985</v>
      </c>
      <c r="J409" s="11" t="s">
        <v>2986</v>
      </c>
      <c r="K409" s="11" t="s">
        <v>2987</v>
      </c>
      <c r="L409" s="11" t="s">
        <v>2559</v>
      </c>
      <c r="M409" s="11"/>
      <c r="N409" s="14" t="n">
        <v>2</v>
      </c>
      <c r="O409" s="14" t="n">
        <v>3</v>
      </c>
      <c r="P409" s="14" t="n">
        <v>2</v>
      </c>
      <c r="Q409" s="14"/>
      <c r="R409" s="12" t="n">
        <f aca="false">IF(OR(N409="",P409=""),"",ROUND(N409*O409/P409,1))</f>
        <v>3</v>
      </c>
      <c r="S409" s="13" t="n">
        <f aca="false">IF(R409="","",IF(Q409="Y",1,IF(P409&gt;='Read me'!$B$16,3,IF(AND(R409&gt;='Read me'!$B$14,P409&lt;='Read me'!$B$15),1,2))))</f>
        <v>2</v>
      </c>
    </row>
    <row r="410" customFormat="false" ht="23.85" hidden="false" customHeight="false" outlineLevel="0" collapsed="false">
      <c r="A410" s="11" t="s">
        <v>2988</v>
      </c>
      <c r="B410" s="11" t="s">
        <v>35</v>
      </c>
      <c r="C410" s="11" t="s">
        <v>151</v>
      </c>
      <c r="D410" s="11" t="s">
        <v>152</v>
      </c>
      <c r="E410" s="11" t="s">
        <v>1187</v>
      </c>
      <c r="F410" s="11" t="s">
        <v>2989</v>
      </c>
      <c r="G410" s="11" t="s">
        <v>2990</v>
      </c>
      <c r="H410" s="11" t="s">
        <v>2372</v>
      </c>
      <c r="I410" s="11" t="s">
        <v>2991</v>
      </c>
      <c r="J410" s="11" t="s">
        <v>2992</v>
      </c>
      <c r="K410" s="11" t="s">
        <v>2993</v>
      </c>
      <c r="L410" s="11" t="s">
        <v>2994</v>
      </c>
      <c r="M410" s="11"/>
      <c r="N410" s="14" t="n">
        <v>1</v>
      </c>
      <c r="O410" s="14" t="n">
        <v>4</v>
      </c>
      <c r="P410" s="14" t="n">
        <v>4</v>
      </c>
      <c r="Q410" s="14"/>
      <c r="R410" s="12" t="n">
        <f aca="false">IF(OR(N410="",P410=""),"",ROUND(N410*O410/P410,1))</f>
        <v>1</v>
      </c>
      <c r="S410" s="13" t="n">
        <f aca="false">IF(R410="","",IF(Q410="Y",1,IF(P410&gt;='Read me'!$B$16,3,IF(AND(R410&gt;='Read me'!$B$14,P410&lt;='Read me'!$B$15),1,2))))</f>
        <v>3</v>
      </c>
    </row>
    <row r="411" customFormat="false" ht="23.85" hidden="false" customHeight="false" outlineLevel="0" collapsed="false">
      <c r="A411" s="11" t="s">
        <v>2995</v>
      </c>
      <c r="B411" s="11" t="s">
        <v>35</v>
      </c>
      <c r="C411" s="11" t="s">
        <v>151</v>
      </c>
      <c r="D411" s="11" t="s">
        <v>152</v>
      </c>
      <c r="E411" s="11" t="s">
        <v>1133</v>
      </c>
      <c r="F411" s="11" t="s">
        <v>2996</v>
      </c>
      <c r="G411" s="11" t="s">
        <v>2853</v>
      </c>
      <c r="H411" s="11" t="s">
        <v>2997</v>
      </c>
      <c r="I411" s="11" t="s">
        <v>2998</v>
      </c>
      <c r="J411" s="11" t="s">
        <v>2999</v>
      </c>
      <c r="K411" s="11" t="s">
        <v>2857</v>
      </c>
      <c r="L411" s="11" t="s">
        <v>3000</v>
      </c>
      <c r="M411" s="11"/>
      <c r="N411" s="14" t="n">
        <v>1</v>
      </c>
      <c r="O411" s="14" t="n">
        <v>3</v>
      </c>
      <c r="P411" s="14" t="n">
        <v>3</v>
      </c>
      <c r="Q411" s="14"/>
      <c r="R411" s="12" t="n">
        <f aca="false">IF(OR(N411="",P411=""),"",ROUND(N411*O411/P411,1))</f>
        <v>1</v>
      </c>
      <c r="S411" s="13" t="n">
        <f aca="false">IF(R411="","",IF(Q411="Y",1,IF(P411&gt;='Read me'!$B$16,3,IF(AND(R411&gt;='Read me'!$B$14,P411&lt;='Read me'!$B$15),1,2))))</f>
        <v>2</v>
      </c>
    </row>
    <row r="412" customFormat="false" ht="57.45" hidden="false" customHeight="false" outlineLevel="0" collapsed="false">
      <c r="A412" s="11" t="s">
        <v>3001</v>
      </c>
      <c r="B412" s="11" t="s">
        <v>35</v>
      </c>
      <c r="C412" s="11" t="s">
        <v>155</v>
      </c>
      <c r="D412" s="11" t="s">
        <v>156</v>
      </c>
      <c r="E412" s="11" t="s">
        <v>532</v>
      </c>
      <c r="F412" s="11" t="s">
        <v>3002</v>
      </c>
      <c r="G412" s="11" t="s">
        <v>484</v>
      </c>
      <c r="H412" s="11"/>
      <c r="I412" s="11" t="s">
        <v>3003</v>
      </c>
      <c r="J412" s="11" t="s">
        <v>3004</v>
      </c>
      <c r="K412" s="11" t="s">
        <v>3005</v>
      </c>
      <c r="L412" s="11" t="s">
        <v>3006</v>
      </c>
      <c r="M412" s="11" t="s">
        <v>3007</v>
      </c>
      <c r="N412" s="14" t="n">
        <v>4</v>
      </c>
      <c r="O412" s="14" t="n">
        <v>4</v>
      </c>
      <c r="P412" s="14" t="n">
        <v>2</v>
      </c>
      <c r="Q412" s="14"/>
      <c r="R412" s="12" t="n">
        <f aca="false">IF(OR(N412="",P412=""),"",ROUND(N412*O412/P412,1))</f>
        <v>8</v>
      </c>
      <c r="S412" s="13" t="n">
        <f aca="false">IF(R412="","",IF(Q412="Y",1,IF(P412&gt;='Read me'!$B$16,3,IF(AND(R412&gt;='Read me'!$B$14,P412&lt;='Read me'!$B$15),1,2))))</f>
        <v>1</v>
      </c>
    </row>
    <row r="413" customFormat="false" ht="23.85" hidden="false" customHeight="false" outlineLevel="0" collapsed="false">
      <c r="A413" s="11" t="s">
        <v>3008</v>
      </c>
      <c r="B413" s="11" t="s">
        <v>35</v>
      </c>
      <c r="C413" s="11" t="s">
        <v>155</v>
      </c>
      <c r="D413" s="11" t="s">
        <v>156</v>
      </c>
      <c r="E413" s="11" t="s">
        <v>532</v>
      </c>
      <c r="F413" s="11" t="s">
        <v>3002</v>
      </c>
      <c r="G413" s="11" t="s">
        <v>3009</v>
      </c>
      <c r="H413" s="11"/>
      <c r="I413" s="11" t="s">
        <v>3010</v>
      </c>
      <c r="J413" s="11" t="s">
        <v>542</v>
      </c>
      <c r="K413" s="11" t="s">
        <v>3011</v>
      </c>
      <c r="L413" s="11" t="s">
        <v>3012</v>
      </c>
      <c r="M413" s="11"/>
      <c r="N413" s="14" t="n">
        <v>3</v>
      </c>
      <c r="O413" s="14" t="n">
        <v>4</v>
      </c>
      <c r="P413" s="14" t="n">
        <v>2</v>
      </c>
      <c r="Q413" s="14"/>
      <c r="R413" s="12" t="n">
        <f aca="false">IF(OR(N413="",P413=""),"",ROUND(N413*O413/P413,1))</f>
        <v>6</v>
      </c>
      <c r="S413" s="13" t="n">
        <f aca="false">IF(R413="","",IF(Q413="Y",1,IF(P413&gt;='Read me'!$B$16,3,IF(AND(R413&gt;='Read me'!$B$14,P413&lt;='Read me'!$B$15),1,2))))</f>
        <v>1</v>
      </c>
    </row>
    <row r="414" customFormat="false" ht="23.85" hidden="false" customHeight="false" outlineLevel="0" collapsed="false">
      <c r="A414" s="11" t="s">
        <v>3013</v>
      </c>
      <c r="B414" s="11" t="s">
        <v>35</v>
      </c>
      <c r="C414" s="11" t="s">
        <v>155</v>
      </c>
      <c r="D414" s="11" t="s">
        <v>156</v>
      </c>
      <c r="E414" s="11" t="s">
        <v>532</v>
      </c>
      <c r="F414" s="11" t="s">
        <v>3002</v>
      </c>
      <c r="G414" s="11" t="s">
        <v>3014</v>
      </c>
      <c r="H414" s="11"/>
      <c r="I414" s="11" t="s">
        <v>3015</v>
      </c>
      <c r="J414" s="11" t="s">
        <v>3016</v>
      </c>
      <c r="K414" s="11" t="s">
        <v>3017</v>
      </c>
      <c r="L414" s="11" t="s">
        <v>3018</v>
      </c>
      <c r="M414" s="11" t="s">
        <v>3019</v>
      </c>
      <c r="N414" s="14" t="n">
        <v>3</v>
      </c>
      <c r="O414" s="14" t="n">
        <v>4</v>
      </c>
      <c r="P414" s="14" t="n">
        <v>3</v>
      </c>
      <c r="Q414" s="14"/>
      <c r="R414" s="12" t="n">
        <f aca="false">IF(OR(N414="",P414=""),"",ROUND(N414*O414/P414,1))</f>
        <v>4</v>
      </c>
      <c r="S414" s="13" t="n">
        <f aca="false">IF(R414="","",IF(Q414="Y",1,IF(P414&gt;='Read me'!$B$16,3,IF(AND(R414&gt;='Read me'!$B$14,P414&lt;='Read me'!$B$15),1,2))))</f>
        <v>2</v>
      </c>
    </row>
    <row r="415" customFormat="false" ht="15" hidden="false" customHeight="false" outlineLevel="0" collapsed="false">
      <c r="A415" s="11" t="s">
        <v>3020</v>
      </c>
      <c r="B415" s="11" t="s">
        <v>35</v>
      </c>
      <c r="C415" s="11" t="s">
        <v>155</v>
      </c>
      <c r="D415" s="11" t="s">
        <v>156</v>
      </c>
      <c r="E415" s="11" t="s">
        <v>532</v>
      </c>
      <c r="F415" s="11" t="s">
        <v>3002</v>
      </c>
      <c r="G415" s="11" t="s">
        <v>3021</v>
      </c>
      <c r="H415" s="11"/>
      <c r="I415" s="11" t="s">
        <v>3022</v>
      </c>
      <c r="J415" s="11" t="s">
        <v>3023</v>
      </c>
      <c r="K415" s="11" t="s">
        <v>3024</v>
      </c>
      <c r="L415" s="11" t="s">
        <v>3025</v>
      </c>
      <c r="M415" s="11" t="s">
        <v>3026</v>
      </c>
      <c r="N415" s="14" t="n">
        <v>3</v>
      </c>
      <c r="O415" s="14" t="n">
        <v>4</v>
      </c>
      <c r="P415" s="14" t="n">
        <v>2</v>
      </c>
      <c r="Q415" s="14"/>
      <c r="R415" s="12" t="n">
        <f aca="false">IF(OR(N415="",P415=""),"",ROUND(N415*O415/P415,1))</f>
        <v>6</v>
      </c>
      <c r="S415" s="13" t="n">
        <f aca="false">IF(R415="","",IF(Q415="Y",1,IF(P415&gt;='Read me'!$B$16,3,IF(AND(R415&gt;='Read me'!$B$14,P415&lt;='Read me'!$B$15),1,2))))</f>
        <v>1</v>
      </c>
    </row>
    <row r="416" customFormat="false" ht="23.85" hidden="false" customHeight="false" outlineLevel="0" collapsed="false">
      <c r="A416" s="11" t="s">
        <v>3027</v>
      </c>
      <c r="B416" s="11" t="s">
        <v>35</v>
      </c>
      <c r="C416" s="11" t="s">
        <v>155</v>
      </c>
      <c r="D416" s="11" t="s">
        <v>156</v>
      </c>
      <c r="E416" s="11" t="s">
        <v>532</v>
      </c>
      <c r="F416" s="11" t="s">
        <v>3002</v>
      </c>
      <c r="G416" s="11" t="s">
        <v>1040</v>
      </c>
      <c r="H416" s="11"/>
      <c r="I416" s="11" t="s">
        <v>3028</v>
      </c>
      <c r="J416" s="11" t="s">
        <v>3029</v>
      </c>
      <c r="K416" s="11" t="s">
        <v>3030</v>
      </c>
      <c r="L416" s="11" t="s">
        <v>3031</v>
      </c>
      <c r="M416" s="11"/>
      <c r="N416" s="14" t="n">
        <v>3</v>
      </c>
      <c r="O416" s="14" t="n">
        <v>3</v>
      </c>
      <c r="P416" s="14" t="n">
        <v>2</v>
      </c>
      <c r="Q416" s="14"/>
      <c r="R416" s="12" t="n">
        <f aca="false">IF(OR(N416="",P416=""),"",ROUND(N416*O416/P416,1))</f>
        <v>4.5</v>
      </c>
      <c r="S416" s="13" t="n">
        <f aca="false">IF(R416="","",IF(Q416="Y",1,IF(P416&gt;='Read me'!$B$16,3,IF(AND(R416&gt;='Read me'!$B$14,P416&lt;='Read me'!$B$15),1,2))))</f>
        <v>2</v>
      </c>
    </row>
    <row r="417" customFormat="false" ht="23.85" hidden="false" customHeight="false" outlineLevel="0" collapsed="false">
      <c r="A417" s="11" t="s">
        <v>3032</v>
      </c>
      <c r="B417" s="11" t="s">
        <v>35</v>
      </c>
      <c r="C417" s="11" t="s">
        <v>155</v>
      </c>
      <c r="D417" s="11" t="s">
        <v>156</v>
      </c>
      <c r="E417" s="11" t="s">
        <v>532</v>
      </c>
      <c r="F417" s="11" t="s">
        <v>3002</v>
      </c>
      <c r="G417" s="11" t="s">
        <v>3033</v>
      </c>
      <c r="H417" s="11"/>
      <c r="I417" s="11" t="s">
        <v>3034</v>
      </c>
      <c r="J417" s="11" t="s">
        <v>3035</v>
      </c>
      <c r="K417" s="11" t="s">
        <v>3036</v>
      </c>
      <c r="L417" s="11" t="s">
        <v>3037</v>
      </c>
      <c r="M417" s="11"/>
      <c r="N417" s="14" t="n">
        <v>2</v>
      </c>
      <c r="O417" s="14" t="n">
        <v>2</v>
      </c>
      <c r="P417" s="14" t="n">
        <v>1</v>
      </c>
      <c r="Q417" s="14"/>
      <c r="R417" s="12" t="n">
        <f aca="false">IF(OR(N417="",P417=""),"",ROUND(N417*O417/P417,1))</f>
        <v>4</v>
      </c>
      <c r="S417" s="13" t="n">
        <f aca="false">IF(R417="","",IF(Q417="Y",1,IF(P417&gt;='Read me'!$B$16,3,IF(AND(R417&gt;='Read me'!$B$14,P417&lt;='Read me'!$B$15),1,2))))</f>
        <v>2</v>
      </c>
    </row>
    <row r="418" customFormat="false" ht="23.85" hidden="false" customHeight="false" outlineLevel="0" collapsed="false">
      <c r="A418" s="11" t="s">
        <v>3038</v>
      </c>
      <c r="B418" s="11" t="s">
        <v>35</v>
      </c>
      <c r="C418" s="11" t="s">
        <v>155</v>
      </c>
      <c r="D418" s="11" t="s">
        <v>156</v>
      </c>
      <c r="E418" s="11" t="s">
        <v>532</v>
      </c>
      <c r="F418" s="11" t="s">
        <v>3039</v>
      </c>
      <c r="G418" s="11" t="s">
        <v>3040</v>
      </c>
      <c r="H418" s="11"/>
      <c r="I418" s="11" t="s">
        <v>3041</v>
      </c>
      <c r="J418" s="11" t="s">
        <v>3042</v>
      </c>
      <c r="K418" s="11" t="s">
        <v>3043</v>
      </c>
      <c r="L418" s="11" t="s">
        <v>3044</v>
      </c>
      <c r="M418" s="11"/>
      <c r="N418" s="14" t="n">
        <v>1</v>
      </c>
      <c r="O418" s="14" t="n">
        <v>3</v>
      </c>
      <c r="P418" s="14" t="n">
        <v>2</v>
      </c>
      <c r="Q418" s="14"/>
      <c r="R418" s="12" t="n">
        <f aca="false">IF(OR(N418="",P418=""),"",ROUND(N418*O418/P418,1))</f>
        <v>1.5</v>
      </c>
      <c r="S418" s="13" t="n">
        <f aca="false">IF(R418="","",IF(Q418="Y",1,IF(P418&gt;='Read me'!$B$16,3,IF(AND(R418&gt;='Read me'!$B$14,P418&lt;='Read me'!$B$15),1,2))))</f>
        <v>2</v>
      </c>
    </row>
    <row r="419" customFormat="false" ht="35.05" hidden="false" customHeight="false" outlineLevel="0" collapsed="false">
      <c r="A419" s="11" t="s">
        <v>3045</v>
      </c>
      <c r="B419" s="11" t="s">
        <v>35</v>
      </c>
      <c r="C419" s="11" t="s">
        <v>155</v>
      </c>
      <c r="D419" s="11" t="s">
        <v>156</v>
      </c>
      <c r="E419" s="11" t="s">
        <v>532</v>
      </c>
      <c r="F419" s="11" t="s">
        <v>3002</v>
      </c>
      <c r="G419" s="11" t="s">
        <v>3046</v>
      </c>
      <c r="H419" s="11" t="s">
        <v>3047</v>
      </c>
      <c r="I419" s="11" t="s">
        <v>3048</v>
      </c>
      <c r="J419" s="11" t="s">
        <v>3049</v>
      </c>
      <c r="K419" s="11" t="s">
        <v>3050</v>
      </c>
      <c r="L419" s="11" t="s">
        <v>3051</v>
      </c>
      <c r="M419" s="11" t="s">
        <v>3052</v>
      </c>
      <c r="N419" s="14" t="n">
        <v>3</v>
      </c>
      <c r="O419" s="14" t="n">
        <v>3</v>
      </c>
      <c r="P419" s="14" t="n">
        <v>3</v>
      </c>
      <c r="Q419" s="14"/>
      <c r="R419" s="12" t="n">
        <f aca="false">IF(OR(N419="",P419=""),"",ROUND(N419*O419/P419,1))</f>
        <v>3</v>
      </c>
      <c r="S419" s="13" t="n">
        <f aca="false">IF(R419="","",IF(Q419="Y",1,IF(P419&gt;='Read me'!$B$16,3,IF(AND(R419&gt;='Read me'!$B$14,P419&lt;='Read me'!$B$15),1,2))))</f>
        <v>2</v>
      </c>
    </row>
    <row r="420" customFormat="false" ht="23.85" hidden="false" customHeight="false" outlineLevel="0" collapsed="false">
      <c r="A420" s="11" t="s">
        <v>3053</v>
      </c>
      <c r="B420" s="11" t="s">
        <v>35</v>
      </c>
      <c r="C420" s="11" t="s">
        <v>155</v>
      </c>
      <c r="D420" s="11" t="s">
        <v>156</v>
      </c>
      <c r="E420" s="11" t="s">
        <v>532</v>
      </c>
      <c r="F420" s="11" t="s">
        <v>3054</v>
      </c>
      <c r="G420" s="11" t="s">
        <v>3055</v>
      </c>
      <c r="H420" s="11" t="s">
        <v>686</v>
      </c>
      <c r="I420" s="11" t="s">
        <v>3056</v>
      </c>
      <c r="J420" s="11" t="s">
        <v>3057</v>
      </c>
      <c r="K420" s="11" t="s">
        <v>3058</v>
      </c>
      <c r="L420" s="11" t="s">
        <v>3059</v>
      </c>
      <c r="M420" s="11" t="s">
        <v>3060</v>
      </c>
      <c r="N420" s="14" t="n">
        <v>2</v>
      </c>
      <c r="O420" s="14" t="n">
        <v>4</v>
      </c>
      <c r="P420" s="14" t="n">
        <v>3</v>
      </c>
      <c r="Q420" s="14"/>
      <c r="R420" s="12" t="n">
        <f aca="false">IF(OR(N420="",P420=""),"",ROUND(N420*O420/P420,1))</f>
        <v>2.7</v>
      </c>
      <c r="S420" s="13" t="n">
        <f aca="false">IF(R420="","",IF(Q420="Y",1,IF(P420&gt;='Read me'!$B$16,3,IF(AND(R420&gt;='Read me'!$B$14,P420&lt;='Read me'!$B$15),1,2))))</f>
        <v>2</v>
      </c>
    </row>
    <row r="421" customFormat="false" ht="23.85" hidden="false" customHeight="false" outlineLevel="0" collapsed="false">
      <c r="A421" s="11" t="s">
        <v>3061</v>
      </c>
      <c r="B421" s="11" t="s">
        <v>35</v>
      </c>
      <c r="C421" s="11" t="s">
        <v>155</v>
      </c>
      <c r="D421" s="11" t="s">
        <v>156</v>
      </c>
      <c r="E421" s="11" t="s">
        <v>532</v>
      </c>
      <c r="F421" s="11" t="s">
        <v>3002</v>
      </c>
      <c r="G421" s="11" t="s">
        <v>3062</v>
      </c>
      <c r="H421" s="11" t="s">
        <v>1659</v>
      </c>
      <c r="I421" s="11" t="s">
        <v>3063</v>
      </c>
      <c r="J421" s="11" t="s">
        <v>3064</v>
      </c>
      <c r="K421" s="11" t="s">
        <v>3065</v>
      </c>
      <c r="L421" s="11" t="s">
        <v>3066</v>
      </c>
      <c r="M421" s="11" t="s">
        <v>3067</v>
      </c>
      <c r="N421" s="14" t="n">
        <v>1</v>
      </c>
      <c r="O421" s="14" t="n">
        <v>2</v>
      </c>
      <c r="P421" s="14" t="n">
        <v>1</v>
      </c>
      <c r="Q421" s="14"/>
      <c r="R421" s="12" t="n">
        <f aca="false">IF(OR(N421="",P421=""),"",ROUND(N421*O421/P421,1))</f>
        <v>2</v>
      </c>
      <c r="S421" s="13" t="n">
        <f aca="false">IF(R421="","",IF(Q421="Y",1,IF(P421&gt;='Read me'!$B$16,3,IF(AND(R421&gt;='Read me'!$B$14,P421&lt;='Read me'!$B$15),1,2))))</f>
        <v>2</v>
      </c>
    </row>
    <row r="422" customFormat="false" ht="23.85" hidden="false" customHeight="false" outlineLevel="0" collapsed="false">
      <c r="A422" s="11" t="s">
        <v>3068</v>
      </c>
      <c r="B422" s="11" t="s">
        <v>35</v>
      </c>
      <c r="C422" s="11" t="s">
        <v>155</v>
      </c>
      <c r="D422" s="11" t="s">
        <v>156</v>
      </c>
      <c r="E422" s="11" t="s">
        <v>626</v>
      </c>
      <c r="F422" s="11" t="s">
        <v>3069</v>
      </c>
      <c r="G422" s="11" t="s">
        <v>3070</v>
      </c>
      <c r="H422" s="11"/>
      <c r="I422" s="11" t="s">
        <v>3071</v>
      </c>
      <c r="J422" s="11" t="s">
        <v>3072</v>
      </c>
      <c r="K422" s="11" t="s">
        <v>3073</v>
      </c>
      <c r="L422" s="11" t="s">
        <v>3074</v>
      </c>
      <c r="M422" s="11"/>
      <c r="N422" s="14" t="n">
        <v>4</v>
      </c>
      <c r="O422" s="14" t="n">
        <v>4</v>
      </c>
      <c r="P422" s="14" t="n">
        <v>3</v>
      </c>
      <c r="Q422" s="14"/>
      <c r="R422" s="12" t="n">
        <f aca="false">IF(OR(N422="",P422=""),"",ROUND(N422*O422/P422,1))</f>
        <v>5.3</v>
      </c>
      <c r="S422" s="13" t="n">
        <f aca="false">IF(R422="","",IF(Q422="Y",1,IF(P422&gt;='Read me'!$B$16,3,IF(AND(R422&gt;='Read me'!$B$14,P422&lt;='Read me'!$B$15),1,2))))</f>
        <v>2</v>
      </c>
    </row>
    <row r="423" customFormat="false" ht="23.85" hidden="false" customHeight="false" outlineLevel="0" collapsed="false">
      <c r="A423" s="11" t="s">
        <v>3075</v>
      </c>
      <c r="B423" s="11" t="s">
        <v>35</v>
      </c>
      <c r="C423" s="11" t="s">
        <v>155</v>
      </c>
      <c r="D423" s="11" t="s">
        <v>156</v>
      </c>
      <c r="E423" s="11" t="s">
        <v>751</v>
      </c>
      <c r="F423" s="11" t="s">
        <v>3076</v>
      </c>
      <c r="G423" s="11" t="s">
        <v>2253</v>
      </c>
      <c r="H423" s="11"/>
      <c r="I423" s="11" t="s">
        <v>3077</v>
      </c>
      <c r="J423" s="11" t="s">
        <v>2438</v>
      </c>
      <c r="K423" s="11" t="s">
        <v>1254</v>
      </c>
      <c r="L423" s="11" t="s">
        <v>2341</v>
      </c>
      <c r="M423" s="11" t="s">
        <v>1577</v>
      </c>
      <c r="N423" s="14" t="n">
        <v>3</v>
      </c>
      <c r="O423" s="14" t="n">
        <v>4</v>
      </c>
      <c r="P423" s="14" t="n">
        <v>3</v>
      </c>
      <c r="Q423" s="14"/>
      <c r="R423" s="12" t="n">
        <f aca="false">IF(OR(N423="",P423=""),"",ROUND(N423*O423/P423,1))</f>
        <v>4</v>
      </c>
      <c r="S423" s="13" t="n">
        <f aca="false">IF(R423="","",IF(Q423="Y",1,IF(P423&gt;='Read me'!$B$16,3,IF(AND(R423&gt;='Read me'!$B$14,P423&lt;='Read me'!$B$15),1,2))))</f>
        <v>2</v>
      </c>
    </row>
    <row r="424" customFormat="false" ht="23.85" hidden="false" customHeight="false" outlineLevel="0" collapsed="false">
      <c r="A424" s="11" t="s">
        <v>3078</v>
      </c>
      <c r="B424" s="11" t="s">
        <v>35</v>
      </c>
      <c r="C424" s="11" t="s">
        <v>155</v>
      </c>
      <c r="D424" s="11" t="s">
        <v>156</v>
      </c>
      <c r="E424" s="11" t="s">
        <v>802</v>
      </c>
      <c r="F424" s="11" t="s">
        <v>3079</v>
      </c>
      <c r="G424" s="11" t="s">
        <v>3080</v>
      </c>
      <c r="H424" s="11"/>
      <c r="I424" s="11" t="s">
        <v>3081</v>
      </c>
      <c r="J424" s="11" t="s">
        <v>3082</v>
      </c>
      <c r="K424" s="11" t="s">
        <v>3083</v>
      </c>
      <c r="L424" s="11" t="s">
        <v>3084</v>
      </c>
      <c r="M424" s="11" t="s">
        <v>3085</v>
      </c>
      <c r="N424" s="14" t="n">
        <v>3</v>
      </c>
      <c r="O424" s="14" t="n">
        <v>3</v>
      </c>
      <c r="P424" s="14" t="n">
        <v>1</v>
      </c>
      <c r="Q424" s="14"/>
      <c r="R424" s="12" t="n">
        <f aca="false">IF(OR(N424="",P424=""),"",ROUND(N424*O424/P424,1))</f>
        <v>9</v>
      </c>
      <c r="S424" s="13" t="n">
        <f aca="false">IF(R424="","",IF(Q424="Y",1,IF(P424&gt;='Read me'!$B$16,3,IF(AND(R424&gt;='Read me'!$B$14,P424&lt;='Read me'!$B$15),1,2))))</f>
        <v>1</v>
      </c>
    </row>
    <row r="425" customFormat="false" ht="15" hidden="false" customHeight="false" outlineLevel="0" collapsed="false">
      <c r="A425" s="11" t="s">
        <v>3086</v>
      </c>
      <c r="B425" s="11" t="s">
        <v>35</v>
      </c>
      <c r="C425" s="11" t="s">
        <v>155</v>
      </c>
      <c r="D425" s="11" t="s">
        <v>156</v>
      </c>
      <c r="E425" s="11" t="s">
        <v>802</v>
      </c>
      <c r="F425" s="11" t="s">
        <v>3087</v>
      </c>
      <c r="G425" s="11" t="s">
        <v>3088</v>
      </c>
      <c r="H425" s="11"/>
      <c r="I425" s="11" t="s">
        <v>3089</v>
      </c>
      <c r="J425" s="11" t="s">
        <v>3090</v>
      </c>
      <c r="K425" s="11" t="s">
        <v>3091</v>
      </c>
      <c r="L425" s="11" t="s">
        <v>3092</v>
      </c>
      <c r="M425" s="11" t="s">
        <v>3093</v>
      </c>
      <c r="N425" s="14" t="n">
        <v>3</v>
      </c>
      <c r="O425" s="14" t="n">
        <v>3</v>
      </c>
      <c r="P425" s="14" t="n">
        <v>2</v>
      </c>
      <c r="Q425" s="14"/>
      <c r="R425" s="12" t="n">
        <f aca="false">IF(OR(N425="",P425=""),"",ROUND(N425*O425/P425,1))</f>
        <v>4.5</v>
      </c>
      <c r="S425" s="13" t="n">
        <f aca="false">IF(R425="","",IF(Q425="Y",1,IF(P425&gt;='Read me'!$B$16,3,IF(AND(R425&gt;='Read me'!$B$14,P425&lt;='Read me'!$B$15),1,2))))</f>
        <v>2</v>
      </c>
    </row>
    <row r="426" customFormat="false" ht="15" hidden="false" customHeight="false" outlineLevel="0" collapsed="false">
      <c r="A426" s="11" t="s">
        <v>3094</v>
      </c>
      <c r="B426" s="11" t="s">
        <v>35</v>
      </c>
      <c r="C426" s="11" t="s">
        <v>155</v>
      </c>
      <c r="D426" s="11" t="s">
        <v>156</v>
      </c>
      <c r="E426" s="11" t="s">
        <v>765</v>
      </c>
      <c r="F426" s="11" t="s">
        <v>3095</v>
      </c>
      <c r="G426" s="11" t="s">
        <v>3096</v>
      </c>
      <c r="H426" s="11"/>
      <c r="I426" s="11" t="s">
        <v>3097</v>
      </c>
      <c r="J426" s="11" t="s">
        <v>3098</v>
      </c>
      <c r="K426" s="11" t="s">
        <v>3099</v>
      </c>
      <c r="L426" s="11" t="s">
        <v>3100</v>
      </c>
      <c r="M426" s="11"/>
      <c r="N426" s="14" t="n">
        <v>4</v>
      </c>
      <c r="O426" s="14" t="n">
        <v>3</v>
      </c>
      <c r="P426" s="14" t="n">
        <v>2</v>
      </c>
      <c r="Q426" s="14"/>
      <c r="R426" s="12" t="n">
        <f aca="false">IF(OR(N426="",P426=""),"",ROUND(N426*O426/P426,1))</f>
        <v>6</v>
      </c>
      <c r="S426" s="13" t="n">
        <f aca="false">IF(R426="","",IF(Q426="Y",1,IF(P426&gt;='Read me'!$B$16,3,IF(AND(R426&gt;='Read me'!$B$14,P426&lt;='Read me'!$B$15),1,2))))</f>
        <v>1</v>
      </c>
    </row>
    <row r="427" customFormat="false" ht="23.85" hidden="false" customHeight="false" outlineLevel="0" collapsed="false">
      <c r="A427" s="11" t="s">
        <v>3101</v>
      </c>
      <c r="B427" s="11" t="s">
        <v>35</v>
      </c>
      <c r="C427" s="11" t="s">
        <v>155</v>
      </c>
      <c r="D427" s="11" t="s">
        <v>156</v>
      </c>
      <c r="E427" s="11" t="s">
        <v>765</v>
      </c>
      <c r="F427" s="11" t="s">
        <v>3102</v>
      </c>
      <c r="G427" s="11" t="s">
        <v>822</v>
      </c>
      <c r="H427" s="11"/>
      <c r="I427" s="11" t="s">
        <v>3103</v>
      </c>
      <c r="J427" s="11" t="s">
        <v>3104</v>
      </c>
      <c r="K427" s="11" t="s">
        <v>825</v>
      </c>
      <c r="L427" s="11" t="s">
        <v>3105</v>
      </c>
      <c r="M427" s="11"/>
      <c r="N427" s="14" t="n">
        <v>2</v>
      </c>
      <c r="O427" s="14" t="n">
        <v>3</v>
      </c>
      <c r="P427" s="14" t="n">
        <v>3</v>
      </c>
      <c r="Q427" s="14"/>
      <c r="R427" s="12" t="n">
        <f aca="false">IF(OR(N427="",P427=""),"",ROUND(N427*O427/P427,1))</f>
        <v>2</v>
      </c>
      <c r="S427" s="13" t="n">
        <f aca="false">IF(R427="","",IF(Q427="Y",1,IF(P427&gt;='Read me'!$B$16,3,IF(AND(R427&gt;='Read me'!$B$14,P427&lt;='Read me'!$B$15),1,2))))</f>
        <v>2</v>
      </c>
    </row>
    <row r="428" customFormat="false" ht="23.85" hidden="false" customHeight="false" outlineLevel="0" collapsed="false">
      <c r="A428" s="11" t="s">
        <v>3106</v>
      </c>
      <c r="B428" s="11" t="s">
        <v>35</v>
      </c>
      <c r="C428" s="11" t="s">
        <v>155</v>
      </c>
      <c r="D428" s="11" t="s">
        <v>156</v>
      </c>
      <c r="E428" s="11" t="s">
        <v>765</v>
      </c>
      <c r="F428" s="11" t="s">
        <v>3107</v>
      </c>
      <c r="G428" s="11" t="s">
        <v>822</v>
      </c>
      <c r="H428" s="11"/>
      <c r="I428" s="11" t="s">
        <v>3108</v>
      </c>
      <c r="J428" s="11" t="s">
        <v>3109</v>
      </c>
      <c r="K428" s="11" t="s">
        <v>961</v>
      </c>
      <c r="L428" s="11" t="s">
        <v>3110</v>
      </c>
      <c r="M428" s="11"/>
      <c r="N428" s="14" t="n">
        <v>2</v>
      </c>
      <c r="O428" s="14" t="n">
        <v>3</v>
      </c>
      <c r="P428" s="14" t="n">
        <v>3</v>
      </c>
      <c r="Q428" s="14"/>
      <c r="R428" s="12" t="n">
        <f aca="false">IF(OR(N428="",P428=""),"",ROUND(N428*O428/P428,1))</f>
        <v>2</v>
      </c>
      <c r="S428" s="13" t="n">
        <f aca="false">IF(R428="","",IF(Q428="Y",1,IF(P428&gt;='Read me'!$B$16,3,IF(AND(R428&gt;='Read me'!$B$14,P428&lt;='Read me'!$B$15),1,2))))</f>
        <v>2</v>
      </c>
    </row>
    <row r="429" customFormat="false" ht="15" hidden="false" customHeight="false" outlineLevel="0" collapsed="false">
      <c r="A429" s="11" t="s">
        <v>3111</v>
      </c>
      <c r="B429" s="11" t="s">
        <v>35</v>
      </c>
      <c r="C429" s="11" t="s">
        <v>155</v>
      </c>
      <c r="D429" s="11" t="s">
        <v>156</v>
      </c>
      <c r="E429" s="11" t="s">
        <v>1081</v>
      </c>
      <c r="F429" s="11" t="s">
        <v>3112</v>
      </c>
      <c r="G429" s="11" t="s">
        <v>3096</v>
      </c>
      <c r="H429" s="11"/>
      <c r="I429" s="11" t="s">
        <v>3113</v>
      </c>
      <c r="J429" s="11" t="s">
        <v>3114</v>
      </c>
      <c r="K429" s="11" t="s">
        <v>3115</v>
      </c>
      <c r="L429" s="11" t="s">
        <v>3116</v>
      </c>
      <c r="M429" s="11"/>
      <c r="N429" s="14" t="n">
        <v>4</v>
      </c>
      <c r="O429" s="14" t="n">
        <v>3</v>
      </c>
      <c r="P429" s="14" t="n">
        <v>2</v>
      </c>
      <c r="Q429" s="14"/>
      <c r="R429" s="12" t="n">
        <f aca="false">IF(OR(N429="",P429=""),"",ROUND(N429*O429/P429,1))</f>
        <v>6</v>
      </c>
      <c r="S429" s="13" t="n">
        <f aca="false">IF(R429="","",IF(Q429="Y",1,IF(P429&gt;='Read me'!$B$16,3,IF(AND(R429&gt;='Read me'!$B$14,P429&lt;='Read me'!$B$15),1,2))))</f>
        <v>1</v>
      </c>
    </row>
    <row r="430" customFormat="false" ht="23.85" hidden="false" customHeight="false" outlineLevel="0" collapsed="false">
      <c r="A430" s="11" t="s">
        <v>3117</v>
      </c>
      <c r="B430" s="11" t="s">
        <v>35</v>
      </c>
      <c r="C430" s="11" t="s">
        <v>155</v>
      </c>
      <c r="D430" s="11" t="s">
        <v>156</v>
      </c>
      <c r="E430" s="11" t="s">
        <v>1187</v>
      </c>
      <c r="F430" s="11" t="s">
        <v>3118</v>
      </c>
      <c r="G430" s="11" t="s">
        <v>3096</v>
      </c>
      <c r="H430" s="11" t="s">
        <v>1700</v>
      </c>
      <c r="I430" s="11" t="s">
        <v>512</v>
      </c>
      <c r="J430" s="11" t="s">
        <v>3119</v>
      </c>
      <c r="K430" s="11" t="s">
        <v>3120</v>
      </c>
      <c r="L430" s="11" t="s">
        <v>3121</v>
      </c>
      <c r="M430" s="11"/>
      <c r="N430" s="14" t="n">
        <v>2</v>
      </c>
      <c r="O430" s="14" t="n">
        <v>4</v>
      </c>
      <c r="P430" s="14" t="n">
        <v>3</v>
      </c>
      <c r="Q430" s="14"/>
      <c r="R430" s="12" t="n">
        <f aca="false">IF(OR(N430="",P430=""),"",ROUND(N430*O430/P430,1))</f>
        <v>2.7</v>
      </c>
      <c r="S430" s="13" t="n">
        <f aca="false">IF(R430="","",IF(Q430="Y",1,IF(P430&gt;='Read me'!$B$16,3,IF(AND(R430&gt;='Read me'!$B$14,P430&lt;='Read me'!$B$15),1,2))))</f>
        <v>2</v>
      </c>
    </row>
    <row r="431" customFormat="false" ht="23.85" hidden="false" customHeight="false" outlineLevel="0" collapsed="false">
      <c r="A431" s="11" t="s">
        <v>3122</v>
      </c>
      <c r="B431" s="11" t="s">
        <v>35</v>
      </c>
      <c r="C431" s="11" t="s">
        <v>155</v>
      </c>
      <c r="D431" s="11" t="s">
        <v>156</v>
      </c>
      <c r="E431" s="11" t="s">
        <v>1187</v>
      </c>
      <c r="F431" s="11" t="s">
        <v>3123</v>
      </c>
      <c r="G431" s="11" t="s">
        <v>3124</v>
      </c>
      <c r="H431" s="11" t="s">
        <v>3125</v>
      </c>
      <c r="I431" s="11" t="s">
        <v>3126</v>
      </c>
      <c r="J431" s="11" t="s">
        <v>3127</v>
      </c>
      <c r="K431" s="11" t="s">
        <v>3128</v>
      </c>
      <c r="L431" s="11" t="s">
        <v>3129</v>
      </c>
      <c r="M431" s="11"/>
      <c r="N431" s="14" t="n">
        <v>2</v>
      </c>
      <c r="O431" s="14" t="n">
        <v>3</v>
      </c>
      <c r="P431" s="14" t="n">
        <v>3</v>
      </c>
      <c r="Q431" s="14"/>
      <c r="R431" s="12" t="n">
        <f aca="false">IF(OR(N431="",P431=""),"",ROUND(N431*O431/P431,1))</f>
        <v>2</v>
      </c>
      <c r="S431" s="13" t="n">
        <f aca="false">IF(R431="","",IF(Q431="Y",1,IF(P431&gt;='Read me'!$B$16,3,IF(AND(R431&gt;='Read me'!$B$14,P431&lt;='Read me'!$B$15),1,2))))</f>
        <v>2</v>
      </c>
    </row>
    <row r="432" customFormat="false" ht="23.85" hidden="false" customHeight="false" outlineLevel="0" collapsed="false">
      <c r="A432" s="11" t="s">
        <v>3130</v>
      </c>
      <c r="B432" s="11" t="s">
        <v>35</v>
      </c>
      <c r="C432" s="11" t="s">
        <v>155</v>
      </c>
      <c r="D432" s="11" t="s">
        <v>156</v>
      </c>
      <c r="E432" s="11" t="s">
        <v>1187</v>
      </c>
      <c r="F432" s="11" t="s">
        <v>3131</v>
      </c>
      <c r="G432" s="11" t="s">
        <v>3132</v>
      </c>
      <c r="H432" s="11" t="s">
        <v>3133</v>
      </c>
      <c r="I432" s="11" t="s">
        <v>3134</v>
      </c>
      <c r="J432" s="11" t="s">
        <v>3135</v>
      </c>
      <c r="K432" s="11" t="s">
        <v>3136</v>
      </c>
      <c r="L432" s="11" t="s">
        <v>3137</v>
      </c>
      <c r="M432" s="11"/>
      <c r="N432" s="14" t="n">
        <v>1</v>
      </c>
      <c r="O432" s="14" t="n">
        <v>3</v>
      </c>
      <c r="P432" s="14" t="n">
        <v>4</v>
      </c>
      <c r="Q432" s="14"/>
      <c r="R432" s="12" t="n">
        <f aca="false">IF(OR(N432="",P432=""),"",ROUND(N432*O432/P432,1))</f>
        <v>0.8</v>
      </c>
      <c r="S432" s="13" t="n">
        <f aca="false">IF(R432="","",IF(Q432="Y",1,IF(P432&gt;='Read me'!$B$16,3,IF(AND(R432&gt;='Read me'!$B$14,P432&lt;='Read me'!$B$15),1,2))))</f>
        <v>3</v>
      </c>
    </row>
    <row r="433" customFormat="false" ht="35.05" hidden="false" customHeight="false" outlineLevel="0" collapsed="false">
      <c r="A433" s="11" t="s">
        <v>3138</v>
      </c>
      <c r="B433" s="11" t="s">
        <v>35</v>
      </c>
      <c r="C433" s="11" t="s">
        <v>155</v>
      </c>
      <c r="D433" s="11" t="s">
        <v>156</v>
      </c>
      <c r="E433" s="11" t="s">
        <v>1133</v>
      </c>
      <c r="F433" s="11" t="s">
        <v>3139</v>
      </c>
      <c r="G433" s="11" t="s">
        <v>2764</v>
      </c>
      <c r="H433" s="11"/>
      <c r="I433" s="11" t="s">
        <v>3140</v>
      </c>
      <c r="J433" s="11" t="s">
        <v>3141</v>
      </c>
      <c r="K433" s="11" t="s">
        <v>1222</v>
      </c>
      <c r="L433" s="11" t="s">
        <v>3142</v>
      </c>
      <c r="M433" s="11" t="s">
        <v>3143</v>
      </c>
      <c r="N433" s="14" t="n">
        <v>2</v>
      </c>
      <c r="O433" s="14" t="n">
        <v>3</v>
      </c>
      <c r="P433" s="14" t="n">
        <v>3</v>
      </c>
      <c r="Q433" s="14"/>
      <c r="R433" s="12" t="n">
        <f aca="false">IF(OR(N433="",P433=""),"",ROUND(N433*O433/P433,1))</f>
        <v>2</v>
      </c>
      <c r="S433" s="13" t="n">
        <f aca="false">IF(R433="","",IF(Q433="Y",1,IF(P433&gt;='Read me'!$B$16,3,IF(AND(R433&gt;='Read me'!$B$14,P433&lt;='Read me'!$B$15),1,2))))</f>
        <v>2</v>
      </c>
    </row>
    <row r="434" customFormat="false" ht="23.85" hidden="false" customHeight="false" outlineLevel="0" collapsed="false">
      <c r="A434" s="11" t="s">
        <v>3144</v>
      </c>
      <c r="B434" s="11" t="s">
        <v>35</v>
      </c>
      <c r="C434" s="11" t="s">
        <v>159</v>
      </c>
      <c r="D434" s="11" t="s">
        <v>160</v>
      </c>
      <c r="E434" s="11" t="s">
        <v>532</v>
      </c>
      <c r="F434" s="11" t="s">
        <v>3145</v>
      </c>
      <c r="G434" s="11" t="s">
        <v>484</v>
      </c>
      <c r="H434" s="11"/>
      <c r="I434" s="11" t="s">
        <v>3146</v>
      </c>
      <c r="J434" s="11" t="s">
        <v>3147</v>
      </c>
      <c r="K434" s="11" t="s">
        <v>3148</v>
      </c>
      <c r="L434" s="11" t="s">
        <v>3149</v>
      </c>
      <c r="M434" s="11"/>
      <c r="N434" s="14" t="n">
        <v>4</v>
      </c>
      <c r="O434" s="14" t="n">
        <v>4</v>
      </c>
      <c r="P434" s="14" t="n">
        <v>2</v>
      </c>
      <c r="Q434" s="14"/>
      <c r="R434" s="12" t="n">
        <f aca="false">IF(OR(N434="",P434=""),"",ROUND(N434*O434/P434,1))</f>
        <v>8</v>
      </c>
      <c r="S434" s="13" t="n">
        <f aca="false">IF(R434="","",IF(Q434="Y",1,IF(P434&gt;='Read me'!$B$16,3,IF(AND(R434&gt;='Read me'!$B$14,P434&lt;='Read me'!$B$15),1,2))))</f>
        <v>1</v>
      </c>
    </row>
    <row r="435" customFormat="false" ht="15" hidden="false" customHeight="false" outlineLevel="0" collapsed="false">
      <c r="A435" s="11" t="s">
        <v>3150</v>
      </c>
      <c r="B435" s="11" t="s">
        <v>35</v>
      </c>
      <c r="C435" s="11" t="s">
        <v>159</v>
      </c>
      <c r="D435" s="11" t="s">
        <v>160</v>
      </c>
      <c r="E435" s="11" t="s">
        <v>532</v>
      </c>
      <c r="F435" s="11" t="s">
        <v>3145</v>
      </c>
      <c r="G435" s="11" t="s">
        <v>1040</v>
      </c>
      <c r="H435" s="11"/>
      <c r="I435" s="11" t="s">
        <v>3151</v>
      </c>
      <c r="J435" s="11" t="s">
        <v>3152</v>
      </c>
      <c r="K435" s="11" t="s">
        <v>3153</v>
      </c>
      <c r="L435" s="11" t="s">
        <v>3154</v>
      </c>
      <c r="M435" s="11"/>
      <c r="N435" s="14" t="n">
        <v>2</v>
      </c>
      <c r="O435" s="14" t="n">
        <v>3</v>
      </c>
      <c r="P435" s="14" t="n">
        <v>1</v>
      </c>
      <c r="Q435" s="14"/>
      <c r="R435" s="12" t="n">
        <f aca="false">IF(OR(N435="",P435=""),"",ROUND(N435*O435/P435,1))</f>
        <v>6</v>
      </c>
      <c r="S435" s="13" t="n">
        <f aca="false">IF(R435="","",IF(Q435="Y",1,IF(P435&gt;='Read me'!$B$16,3,IF(AND(R435&gt;='Read me'!$B$14,P435&lt;='Read me'!$B$15),1,2))))</f>
        <v>1</v>
      </c>
    </row>
    <row r="436" customFormat="false" ht="23.85" hidden="false" customHeight="false" outlineLevel="0" collapsed="false">
      <c r="A436" s="11" t="s">
        <v>3155</v>
      </c>
      <c r="B436" s="11" t="s">
        <v>35</v>
      </c>
      <c r="C436" s="11" t="s">
        <v>159</v>
      </c>
      <c r="D436" s="11" t="s">
        <v>160</v>
      </c>
      <c r="E436" s="11" t="s">
        <v>532</v>
      </c>
      <c r="F436" s="11" t="s">
        <v>3145</v>
      </c>
      <c r="G436" s="11" t="s">
        <v>3156</v>
      </c>
      <c r="H436" s="11"/>
      <c r="I436" s="11" t="s">
        <v>3157</v>
      </c>
      <c r="J436" s="11" t="s">
        <v>3158</v>
      </c>
      <c r="K436" s="11" t="s">
        <v>3159</v>
      </c>
      <c r="L436" s="11" t="s">
        <v>3160</v>
      </c>
      <c r="M436" s="11"/>
      <c r="N436" s="14" t="n">
        <v>3</v>
      </c>
      <c r="O436" s="14" t="n">
        <v>3</v>
      </c>
      <c r="P436" s="14" t="n">
        <v>1</v>
      </c>
      <c r="Q436" s="14"/>
      <c r="R436" s="12" t="n">
        <f aca="false">IF(OR(N436="",P436=""),"",ROUND(N436*O436/P436,1))</f>
        <v>9</v>
      </c>
      <c r="S436" s="13" t="n">
        <f aca="false">IF(R436="","",IF(Q436="Y",1,IF(P436&gt;='Read me'!$B$16,3,IF(AND(R436&gt;='Read me'!$B$14,P436&lt;='Read me'!$B$15),1,2))))</f>
        <v>1</v>
      </c>
    </row>
    <row r="437" customFormat="false" ht="23.85" hidden="false" customHeight="false" outlineLevel="0" collapsed="false">
      <c r="A437" s="11" t="s">
        <v>3161</v>
      </c>
      <c r="B437" s="11" t="s">
        <v>35</v>
      </c>
      <c r="C437" s="11" t="s">
        <v>159</v>
      </c>
      <c r="D437" s="11" t="s">
        <v>160</v>
      </c>
      <c r="E437" s="11" t="s">
        <v>532</v>
      </c>
      <c r="F437" s="11" t="s">
        <v>3145</v>
      </c>
      <c r="G437" s="11" t="s">
        <v>3162</v>
      </c>
      <c r="H437" s="11"/>
      <c r="I437" s="11" t="s">
        <v>3163</v>
      </c>
      <c r="J437" s="11" t="s">
        <v>3164</v>
      </c>
      <c r="K437" s="11" t="s">
        <v>3165</v>
      </c>
      <c r="L437" s="11" t="s">
        <v>3166</v>
      </c>
      <c r="M437" s="11"/>
      <c r="N437" s="14" t="n">
        <v>1</v>
      </c>
      <c r="O437" s="14" t="n">
        <v>2</v>
      </c>
      <c r="P437" s="14" t="n">
        <v>2</v>
      </c>
      <c r="Q437" s="14"/>
      <c r="R437" s="12" t="n">
        <f aca="false">IF(OR(N437="",P437=""),"",ROUND(N437*O437/P437,1))</f>
        <v>1</v>
      </c>
      <c r="S437" s="13" t="n">
        <f aca="false">IF(R437="","",IF(Q437="Y",1,IF(P437&gt;='Read me'!$B$16,3,IF(AND(R437&gt;='Read me'!$B$14,P437&lt;='Read me'!$B$15),1,2))))</f>
        <v>2</v>
      </c>
    </row>
    <row r="438" customFormat="false" ht="23.85" hidden="false" customHeight="false" outlineLevel="0" collapsed="false">
      <c r="A438" s="11" t="s">
        <v>3167</v>
      </c>
      <c r="B438" s="11" t="s">
        <v>35</v>
      </c>
      <c r="C438" s="11" t="s">
        <v>159</v>
      </c>
      <c r="D438" s="11" t="s">
        <v>160</v>
      </c>
      <c r="E438" s="11" t="s">
        <v>626</v>
      </c>
      <c r="F438" s="11" t="s">
        <v>3168</v>
      </c>
      <c r="G438" s="11" t="s">
        <v>3169</v>
      </c>
      <c r="H438" s="11"/>
      <c r="I438" s="11" t="s">
        <v>3170</v>
      </c>
      <c r="J438" s="11" t="s">
        <v>3171</v>
      </c>
      <c r="K438" s="11" t="s">
        <v>3172</v>
      </c>
      <c r="L438" s="11" t="s">
        <v>3173</v>
      </c>
      <c r="M438" s="11" t="s">
        <v>3174</v>
      </c>
      <c r="N438" s="14" t="n">
        <v>3</v>
      </c>
      <c r="O438" s="14" t="n">
        <v>4</v>
      </c>
      <c r="P438" s="14" t="n">
        <v>4</v>
      </c>
      <c r="Q438" s="14"/>
      <c r="R438" s="12" t="n">
        <f aca="false">IF(OR(N438="",P438=""),"",ROUND(N438*O438/P438,1))</f>
        <v>3</v>
      </c>
      <c r="S438" s="13" t="n">
        <f aca="false">IF(R438="","",IF(Q438="Y",1,IF(P438&gt;='Read me'!$B$16,3,IF(AND(R438&gt;='Read me'!$B$14,P438&lt;='Read me'!$B$15),1,2))))</f>
        <v>3</v>
      </c>
    </row>
    <row r="439" customFormat="false" ht="23.85" hidden="false" customHeight="false" outlineLevel="0" collapsed="false">
      <c r="A439" s="11" t="s">
        <v>3175</v>
      </c>
      <c r="B439" s="11" t="s">
        <v>35</v>
      </c>
      <c r="C439" s="11" t="s">
        <v>159</v>
      </c>
      <c r="D439" s="11" t="s">
        <v>160</v>
      </c>
      <c r="E439" s="11" t="s">
        <v>626</v>
      </c>
      <c r="F439" s="11" t="s">
        <v>3176</v>
      </c>
      <c r="G439" s="11" t="s">
        <v>3177</v>
      </c>
      <c r="H439" s="11"/>
      <c r="I439" s="11" t="s">
        <v>3178</v>
      </c>
      <c r="J439" s="11" t="s">
        <v>3179</v>
      </c>
      <c r="K439" s="11" t="s">
        <v>3180</v>
      </c>
      <c r="L439" s="11" t="s">
        <v>3181</v>
      </c>
      <c r="M439" s="11"/>
      <c r="N439" s="14" t="n">
        <v>2</v>
      </c>
      <c r="O439" s="14" t="n">
        <v>3</v>
      </c>
      <c r="P439" s="14" t="n">
        <v>3</v>
      </c>
      <c r="Q439" s="14"/>
      <c r="R439" s="12" t="n">
        <f aca="false">IF(OR(N439="",P439=""),"",ROUND(N439*O439/P439,1))</f>
        <v>2</v>
      </c>
      <c r="S439" s="13" t="n">
        <f aca="false">IF(R439="","",IF(Q439="Y",1,IF(P439&gt;='Read me'!$B$16,3,IF(AND(R439&gt;='Read me'!$B$14,P439&lt;='Read me'!$B$15),1,2))))</f>
        <v>2</v>
      </c>
    </row>
    <row r="440" customFormat="false" ht="35.05" hidden="false" customHeight="false" outlineLevel="0" collapsed="false">
      <c r="A440" s="11" t="s">
        <v>3182</v>
      </c>
      <c r="B440" s="11" t="s">
        <v>35</v>
      </c>
      <c r="C440" s="11" t="s">
        <v>159</v>
      </c>
      <c r="D440" s="11" t="s">
        <v>160</v>
      </c>
      <c r="E440" s="11" t="s">
        <v>626</v>
      </c>
      <c r="F440" s="11" t="s">
        <v>3183</v>
      </c>
      <c r="G440" s="11" t="s">
        <v>3184</v>
      </c>
      <c r="H440" s="11"/>
      <c r="I440" s="11" t="s">
        <v>3185</v>
      </c>
      <c r="J440" s="11" t="s">
        <v>3186</v>
      </c>
      <c r="K440" s="11" t="s">
        <v>1028</v>
      </c>
      <c r="L440" s="11" t="s">
        <v>3187</v>
      </c>
      <c r="M440" s="11" t="s">
        <v>3188</v>
      </c>
      <c r="N440" s="14" t="n">
        <v>2</v>
      </c>
      <c r="O440" s="14" t="n">
        <v>3</v>
      </c>
      <c r="P440" s="14" t="n">
        <v>4</v>
      </c>
      <c r="Q440" s="14"/>
      <c r="R440" s="12" t="n">
        <f aca="false">IF(OR(N440="",P440=""),"",ROUND(N440*O440/P440,1))</f>
        <v>1.5</v>
      </c>
      <c r="S440" s="13" t="n">
        <f aca="false">IF(R440="","",IF(Q440="Y",1,IF(P440&gt;='Read me'!$B$16,3,IF(AND(R440&gt;='Read me'!$B$14,P440&lt;='Read me'!$B$15),1,2))))</f>
        <v>3</v>
      </c>
    </row>
    <row r="441" customFormat="false" ht="23.85" hidden="false" customHeight="false" outlineLevel="0" collapsed="false">
      <c r="A441" s="11" t="s">
        <v>3189</v>
      </c>
      <c r="B441" s="11" t="s">
        <v>35</v>
      </c>
      <c r="C441" s="11" t="s">
        <v>159</v>
      </c>
      <c r="D441" s="11" t="s">
        <v>160</v>
      </c>
      <c r="E441" s="11" t="s">
        <v>626</v>
      </c>
      <c r="F441" s="11" t="s">
        <v>3190</v>
      </c>
      <c r="G441" s="11" t="s">
        <v>3014</v>
      </c>
      <c r="H441" s="11"/>
      <c r="I441" s="11" t="s">
        <v>3191</v>
      </c>
      <c r="J441" s="11" t="s">
        <v>3192</v>
      </c>
      <c r="K441" s="11" t="s">
        <v>1028</v>
      </c>
      <c r="L441" s="11" t="s">
        <v>3193</v>
      </c>
      <c r="M441" s="11" t="s">
        <v>3194</v>
      </c>
      <c r="N441" s="14" t="n">
        <v>1</v>
      </c>
      <c r="O441" s="14" t="n">
        <v>3</v>
      </c>
      <c r="P441" s="14" t="n">
        <v>3</v>
      </c>
      <c r="Q441" s="14"/>
      <c r="R441" s="12" t="n">
        <f aca="false">IF(OR(N441="",P441=""),"",ROUND(N441*O441/P441,1))</f>
        <v>1</v>
      </c>
      <c r="S441" s="13" t="n">
        <f aca="false">IF(R441="","",IF(Q441="Y",1,IF(P441&gt;='Read me'!$B$16,3,IF(AND(R441&gt;='Read me'!$B$14,P441&lt;='Read me'!$B$15),1,2))))</f>
        <v>2</v>
      </c>
    </row>
    <row r="442" customFormat="false" ht="23.85" hidden="false" customHeight="false" outlineLevel="0" collapsed="false">
      <c r="A442" s="11" t="s">
        <v>3195</v>
      </c>
      <c r="B442" s="11" t="s">
        <v>35</v>
      </c>
      <c r="C442" s="11" t="s">
        <v>159</v>
      </c>
      <c r="D442" s="11" t="s">
        <v>160</v>
      </c>
      <c r="E442" s="11" t="s">
        <v>751</v>
      </c>
      <c r="F442" s="11" t="s">
        <v>3196</v>
      </c>
      <c r="G442" s="11" t="s">
        <v>1781</v>
      </c>
      <c r="H442" s="11"/>
      <c r="I442" s="11" t="s">
        <v>3197</v>
      </c>
      <c r="J442" s="11" t="s">
        <v>3198</v>
      </c>
      <c r="K442" s="11" t="s">
        <v>1783</v>
      </c>
      <c r="L442" s="11" t="s">
        <v>2341</v>
      </c>
      <c r="M442" s="11" t="s">
        <v>1577</v>
      </c>
      <c r="N442" s="14" t="n">
        <v>3</v>
      </c>
      <c r="O442" s="14" t="n">
        <v>4</v>
      </c>
      <c r="P442" s="14" t="n">
        <v>3</v>
      </c>
      <c r="Q442" s="14"/>
      <c r="R442" s="12" t="n">
        <f aca="false">IF(OR(N442="",P442=""),"",ROUND(N442*O442/P442,1))</f>
        <v>4</v>
      </c>
      <c r="S442" s="13" t="n">
        <f aca="false">IF(R442="","",IF(Q442="Y",1,IF(P442&gt;='Read me'!$B$16,3,IF(AND(R442&gt;='Read me'!$B$14,P442&lt;='Read me'!$B$15),1,2))))</f>
        <v>2</v>
      </c>
    </row>
    <row r="443" customFormat="false" ht="23.85" hidden="false" customHeight="false" outlineLevel="0" collapsed="false">
      <c r="A443" s="11" t="s">
        <v>3199</v>
      </c>
      <c r="B443" s="11" t="s">
        <v>35</v>
      </c>
      <c r="C443" s="11" t="s">
        <v>159</v>
      </c>
      <c r="D443" s="11" t="s">
        <v>160</v>
      </c>
      <c r="E443" s="11" t="s">
        <v>751</v>
      </c>
      <c r="F443" s="11" t="s">
        <v>3200</v>
      </c>
      <c r="G443" s="11" t="s">
        <v>3201</v>
      </c>
      <c r="H443" s="11"/>
      <c r="I443" s="11" t="s">
        <v>3202</v>
      </c>
      <c r="J443" s="11" t="s">
        <v>3203</v>
      </c>
      <c r="K443" s="11" t="s">
        <v>3204</v>
      </c>
      <c r="L443" s="11" t="s">
        <v>3205</v>
      </c>
      <c r="M443" s="11"/>
      <c r="N443" s="14" t="n">
        <v>3</v>
      </c>
      <c r="O443" s="14" t="n">
        <v>3</v>
      </c>
      <c r="P443" s="14" t="n">
        <v>3</v>
      </c>
      <c r="Q443" s="14"/>
      <c r="R443" s="12" t="n">
        <f aca="false">IF(OR(N443="",P443=""),"",ROUND(N443*O443/P443,1))</f>
        <v>3</v>
      </c>
      <c r="S443" s="13" t="n">
        <f aca="false">IF(R443="","",IF(Q443="Y",1,IF(P443&gt;='Read me'!$B$16,3,IF(AND(R443&gt;='Read me'!$B$14,P443&lt;='Read me'!$B$15),1,2))))</f>
        <v>2</v>
      </c>
    </row>
    <row r="444" customFormat="false" ht="23.85" hidden="false" customHeight="false" outlineLevel="0" collapsed="false">
      <c r="A444" s="11" t="s">
        <v>3206</v>
      </c>
      <c r="B444" s="11" t="s">
        <v>35</v>
      </c>
      <c r="C444" s="11" t="s">
        <v>159</v>
      </c>
      <c r="D444" s="11" t="s">
        <v>160</v>
      </c>
      <c r="E444" s="11" t="s">
        <v>751</v>
      </c>
      <c r="F444" s="11" t="s">
        <v>3207</v>
      </c>
      <c r="G444" s="11" t="s">
        <v>3208</v>
      </c>
      <c r="H444" s="11" t="s">
        <v>3209</v>
      </c>
      <c r="I444" s="11" t="s">
        <v>3210</v>
      </c>
      <c r="J444" s="11" t="s">
        <v>3211</v>
      </c>
      <c r="K444" s="11" t="s">
        <v>675</v>
      </c>
      <c r="L444" s="11" t="s">
        <v>3212</v>
      </c>
      <c r="M444" s="11"/>
      <c r="N444" s="14" t="n">
        <v>1</v>
      </c>
      <c r="O444" s="14" t="n">
        <v>3</v>
      </c>
      <c r="P444" s="14" t="n">
        <v>3</v>
      </c>
      <c r="Q444" s="14"/>
      <c r="R444" s="12" t="n">
        <f aca="false">IF(OR(N444="",P444=""),"",ROUND(N444*O444/P444,1))</f>
        <v>1</v>
      </c>
      <c r="S444" s="13" t="n">
        <f aca="false">IF(R444="","",IF(Q444="Y",1,IF(P444&gt;='Read me'!$B$16,3,IF(AND(R444&gt;='Read me'!$B$14,P444&lt;='Read me'!$B$15),1,2))))</f>
        <v>2</v>
      </c>
    </row>
    <row r="445" customFormat="false" ht="23.85" hidden="false" customHeight="false" outlineLevel="0" collapsed="false">
      <c r="A445" s="11" t="s">
        <v>3213</v>
      </c>
      <c r="B445" s="11" t="s">
        <v>35</v>
      </c>
      <c r="C445" s="11" t="s">
        <v>159</v>
      </c>
      <c r="D445" s="11" t="s">
        <v>160</v>
      </c>
      <c r="E445" s="11" t="s">
        <v>802</v>
      </c>
      <c r="F445" s="11" t="s">
        <v>3214</v>
      </c>
      <c r="G445" s="11" t="s">
        <v>3215</v>
      </c>
      <c r="H445" s="11"/>
      <c r="I445" s="11" t="s">
        <v>3216</v>
      </c>
      <c r="J445" s="11" t="s">
        <v>3217</v>
      </c>
      <c r="K445" s="11" t="s">
        <v>3218</v>
      </c>
      <c r="L445" s="11" t="s">
        <v>3219</v>
      </c>
      <c r="M445" s="11"/>
      <c r="N445" s="14" t="n">
        <v>3</v>
      </c>
      <c r="O445" s="14" t="n">
        <v>3</v>
      </c>
      <c r="P445" s="14" t="n">
        <v>2</v>
      </c>
      <c r="Q445" s="14"/>
      <c r="R445" s="12" t="n">
        <f aca="false">IF(OR(N445="",P445=""),"",ROUND(N445*O445/P445,1))</f>
        <v>4.5</v>
      </c>
      <c r="S445" s="13" t="n">
        <f aca="false">IF(R445="","",IF(Q445="Y",1,IF(P445&gt;='Read me'!$B$16,3,IF(AND(R445&gt;='Read me'!$B$14,P445&lt;='Read me'!$B$15),1,2))))</f>
        <v>2</v>
      </c>
    </row>
    <row r="446" customFormat="false" ht="23.85" hidden="false" customHeight="false" outlineLevel="0" collapsed="false">
      <c r="A446" s="11" t="s">
        <v>3220</v>
      </c>
      <c r="B446" s="11" t="s">
        <v>35</v>
      </c>
      <c r="C446" s="11" t="s">
        <v>159</v>
      </c>
      <c r="D446" s="11" t="s">
        <v>160</v>
      </c>
      <c r="E446" s="11" t="s">
        <v>765</v>
      </c>
      <c r="F446" s="11" t="s">
        <v>3221</v>
      </c>
      <c r="G446" s="11" t="s">
        <v>3222</v>
      </c>
      <c r="H446" s="11"/>
      <c r="I446" s="11" t="s">
        <v>3223</v>
      </c>
      <c r="J446" s="11" t="s">
        <v>3224</v>
      </c>
      <c r="K446" s="11" t="s">
        <v>3225</v>
      </c>
      <c r="L446" s="11" t="s">
        <v>3226</v>
      </c>
      <c r="M446" s="11"/>
      <c r="N446" s="14" t="n">
        <v>2</v>
      </c>
      <c r="O446" s="14" t="n">
        <v>3</v>
      </c>
      <c r="P446" s="14" t="n">
        <v>2</v>
      </c>
      <c r="Q446" s="14"/>
      <c r="R446" s="12" t="n">
        <f aca="false">IF(OR(N446="",P446=""),"",ROUND(N446*O446/P446,1))</f>
        <v>3</v>
      </c>
      <c r="S446" s="13" t="n">
        <f aca="false">IF(R446="","",IF(Q446="Y",1,IF(P446&gt;='Read me'!$B$16,3,IF(AND(R446&gt;='Read me'!$B$14,P446&lt;='Read me'!$B$15),1,2))))</f>
        <v>2</v>
      </c>
    </row>
    <row r="447" customFormat="false" ht="15" hidden="false" customHeight="false" outlineLevel="0" collapsed="false">
      <c r="A447" s="11" t="s">
        <v>3227</v>
      </c>
      <c r="B447" s="11" t="s">
        <v>35</v>
      </c>
      <c r="C447" s="11" t="s">
        <v>159</v>
      </c>
      <c r="D447" s="11" t="s">
        <v>160</v>
      </c>
      <c r="E447" s="11" t="s">
        <v>765</v>
      </c>
      <c r="F447" s="11" t="s">
        <v>3228</v>
      </c>
      <c r="G447" s="11" t="s">
        <v>822</v>
      </c>
      <c r="H447" s="11"/>
      <c r="I447" s="11" t="s">
        <v>3229</v>
      </c>
      <c r="J447" s="11" t="s">
        <v>3230</v>
      </c>
      <c r="K447" s="11" t="s">
        <v>1609</v>
      </c>
      <c r="L447" s="11" t="s">
        <v>3231</v>
      </c>
      <c r="M447" s="11"/>
      <c r="N447" s="14" t="n">
        <v>2</v>
      </c>
      <c r="O447" s="14" t="n">
        <v>3</v>
      </c>
      <c r="P447" s="14" t="n">
        <v>3</v>
      </c>
      <c r="Q447" s="14"/>
      <c r="R447" s="12" t="n">
        <f aca="false">IF(OR(N447="",P447=""),"",ROUND(N447*O447/P447,1))</f>
        <v>2</v>
      </c>
      <c r="S447" s="13" t="n">
        <f aca="false">IF(R447="","",IF(Q447="Y",1,IF(P447&gt;='Read me'!$B$16,3,IF(AND(R447&gt;='Read me'!$B$14,P447&lt;='Read me'!$B$15),1,2))))</f>
        <v>2</v>
      </c>
    </row>
    <row r="448" customFormat="false" ht="23.85" hidden="false" customHeight="false" outlineLevel="0" collapsed="false">
      <c r="A448" s="11" t="s">
        <v>3232</v>
      </c>
      <c r="B448" s="11" t="s">
        <v>35</v>
      </c>
      <c r="C448" s="11" t="s">
        <v>159</v>
      </c>
      <c r="D448" s="11" t="s">
        <v>160</v>
      </c>
      <c r="E448" s="11" t="s">
        <v>1081</v>
      </c>
      <c r="F448" s="11" t="s">
        <v>3233</v>
      </c>
      <c r="G448" s="11" t="s">
        <v>3208</v>
      </c>
      <c r="H448" s="11"/>
      <c r="I448" s="11" t="s">
        <v>3234</v>
      </c>
      <c r="J448" s="11" t="s">
        <v>3235</v>
      </c>
      <c r="K448" s="11" t="s">
        <v>3236</v>
      </c>
      <c r="L448" s="11" t="s">
        <v>3237</v>
      </c>
      <c r="M448" s="11"/>
      <c r="N448" s="14" t="n">
        <v>3</v>
      </c>
      <c r="O448" s="14" t="n">
        <v>3</v>
      </c>
      <c r="P448" s="14" t="n">
        <v>2</v>
      </c>
      <c r="Q448" s="14"/>
      <c r="R448" s="12" t="n">
        <f aca="false">IF(OR(N448="",P448=""),"",ROUND(N448*O448/P448,1))</f>
        <v>4.5</v>
      </c>
      <c r="S448" s="13" t="n">
        <f aca="false">IF(R448="","",IF(Q448="Y",1,IF(P448&gt;='Read me'!$B$16,3,IF(AND(R448&gt;='Read me'!$B$14,P448&lt;='Read me'!$B$15),1,2))))</f>
        <v>2</v>
      </c>
    </row>
    <row r="449" customFormat="false" ht="23.85" hidden="false" customHeight="false" outlineLevel="0" collapsed="false">
      <c r="A449" s="11" t="s">
        <v>3238</v>
      </c>
      <c r="B449" s="11" t="s">
        <v>35</v>
      </c>
      <c r="C449" s="11" t="s">
        <v>159</v>
      </c>
      <c r="D449" s="11" t="s">
        <v>160</v>
      </c>
      <c r="E449" s="11" t="s">
        <v>1081</v>
      </c>
      <c r="F449" s="11" t="s">
        <v>3239</v>
      </c>
      <c r="G449" s="11" t="s">
        <v>2984</v>
      </c>
      <c r="H449" s="11"/>
      <c r="I449" s="11" t="s">
        <v>3240</v>
      </c>
      <c r="J449" s="11" t="s">
        <v>3241</v>
      </c>
      <c r="K449" s="11" t="s">
        <v>3242</v>
      </c>
      <c r="L449" s="11" t="s">
        <v>3243</v>
      </c>
      <c r="M449" s="11"/>
      <c r="N449" s="14" t="n">
        <v>2</v>
      </c>
      <c r="O449" s="14" t="n">
        <v>3</v>
      </c>
      <c r="P449" s="14" t="n">
        <v>3</v>
      </c>
      <c r="Q449" s="14"/>
      <c r="R449" s="12" t="n">
        <f aca="false">IF(OR(N449="",P449=""),"",ROUND(N449*O449/P449,1))</f>
        <v>2</v>
      </c>
      <c r="S449" s="13" t="n">
        <f aca="false">IF(R449="","",IF(Q449="Y",1,IF(P449&gt;='Read me'!$B$16,3,IF(AND(R449&gt;='Read me'!$B$14,P449&lt;='Read me'!$B$15),1,2))))</f>
        <v>2</v>
      </c>
    </row>
    <row r="450" customFormat="false" ht="46.25" hidden="false" customHeight="false" outlineLevel="0" collapsed="false">
      <c r="A450" s="11" t="s">
        <v>3244</v>
      </c>
      <c r="B450" s="11" t="s">
        <v>35</v>
      </c>
      <c r="C450" s="11" t="s">
        <v>159</v>
      </c>
      <c r="D450" s="11" t="s">
        <v>160</v>
      </c>
      <c r="E450" s="11" t="s">
        <v>1081</v>
      </c>
      <c r="F450" s="11" t="s">
        <v>3245</v>
      </c>
      <c r="G450" s="11" t="s">
        <v>3246</v>
      </c>
      <c r="H450" s="11"/>
      <c r="I450" s="11" t="s">
        <v>3247</v>
      </c>
      <c r="J450" s="11" t="s">
        <v>3248</v>
      </c>
      <c r="K450" s="11" t="s">
        <v>1028</v>
      </c>
      <c r="L450" s="11" t="s">
        <v>3237</v>
      </c>
      <c r="M450" s="11" t="s">
        <v>3249</v>
      </c>
      <c r="N450" s="14" t="n">
        <v>2</v>
      </c>
      <c r="O450" s="14" t="n">
        <v>3</v>
      </c>
      <c r="P450" s="14" t="n">
        <v>2</v>
      </c>
      <c r="Q450" s="14"/>
      <c r="R450" s="12" t="n">
        <f aca="false">IF(OR(N450="",P450=""),"",ROUND(N450*O450/P450,1))</f>
        <v>3</v>
      </c>
      <c r="S450" s="13" t="n">
        <f aca="false">IF(R450="","",IF(Q450="Y",1,IF(P450&gt;='Read me'!$B$16,3,IF(AND(R450&gt;='Read me'!$B$14,P450&lt;='Read me'!$B$15),1,2))))</f>
        <v>2</v>
      </c>
    </row>
    <row r="451" customFormat="false" ht="23.85" hidden="false" customHeight="false" outlineLevel="0" collapsed="false">
      <c r="A451" s="11" t="s">
        <v>3250</v>
      </c>
      <c r="B451" s="11" t="s">
        <v>35</v>
      </c>
      <c r="C451" s="11" t="s">
        <v>159</v>
      </c>
      <c r="D451" s="11" t="s">
        <v>160</v>
      </c>
      <c r="E451" s="11" t="s">
        <v>1081</v>
      </c>
      <c r="F451" s="11" t="s">
        <v>3251</v>
      </c>
      <c r="G451" s="11" t="s">
        <v>3252</v>
      </c>
      <c r="H451" s="11"/>
      <c r="I451" s="11" t="s">
        <v>512</v>
      </c>
      <c r="J451" s="11" t="s">
        <v>3253</v>
      </c>
      <c r="K451" s="11" t="s">
        <v>3254</v>
      </c>
      <c r="L451" s="11" t="s">
        <v>3255</v>
      </c>
      <c r="M451" s="11"/>
      <c r="N451" s="14" t="n">
        <v>3</v>
      </c>
      <c r="O451" s="14" t="n">
        <v>2</v>
      </c>
      <c r="P451" s="14" t="n">
        <v>1</v>
      </c>
      <c r="Q451" s="14"/>
      <c r="R451" s="12" t="n">
        <f aca="false">IF(OR(N451="",P451=""),"",ROUND(N451*O451/P451,1))</f>
        <v>6</v>
      </c>
      <c r="S451" s="13" t="n">
        <f aca="false">IF(R451="","",IF(Q451="Y",1,IF(P451&gt;='Read me'!$B$16,3,IF(AND(R451&gt;='Read me'!$B$14,P451&lt;='Read me'!$B$15),1,2))))</f>
        <v>1</v>
      </c>
    </row>
    <row r="452" customFormat="false" ht="23.85" hidden="false" customHeight="false" outlineLevel="0" collapsed="false">
      <c r="A452" s="11" t="s">
        <v>3256</v>
      </c>
      <c r="B452" s="11" t="s">
        <v>35</v>
      </c>
      <c r="C452" s="11" t="s">
        <v>159</v>
      </c>
      <c r="D452" s="11" t="s">
        <v>160</v>
      </c>
      <c r="E452" s="11" t="s">
        <v>1187</v>
      </c>
      <c r="F452" s="11" t="s">
        <v>3257</v>
      </c>
      <c r="G452" s="11" t="s">
        <v>2984</v>
      </c>
      <c r="H452" s="11" t="s">
        <v>3258</v>
      </c>
      <c r="I452" s="11" t="s">
        <v>3259</v>
      </c>
      <c r="J452" s="11" t="s">
        <v>3260</v>
      </c>
      <c r="K452" s="11" t="s">
        <v>3261</v>
      </c>
      <c r="L452" s="11" t="s">
        <v>3262</v>
      </c>
      <c r="M452" s="11"/>
      <c r="N452" s="14" t="n">
        <v>1</v>
      </c>
      <c r="O452" s="14" t="n">
        <v>4</v>
      </c>
      <c r="P452" s="14" t="n">
        <v>4</v>
      </c>
      <c r="Q452" s="14"/>
      <c r="R452" s="12" t="n">
        <f aca="false">IF(OR(N452="",P452=""),"",ROUND(N452*O452/P452,1))</f>
        <v>1</v>
      </c>
      <c r="S452" s="13" t="n">
        <f aca="false">IF(R452="","",IF(Q452="Y",1,IF(P452&gt;='Read me'!$B$16,3,IF(AND(R452&gt;='Read me'!$B$14,P452&lt;='Read me'!$B$15),1,2))))</f>
        <v>3</v>
      </c>
    </row>
    <row r="453" customFormat="false" ht="23.85" hidden="false" customHeight="false" outlineLevel="0" collapsed="false">
      <c r="A453" s="11" t="s">
        <v>3263</v>
      </c>
      <c r="B453" s="11" t="s">
        <v>35</v>
      </c>
      <c r="C453" s="11" t="s">
        <v>159</v>
      </c>
      <c r="D453" s="11" t="s">
        <v>160</v>
      </c>
      <c r="E453" s="11" t="s">
        <v>1187</v>
      </c>
      <c r="F453" s="11" t="s">
        <v>3264</v>
      </c>
      <c r="G453" s="11" t="s">
        <v>3208</v>
      </c>
      <c r="H453" s="11" t="s">
        <v>3265</v>
      </c>
      <c r="I453" s="11" t="s">
        <v>3266</v>
      </c>
      <c r="J453" s="11" t="s">
        <v>3267</v>
      </c>
      <c r="K453" s="11" t="s">
        <v>2396</v>
      </c>
      <c r="L453" s="11" t="s">
        <v>3268</v>
      </c>
      <c r="M453" s="11" t="s">
        <v>3174</v>
      </c>
      <c r="N453" s="14" t="n">
        <v>2</v>
      </c>
      <c r="O453" s="14" t="n">
        <v>3</v>
      </c>
      <c r="P453" s="14" t="n">
        <v>3</v>
      </c>
      <c r="Q453" s="14"/>
      <c r="R453" s="12" t="n">
        <f aca="false">IF(OR(N453="",P453=""),"",ROUND(N453*O453/P453,1))</f>
        <v>2</v>
      </c>
      <c r="S453" s="13" t="n">
        <f aca="false">IF(R453="","",IF(Q453="Y",1,IF(P453&gt;='Read me'!$B$16,3,IF(AND(R453&gt;='Read me'!$B$14,P453&lt;='Read me'!$B$15),1,2))))</f>
        <v>2</v>
      </c>
    </row>
    <row r="454" customFormat="false" ht="35.05" hidden="false" customHeight="false" outlineLevel="0" collapsed="false">
      <c r="A454" s="11" t="s">
        <v>3269</v>
      </c>
      <c r="B454" s="11" t="s">
        <v>35</v>
      </c>
      <c r="C454" s="11" t="s">
        <v>159</v>
      </c>
      <c r="D454" s="11" t="s">
        <v>160</v>
      </c>
      <c r="E454" s="11" t="s">
        <v>1187</v>
      </c>
      <c r="F454" s="11" t="s">
        <v>3270</v>
      </c>
      <c r="G454" s="11" t="s">
        <v>3246</v>
      </c>
      <c r="H454" s="11" t="s">
        <v>3271</v>
      </c>
      <c r="I454" s="11" t="s">
        <v>3272</v>
      </c>
      <c r="J454" s="11" t="s">
        <v>3273</v>
      </c>
      <c r="K454" s="11" t="s">
        <v>675</v>
      </c>
      <c r="L454" s="11" t="s">
        <v>2054</v>
      </c>
      <c r="M454" s="11" t="s">
        <v>2055</v>
      </c>
      <c r="N454" s="14" t="n">
        <v>1</v>
      </c>
      <c r="O454" s="14" t="n">
        <v>3</v>
      </c>
      <c r="P454" s="14" t="n">
        <v>5</v>
      </c>
      <c r="Q454" s="14"/>
      <c r="R454" s="12" t="n">
        <f aca="false">IF(OR(N454="",P454=""),"",ROUND(N454*O454/P454,1))</f>
        <v>0.6</v>
      </c>
      <c r="S454" s="13" t="n">
        <f aca="false">IF(R454="","",IF(Q454="Y",1,IF(P454&gt;='Read me'!$B$16,3,IF(AND(R454&gt;='Read me'!$B$14,P454&lt;='Read me'!$B$15),1,2))))</f>
        <v>3</v>
      </c>
    </row>
    <row r="455" customFormat="false" ht="23.85" hidden="false" customHeight="false" outlineLevel="0" collapsed="false">
      <c r="A455" s="11" t="s">
        <v>3274</v>
      </c>
      <c r="B455" s="11" t="s">
        <v>35</v>
      </c>
      <c r="C455" s="11" t="s">
        <v>159</v>
      </c>
      <c r="D455" s="11" t="s">
        <v>160</v>
      </c>
      <c r="E455" s="11" t="s">
        <v>1133</v>
      </c>
      <c r="F455" s="11" t="s">
        <v>3275</v>
      </c>
      <c r="G455" s="11" t="s">
        <v>3276</v>
      </c>
      <c r="H455" s="11" t="s">
        <v>3277</v>
      </c>
      <c r="I455" s="11" t="s">
        <v>3278</v>
      </c>
      <c r="J455" s="11" t="s">
        <v>3279</v>
      </c>
      <c r="K455" s="11" t="s">
        <v>3280</v>
      </c>
      <c r="L455" s="11" t="s">
        <v>3281</v>
      </c>
      <c r="M455" s="11"/>
      <c r="N455" s="14" t="n">
        <v>1</v>
      </c>
      <c r="O455" s="14" t="n">
        <v>3</v>
      </c>
      <c r="P455" s="14" t="n">
        <v>4</v>
      </c>
      <c r="Q455" s="14"/>
      <c r="R455" s="12" t="n">
        <f aca="false">IF(OR(N455="",P455=""),"",ROUND(N455*O455/P455,1))</f>
        <v>0.8</v>
      </c>
      <c r="S455" s="13" t="n">
        <f aca="false">IF(R455="","",IF(Q455="Y",1,IF(P455&gt;='Read me'!$B$16,3,IF(AND(R455&gt;='Read me'!$B$14,P455&lt;='Read me'!$B$15),1,2))))</f>
        <v>3</v>
      </c>
    </row>
    <row r="456" customFormat="false" ht="23.85" hidden="false" customHeight="false" outlineLevel="0" collapsed="false">
      <c r="A456" s="11" t="s">
        <v>3282</v>
      </c>
      <c r="B456" s="11" t="s">
        <v>35</v>
      </c>
      <c r="C456" s="11" t="s">
        <v>159</v>
      </c>
      <c r="D456" s="11" t="s">
        <v>160</v>
      </c>
      <c r="E456" s="11" t="s">
        <v>1133</v>
      </c>
      <c r="F456" s="11" t="s">
        <v>3283</v>
      </c>
      <c r="G456" s="11" t="s">
        <v>3276</v>
      </c>
      <c r="H456" s="11" t="s">
        <v>3284</v>
      </c>
      <c r="I456" s="11" t="s">
        <v>3285</v>
      </c>
      <c r="J456" s="11" t="s">
        <v>3286</v>
      </c>
      <c r="K456" s="11" t="s">
        <v>3287</v>
      </c>
      <c r="L456" s="11" t="s">
        <v>3288</v>
      </c>
      <c r="M456" s="11"/>
      <c r="N456" s="14" t="n">
        <v>1</v>
      </c>
      <c r="O456" s="14" t="n">
        <v>3</v>
      </c>
      <c r="P456" s="14" t="n">
        <v>3</v>
      </c>
      <c r="Q456" s="14"/>
      <c r="R456" s="12" t="n">
        <f aca="false">IF(OR(N456="",P456=""),"",ROUND(N456*O456/P456,1))</f>
        <v>1</v>
      </c>
      <c r="S456" s="13" t="n">
        <f aca="false">IF(R456="","",IF(Q456="Y",1,IF(P456&gt;='Read me'!$B$16,3,IF(AND(R456&gt;='Read me'!$B$14,P456&lt;='Read me'!$B$15),1,2))))</f>
        <v>2</v>
      </c>
    </row>
    <row r="457" customFormat="false" ht="23.85" hidden="false" customHeight="false" outlineLevel="0" collapsed="false">
      <c r="A457" s="11" t="s">
        <v>3289</v>
      </c>
      <c r="B457" s="11" t="s">
        <v>35</v>
      </c>
      <c r="C457" s="11" t="s">
        <v>162</v>
      </c>
      <c r="D457" s="11" t="s">
        <v>163</v>
      </c>
      <c r="E457" s="11" t="s">
        <v>532</v>
      </c>
      <c r="F457" s="11" t="s">
        <v>3290</v>
      </c>
      <c r="G457" s="11" t="s">
        <v>3291</v>
      </c>
      <c r="H457" s="11"/>
      <c r="I457" s="11" t="s">
        <v>3292</v>
      </c>
      <c r="J457" s="11" t="s">
        <v>3293</v>
      </c>
      <c r="K457" s="11" t="s">
        <v>3294</v>
      </c>
      <c r="L457" s="11" t="s">
        <v>3295</v>
      </c>
      <c r="M457" s="11"/>
      <c r="N457" s="14" t="n">
        <v>3</v>
      </c>
      <c r="O457" s="14" t="n">
        <v>4</v>
      </c>
      <c r="P457" s="14" t="n">
        <v>3</v>
      </c>
      <c r="Q457" s="14"/>
      <c r="R457" s="12" t="n">
        <f aca="false">IF(OR(N457="",P457=""),"",ROUND(N457*O457/P457,1))</f>
        <v>4</v>
      </c>
      <c r="S457" s="13" t="n">
        <f aca="false">IF(R457="","",IF(Q457="Y",1,IF(P457&gt;='Read me'!$B$16,3,IF(AND(R457&gt;='Read me'!$B$14,P457&lt;='Read me'!$B$15),1,2))))</f>
        <v>2</v>
      </c>
    </row>
    <row r="458" customFormat="false" ht="23.85" hidden="false" customHeight="false" outlineLevel="0" collapsed="false">
      <c r="A458" s="11" t="s">
        <v>3296</v>
      </c>
      <c r="B458" s="11" t="s">
        <v>35</v>
      </c>
      <c r="C458" s="11" t="s">
        <v>162</v>
      </c>
      <c r="D458" s="11" t="s">
        <v>163</v>
      </c>
      <c r="E458" s="11" t="s">
        <v>532</v>
      </c>
      <c r="F458" s="11" t="s">
        <v>3297</v>
      </c>
      <c r="G458" s="11" t="s">
        <v>3298</v>
      </c>
      <c r="H458" s="11"/>
      <c r="I458" s="11" t="s">
        <v>3299</v>
      </c>
      <c r="J458" s="11" t="s">
        <v>3300</v>
      </c>
      <c r="K458" s="11" t="s">
        <v>3301</v>
      </c>
      <c r="L458" s="11" t="s">
        <v>3302</v>
      </c>
      <c r="M458" s="11"/>
      <c r="N458" s="14" t="n">
        <v>2</v>
      </c>
      <c r="O458" s="14" t="n">
        <v>4</v>
      </c>
      <c r="P458" s="14" t="n">
        <v>2</v>
      </c>
      <c r="Q458" s="14"/>
      <c r="R458" s="12" t="n">
        <f aca="false">IF(OR(N458="",P458=""),"",ROUND(N458*O458/P458,1))</f>
        <v>4</v>
      </c>
      <c r="S458" s="13" t="n">
        <f aca="false">IF(R458="","",IF(Q458="Y",1,IF(P458&gt;='Read me'!$B$16,3,IF(AND(R458&gt;='Read me'!$B$14,P458&lt;='Read me'!$B$15),1,2))))</f>
        <v>2</v>
      </c>
    </row>
    <row r="459" customFormat="false" ht="23.85" hidden="false" customHeight="false" outlineLevel="0" collapsed="false">
      <c r="A459" s="11" t="s">
        <v>3303</v>
      </c>
      <c r="B459" s="11" t="s">
        <v>35</v>
      </c>
      <c r="C459" s="11" t="s">
        <v>162</v>
      </c>
      <c r="D459" s="11" t="s">
        <v>163</v>
      </c>
      <c r="E459" s="11" t="s">
        <v>532</v>
      </c>
      <c r="F459" s="11" t="s">
        <v>3290</v>
      </c>
      <c r="G459" s="11" t="s">
        <v>3304</v>
      </c>
      <c r="H459" s="11"/>
      <c r="I459" s="11" t="s">
        <v>3305</v>
      </c>
      <c r="J459" s="11" t="s">
        <v>3306</v>
      </c>
      <c r="K459" s="11" t="s">
        <v>3307</v>
      </c>
      <c r="L459" s="11" t="s">
        <v>3308</v>
      </c>
      <c r="M459" s="11" t="s">
        <v>3309</v>
      </c>
      <c r="N459" s="14" t="n">
        <v>2</v>
      </c>
      <c r="O459" s="14" t="n">
        <v>3</v>
      </c>
      <c r="P459" s="14" t="n">
        <v>2</v>
      </c>
      <c r="Q459" s="14"/>
      <c r="R459" s="12" t="n">
        <f aca="false">IF(OR(N459="",P459=""),"",ROUND(N459*O459/P459,1))</f>
        <v>3</v>
      </c>
      <c r="S459" s="13" t="n">
        <f aca="false">IF(R459="","",IF(Q459="Y",1,IF(P459&gt;='Read me'!$B$16,3,IF(AND(R459&gt;='Read me'!$B$14,P459&lt;='Read me'!$B$15),1,2))))</f>
        <v>2</v>
      </c>
    </row>
    <row r="460" customFormat="false" ht="23.85" hidden="false" customHeight="false" outlineLevel="0" collapsed="false">
      <c r="A460" s="11" t="s">
        <v>3310</v>
      </c>
      <c r="B460" s="11" t="s">
        <v>35</v>
      </c>
      <c r="C460" s="11" t="s">
        <v>162</v>
      </c>
      <c r="D460" s="11" t="s">
        <v>163</v>
      </c>
      <c r="E460" s="11" t="s">
        <v>532</v>
      </c>
      <c r="F460" s="11" t="s">
        <v>3290</v>
      </c>
      <c r="G460" s="11" t="s">
        <v>3311</v>
      </c>
      <c r="H460" s="11"/>
      <c r="I460" s="11" t="s">
        <v>3312</v>
      </c>
      <c r="J460" s="11" t="s">
        <v>3313</v>
      </c>
      <c r="K460" s="11" t="s">
        <v>916</v>
      </c>
      <c r="L460" s="11" t="s">
        <v>3314</v>
      </c>
      <c r="M460" s="11"/>
      <c r="N460" s="14" t="n">
        <v>1</v>
      </c>
      <c r="O460" s="14" t="n">
        <v>4</v>
      </c>
      <c r="P460" s="14" t="n">
        <v>2</v>
      </c>
      <c r="Q460" s="14"/>
      <c r="R460" s="12" t="n">
        <f aca="false">IF(OR(N460="",P460=""),"",ROUND(N460*O460/P460,1))</f>
        <v>2</v>
      </c>
      <c r="S460" s="13" t="n">
        <f aca="false">IF(R460="","",IF(Q460="Y",1,IF(P460&gt;='Read me'!$B$16,3,IF(AND(R460&gt;='Read me'!$B$14,P460&lt;='Read me'!$B$15),1,2))))</f>
        <v>2</v>
      </c>
    </row>
    <row r="461" customFormat="false" ht="23.85" hidden="false" customHeight="false" outlineLevel="0" collapsed="false">
      <c r="A461" s="11" t="s">
        <v>3315</v>
      </c>
      <c r="B461" s="11" t="s">
        <v>35</v>
      </c>
      <c r="C461" s="11" t="s">
        <v>162</v>
      </c>
      <c r="D461" s="11" t="s">
        <v>163</v>
      </c>
      <c r="E461" s="11" t="s">
        <v>532</v>
      </c>
      <c r="F461" s="11" t="s">
        <v>3316</v>
      </c>
      <c r="G461" s="11" t="s">
        <v>3317</v>
      </c>
      <c r="H461" s="11"/>
      <c r="I461" s="11" t="s">
        <v>3318</v>
      </c>
      <c r="J461" s="11" t="s">
        <v>3319</v>
      </c>
      <c r="K461" s="11" t="s">
        <v>2837</v>
      </c>
      <c r="L461" s="11" t="s">
        <v>3320</v>
      </c>
      <c r="M461" s="11"/>
      <c r="N461" s="14" t="n">
        <v>2</v>
      </c>
      <c r="O461" s="14" t="n">
        <v>4</v>
      </c>
      <c r="P461" s="14" t="n">
        <v>2</v>
      </c>
      <c r="Q461" s="14"/>
      <c r="R461" s="12" t="n">
        <f aca="false">IF(OR(N461="",P461=""),"",ROUND(N461*O461/P461,1))</f>
        <v>4</v>
      </c>
      <c r="S461" s="13" t="n">
        <f aca="false">IF(R461="","",IF(Q461="Y",1,IF(P461&gt;='Read me'!$B$16,3,IF(AND(R461&gt;='Read me'!$B$14,P461&lt;='Read me'!$B$15),1,2))))</f>
        <v>2</v>
      </c>
    </row>
    <row r="462" customFormat="false" ht="23.85" hidden="false" customHeight="false" outlineLevel="0" collapsed="false">
      <c r="A462" s="11" t="s">
        <v>3321</v>
      </c>
      <c r="B462" s="11" t="s">
        <v>35</v>
      </c>
      <c r="C462" s="11" t="s">
        <v>162</v>
      </c>
      <c r="D462" s="11" t="s">
        <v>163</v>
      </c>
      <c r="E462" s="11" t="s">
        <v>626</v>
      </c>
      <c r="F462" s="11" t="s">
        <v>3322</v>
      </c>
      <c r="G462" s="11" t="s">
        <v>3323</v>
      </c>
      <c r="H462" s="11"/>
      <c r="I462" s="11" t="s">
        <v>3324</v>
      </c>
      <c r="J462" s="11" t="s">
        <v>3325</v>
      </c>
      <c r="K462" s="11" t="s">
        <v>529</v>
      </c>
      <c r="L462" s="11" t="s">
        <v>3237</v>
      </c>
      <c r="M462" s="11"/>
      <c r="N462" s="14" t="n">
        <v>2</v>
      </c>
      <c r="O462" s="14" t="n">
        <v>3</v>
      </c>
      <c r="P462" s="14" t="n">
        <v>1</v>
      </c>
      <c r="Q462" s="14"/>
      <c r="R462" s="12" t="n">
        <f aca="false">IF(OR(N462="",P462=""),"",ROUND(N462*O462/P462,1))</f>
        <v>6</v>
      </c>
      <c r="S462" s="13" t="n">
        <f aca="false">IF(R462="","",IF(Q462="Y",1,IF(P462&gt;='Read me'!$B$16,3,IF(AND(R462&gt;='Read me'!$B$14,P462&lt;='Read me'!$B$15),1,2))))</f>
        <v>1</v>
      </c>
    </row>
    <row r="463" customFormat="false" ht="23.85" hidden="false" customHeight="false" outlineLevel="0" collapsed="false">
      <c r="A463" s="11" t="s">
        <v>3326</v>
      </c>
      <c r="B463" s="11" t="s">
        <v>35</v>
      </c>
      <c r="C463" s="11" t="s">
        <v>162</v>
      </c>
      <c r="D463" s="11" t="s">
        <v>163</v>
      </c>
      <c r="E463" s="11" t="s">
        <v>751</v>
      </c>
      <c r="F463" s="11" t="s">
        <v>3327</v>
      </c>
      <c r="G463" s="11" t="s">
        <v>2253</v>
      </c>
      <c r="H463" s="11"/>
      <c r="I463" s="11" t="s">
        <v>1251</v>
      </c>
      <c r="J463" s="11" t="s">
        <v>2438</v>
      </c>
      <c r="K463" s="11" t="s">
        <v>1254</v>
      </c>
      <c r="L463" s="11" t="s">
        <v>3328</v>
      </c>
      <c r="M463" s="11" t="s">
        <v>1577</v>
      </c>
      <c r="N463" s="14" t="n">
        <v>2</v>
      </c>
      <c r="O463" s="14" t="n">
        <v>4</v>
      </c>
      <c r="P463" s="14" t="n">
        <v>3</v>
      </c>
      <c r="Q463" s="14"/>
      <c r="R463" s="12" t="n">
        <f aca="false">IF(OR(N463="",P463=""),"",ROUND(N463*O463/P463,1))</f>
        <v>2.7</v>
      </c>
      <c r="S463" s="13" t="n">
        <f aca="false">IF(R463="","",IF(Q463="Y",1,IF(P463&gt;='Read me'!$B$16,3,IF(AND(R463&gt;='Read me'!$B$14,P463&lt;='Read me'!$B$15),1,2))))</f>
        <v>2</v>
      </c>
    </row>
    <row r="464" customFormat="false" ht="23.85" hidden="false" customHeight="false" outlineLevel="0" collapsed="false">
      <c r="A464" s="11" t="s">
        <v>3329</v>
      </c>
      <c r="B464" s="11" t="s">
        <v>35</v>
      </c>
      <c r="C464" s="11" t="s">
        <v>162</v>
      </c>
      <c r="D464" s="11" t="s">
        <v>163</v>
      </c>
      <c r="E464" s="11" t="s">
        <v>751</v>
      </c>
      <c r="F464" s="11" t="s">
        <v>3330</v>
      </c>
      <c r="G464" s="11" t="s">
        <v>2853</v>
      </c>
      <c r="H464" s="11"/>
      <c r="I464" s="11" t="s">
        <v>3331</v>
      </c>
      <c r="J464" s="11" t="s">
        <v>3332</v>
      </c>
      <c r="K464" s="11" t="s">
        <v>2849</v>
      </c>
      <c r="L464" s="11" t="s">
        <v>3333</v>
      </c>
      <c r="M464" s="11" t="s">
        <v>3334</v>
      </c>
      <c r="N464" s="14" t="n">
        <v>2</v>
      </c>
      <c r="O464" s="14" t="n">
        <v>2</v>
      </c>
      <c r="P464" s="14" t="n">
        <v>2</v>
      </c>
      <c r="Q464" s="14"/>
      <c r="R464" s="12" t="n">
        <f aca="false">IF(OR(N464="",P464=""),"",ROUND(N464*O464/P464,1))</f>
        <v>2</v>
      </c>
      <c r="S464" s="13" t="n">
        <f aca="false">IF(R464="","",IF(Q464="Y",1,IF(P464&gt;='Read me'!$B$16,3,IF(AND(R464&gt;='Read me'!$B$14,P464&lt;='Read me'!$B$15),1,2))))</f>
        <v>2</v>
      </c>
    </row>
    <row r="465" customFormat="false" ht="23.85" hidden="false" customHeight="false" outlineLevel="0" collapsed="false">
      <c r="A465" s="11" t="s">
        <v>3335</v>
      </c>
      <c r="B465" s="11" t="s">
        <v>35</v>
      </c>
      <c r="C465" s="11" t="s">
        <v>162</v>
      </c>
      <c r="D465" s="11" t="s">
        <v>163</v>
      </c>
      <c r="E465" s="11" t="s">
        <v>765</v>
      </c>
      <c r="F465" s="11" t="s">
        <v>3336</v>
      </c>
      <c r="G465" s="11" t="s">
        <v>3337</v>
      </c>
      <c r="H465" s="11"/>
      <c r="I465" s="11" t="s">
        <v>512</v>
      </c>
      <c r="J465" s="11" t="s">
        <v>3338</v>
      </c>
      <c r="K465" s="11" t="s">
        <v>3339</v>
      </c>
      <c r="L465" s="11" t="s">
        <v>3340</v>
      </c>
      <c r="M465" s="11"/>
      <c r="N465" s="14" t="n">
        <v>3</v>
      </c>
      <c r="O465" s="14" t="n">
        <v>3</v>
      </c>
      <c r="P465" s="14" t="n">
        <v>2</v>
      </c>
      <c r="Q465" s="14"/>
      <c r="R465" s="12" t="n">
        <f aca="false">IF(OR(N465="",P465=""),"",ROUND(N465*O465/P465,1))</f>
        <v>4.5</v>
      </c>
      <c r="S465" s="13" t="n">
        <f aca="false">IF(R465="","",IF(Q465="Y",1,IF(P465&gt;='Read me'!$B$16,3,IF(AND(R465&gt;='Read me'!$B$14,P465&lt;='Read me'!$B$15),1,2))))</f>
        <v>2</v>
      </c>
    </row>
    <row r="466" customFormat="false" ht="23.85" hidden="false" customHeight="false" outlineLevel="0" collapsed="false">
      <c r="A466" s="11" t="s">
        <v>3341</v>
      </c>
      <c r="B466" s="11" t="s">
        <v>35</v>
      </c>
      <c r="C466" s="11" t="s">
        <v>162</v>
      </c>
      <c r="D466" s="11" t="s">
        <v>163</v>
      </c>
      <c r="E466" s="11" t="s">
        <v>765</v>
      </c>
      <c r="F466" s="11" t="s">
        <v>3342</v>
      </c>
      <c r="G466" s="11" t="s">
        <v>822</v>
      </c>
      <c r="H466" s="11"/>
      <c r="I466" s="11" t="s">
        <v>3343</v>
      </c>
      <c r="J466" s="11" t="s">
        <v>3344</v>
      </c>
      <c r="K466" s="11" t="s">
        <v>3345</v>
      </c>
      <c r="L466" s="11" t="s">
        <v>3346</v>
      </c>
      <c r="M466" s="11"/>
      <c r="N466" s="14" t="n">
        <v>2</v>
      </c>
      <c r="O466" s="14" t="n">
        <v>3</v>
      </c>
      <c r="P466" s="14" t="n">
        <v>2</v>
      </c>
      <c r="Q466" s="14"/>
      <c r="R466" s="12" t="n">
        <f aca="false">IF(OR(N466="",P466=""),"",ROUND(N466*O466/P466,1))</f>
        <v>3</v>
      </c>
      <c r="S466" s="13" t="n">
        <f aca="false">IF(R466="","",IF(Q466="Y",1,IF(P466&gt;='Read me'!$B$16,3,IF(AND(R466&gt;='Read me'!$B$14,P466&lt;='Read me'!$B$15),1,2))))</f>
        <v>2</v>
      </c>
    </row>
    <row r="467" customFormat="false" ht="35.05" hidden="false" customHeight="false" outlineLevel="0" collapsed="false">
      <c r="A467" s="11" t="s">
        <v>3347</v>
      </c>
      <c r="B467" s="11" t="s">
        <v>35</v>
      </c>
      <c r="C467" s="11" t="s">
        <v>162</v>
      </c>
      <c r="D467" s="11" t="s">
        <v>163</v>
      </c>
      <c r="E467" s="11" t="s">
        <v>1187</v>
      </c>
      <c r="F467" s="11" t="s">
        <v>3348</v>
      </c>
      <c r="G467" s="11" t="s">
        <v>2984</v>
      </c>
      <c r="H467" s="11" t="s">
        <v>1165</v>
      </c>
      <c r="I467" s="11" t="s">
        <v>3349</v>
      </c>
      <c r="J467" s="11" t="s">
        <v>3350</v>
      </c>
      <c r="K467" s="11" t="s">
        <v>3351</v>
      </c>
      <c r="L467" s="11" t="s">
        <v>3352</v>
      </c>
      <c r="M467" s="11"/>
      <c r="N467" s="14" t="n">
        <v>1</v>
      </c>
      <c r="O467" s="14" t="n">
        <v>4</v>
      </c>
      <c r="P467" s="14" t="n">
        <v>4</v>
      </c>
      <c r="Q467" s="14"/>
      <c r="R467" s="12" t="n">
        <f aca="false">IF(OR(N467="",P467=""),"",ROUND(N467*O467/P467,1))</f>
        <v>1</v>
      </c>
      <c r="S467" s="13" t="n">
        <f aca="false">IF(R467="","",IF(Q467="Y",1,IF(P467&gt;='Read me'!$B$16,3,IF(AND(R467&gt;='Read me'!$B$14,P467&lt;='Read me'!$B$15),1,2))))</f>
        <v>3</v>
      </c>
    </row>
    <row r="468" customFormat="false" ht="23.85" hidden="false" customHeight="false" outlineLevel="0" collapsed="false">
      <c r="A468" s="11" t="s">
        <v>3353</v>
      </c>
      <c r="B468" s="11" t="s">
        <v>35</v>
      </c>
      <c r="C468" s="11" t="s">
        <v>162</v>
      </c>
      <c r="D468" s="11" t="s">
        <v>163</v>
      </c>
      <c r="E468" s="11" t="s">
        <v>1187</v>
      </c>
      <c r="F468" s="11" t="s">
        <v>3354</v>
      </c>
      <c r="G468" s="11" t="s">
        <v>2853</v>
      </c>
      <c r="H468" s="11" t="s">
        <v>3355</v>
      </c>
      <c r="I468" s="11" t="s">
        <v>3356</v>
      </c>
      <c r="J468" s="11" t="s">
        <v>3357</v>
      </c>
      <c r="K468" s="11" t="s">
        <v>2113</v>
      </c>
      <c r="L468" s="11" t="s">
        <v>3358</v>
      </c>
      <c r="M468" s="11"/>
      <c r="N468" s="14" t="n">
        <v>1</v>
      </c>
      <c r="O468" s="14" t="n">
        <v>3</v>
      </c>
      <c r="P468" s="14" t="n">
        <v>3</v>
      </c>
      <c r="Q468" s="14"/>
      <c r="R468" s="12" t="n">
        <f aca="false">IF(OR(N468="",P468=""),"",ROUND(N468*O468/P468,1))</f>
        <v>1</v>
      </c>
      <c r="S468" s="13" t="n">
        <f aca="false">IF(R468="","",IF(Q468="Y",1,IF(P468&gt;='Read me'!$B$16,3,IF(AND(R468&gt;='Read me'!$B$14,P468&lt;='Read me'!$B$15),1,2))))</f>
        <v>2</v>
      </c>
    </row>
    <row r="469" customFormat="false" ht="35.05" hidden="false" customHeight="false" outlineLevel="0" collapsed="false">
      <c r="A469" s="11" t="s">
        <v>3359</v>
      </c>
      <c r="B469" s="11" t="s">
        <v>35</v>
      </c>
      <c r="C469" s="11" t="s">
        <v>162</v>
      </c>
      <c r="D469" s="11" t="s">
        <v>163</v>
      </c>
      <c r="E469" s="11" t="s">
        <v>1187</v>
      </c>
      <c r="F469" s="11" t="s">
        <v>3360</v>
      </c>
      <c r="G469" s="11" t="s">
        <v>2896</v>
      </c>
      <c r="H469" s="11" t="s">
        <v>2897</v>
      </c>
      <c r="I469" s="11" t="s">
        <v>3361</v>
      </c>
      <c r="J469" s="11" t="s">
        <v>3362</v>
      </c>
      <c r="K469" s="11" t="s">
        <v>675</v>
      </c>
      <c r="L469" s="11" t="s">
        <v>2054</v>
      </c>
      <c r="M469" s="11" t="s">
        <v>2055</v>
      </c>
      <c r="N469" s="14" t="n">
        <v>1</v>
      </c>
      <c r="O469" s="14" t="n">
        <v>3</v>
      </c>
      <c r="P469" s="14" t="n">
        <v>5</v>
      </c>
      <c r="Q469" s="14"/>
      <c r="R469" s="12" t="n">
        <f aca="false">IF(OR(N469="",P469=""),"",ROUND(N469*O469/P469,1))</f>
        <v>0.6</v>
      </c>
      <c r="S469" s="13" t="n">
        <f aca="false">IF(R469="","",IF(Q469="Y",1,IF(P469&gt;='Read me'!$B$16,3,IF(AND(R469&gt;='Read me'!$B$14,P469&lt;='Read me'!$B$15),1,2))))</f>
        <v>3</v>
      </c>
    </row>
    <row r="470" customFormat="false" ht="35.05" hidden="false" customHeight="false" outlineLevel="0" collapsed="false">
      <c r="A470" s="11" t="s">
        <v>3363</v>
      </c>
      <c r="B470" s="11" t="s">
        <v>35</v>
      </c>
      <c r="C470" s="11" t="s">
        <v>162</v>
      </c>
      <c r="D470" s="11" t="s">
        <v>163</v>
      </c>
      <c r="E470" s="11" t="s">
        <v>1133</v>
      </c>
      <c r="F470" s="11" t="s">
        <v>1366</v>
      </c>
      <c r="G470" s="11" t="s">
        <v>2301</v>
      </c>
      <c r="H470" s="11"/>
      <c r="I470" s="11" t="s">
        <v>3364</v>
      </c>
      <c r="J470" s="11" t="s">
        <v>2303</v>
      </c>
      <c r="K470" s="11" t="s">
        <v>997</v>
      </c>
      <c r="L470" s="11" t="s">
        <v>3365</v>
      </c>
      <c r="M470" s="11" t="s">
        <v>1471</v>
      </c>
      <c r="N470" s="14" t="n">
        <v>2</v>
      </c>
      <c r="O470" s="14" t="n">
        <v>2</v>
      </c>
      <c r="P470" s="14" t="n">
        <v>1</v>
      </c>
      <c r="Q470" s="14"/>
      <c r="R470" s="12" t="n">
        <f aca="false">IF(OR(N470="",P470=""),"",ROUND(N470*O470/P470,1))</f>
        <v>4</v>
      </c>
      <c r="S470" s="13" t="n">
        <f aca="false">IF(R470="","",IF(Q470="Y",1,IF(P470&gt;='Read me'!$B$16,3,IF(AND(R470&gt;='Read me'!$B$14,P470&lt;='Read me'!$B$15),1,2))))</f>
        <v>2</v>
      </c>
    </row>
    <row r="471" customFormat="false" ht="35.05" hidden="false" customHeight="false" outlineLevel="0" collapsed="false">
      <c r="A471" s="11" t="s">
        <v>3366</v>
      </c>
      <c r="B471" s="11" t="s">
        <v>36</v>
      </c>
      <c r="C471" s="11" t="s">
        <v>166</v>
      </c>
      <c r="D471" s="11" t="s">
        <v>167</v>
      </c>
      <c r="E471" s="11" t="s">
        <v>476</v>
      </c>
      <c r="F471" s="11" t="s">
        <v>3367</v>
      </c>
      <c r="G471" s="11" t="s">
        <v>2160</v>
      </c>
      <c r="H471" s="11"/>
      <c r="I471" s="11" t="s">
        <v>3368</v>
      </c>
      <c r="J471" s="11" t="s">
        <v>3369</v>
      </c>
      <c r="K471" s="11" t="s">
        <v>3370</v>
      </c>
      <c r="L471" s="11" t="s">
        <v>3371</v>
      </c>
      <c r="M471" s="11"/>
      <c r="N471" s="14" t="n">
        <v>5</v>
      </c>
      <c r="O471" s="14" t="n">
        <v>4</v>
      </c>
      <c r="P471" s="14" t="n">
        <v>1</v>
      </c>
      <c r="Q471" s="14"/>
      <c r="R471" s="12" t="n">
        <f aca="false">IF(OR(N471="",P471=""),"",ROUND(N471*O471/P471,1))</f>
        <v>20</v>
      </c>
      <c r="S471" s="13" t="n">
        <f aca="false">IF(R471="","",IF(Q471="Y",1,IF(P471&gt;='Read me'!$B$16,3,IF(AND(R471&gt;='Read me'!$B$14,P471&lt;='Read me'!$B$15),1,2))))</f>
        <v>1</v>
      </c>
    </row>
    <row r="472" customFormat="false" ht="35.05" hidden="false" customHeight="false" outlineLevel="0" collapsed="false">
      <c r="A472" s="11" t="s">
        <v>3372</v>
      </c>
      <c r="B472" s="11" t="s">
        <v>36</v>
      </c>
      <c r="C472" s="11" t="s">
        <v>166</v>
      </c>
      <c r="D472" s="11" t="s">
        <v>167</v>
      </c>
      <c r="E472" s="11" t="s">
        <v>476</v>
      </c>
      <c r="F472" s="11" t="s">
        <v>3367</v>
      </c>
      <c r="G472" s="11" t="s">
        <v>1388</v>
      </c>
      <c r="H472" s="11"/>
      <c r="I472" s="11" t="s">
        <v>512</v>
      </c>
      <c r="J472" s="11" t="s">
        <v>3373</v>
      </c>
      <c r="K472" s="11" t="s">
        <v>3374</v>
      </c>
      <c r="L472" s="11" t="s">
        <v>3375</v>
      </c>
      <c r="M472" s="11" t="s">
        <v>3376</v>
      </c>
      <c r="N472" s="14" t="n">
        <v>3</v>
      </c>
      <c r="O472" s="14" t="n">
        <v>4</v>
      </c>
      <c r="P472" s="14" t="n">
        <v>2</v>
      </c>
      <c r="Q472" s="14"/>
      <c r="R472" s="12" t="n">
        <f aca="false">IF(OR(N472="",P472=""),"",ROUND(N472*O472/P472,1))</f>
        <v>6</v>
      </c>
      <c r="S472" s="13" t="n">
        <f aca="false">IF(R472="","",IF(Q472="Y",1,IF(P472&gt;='Read me'!$B$16,3,IF(AND(R472&gt;='Read me'!$B$14,P472&lt;='Read me'!$B$15),1,2))))</f>
        <v>1</v>
      </c>
    </row>
    <row r="473" customFormat="false" ht="23.85" hidden="false" customHeight="false" outlineLevel="0" collapsed="false">
      <c r="A473" s="11" t="s">
        <v>3377</v>
      </c>
      <c r="B473" s="11" t="s">
        <v>36</v>
      </c>
      <c r="C473" s="11" t="s">
        <v>166</v>
      </c>
      <c r="D473" s="11" t="s">
        <v>167</v>
      </c>
      <c r="E473" s="11" t="s">
        <v>476</v>
      </c>
      <c r="F473" s="11" t="s">
        <v>3367</v>
      </c>
      <c r="G473" s="11" t="s">
        <v>497</v>
      </c>
      <c r="H473" s="11"/>
      <c r="I473" s="11" t="s">
        <v>3378</v>
      </c>
      <c r="J473" s="11" t="s">
        <v>3379</v>
      </c>
      <c r="K473" s="11" t="s">
        <v>3380</v>
      </c>
      <c r="L473" s="11" t="s">
        <v>3381</v>
      </c>
      <c r="M473" s="11"/>
      <c r="N473" s="14" t="n">
        <v>4</v>
      </c>
      <c r="O473" s="14" t="n">
        <v>4</v>
      </c>
      <c r="P473" s="14" t="n">
        <v>2</v>
      </c>
      <c r="Q473" s="14"/>
      <c r="R473" s="12" t="n">
        <f aca="false">IF(OR(N473="",P473=""),"",ROUND(N473*O473/P473,1))</f>
        <v>8</v>
      </c>
      <c r="S473" s="13" t="n">
        <f aca="false">IF(R473="","",IF(Q473="Y",1,IF(P473&gt;='Read me'!$B$16,3,IF(AND(R473&gt;='Read me'!$B$14,P473&lt;='Read me'!$B$15),1,2))))</f>
        <v>1</v>
      </c>
    </row>
    <row r="474" customFormat="false" ht="23.85" hidden="false" customHeight="false" outlineLevel="0" collapsed="false">
      <c r="A474" s="11" t="s">
        <v>3382</v>
      </c>
      <c r="B474" s="11" t="s">
        <v>36</v>
      </c>
      <c r="C474" s="11" t="s">
        <v>166</v>
      </c>
      <c r="D474" s="11" t="s">
        <v>167</v>
      </c>
      <c r="E474" s="11" t="s">
        <v>476</v>
      </c>
      <c r="F474" s="11" t="s">
        <v>3367</v>
      </c>
      <c r="G474" s="11" t="s">
        <v>597</v>
      </c>
      <c r="H474" s="11"/>
      <c r="I474" s="11" t="s">
        <v>3383</v>
      </c>
      <c r="J474" s="11" t="s">
        <v>3384</v>
      </c>
      <c r="K474" s="11" t="s">
        <v>3385</v>
      </c>
      <c r="L474" s="11" t="s">
        <v>3386</v>
      </c>
      <c r="M474" s="11"/>
      <c r="N474" s="14" t="n">
        <v>3</v>
      </c>
      <c r="O474" s="14" t="n">
        <v>4</v>
      </c>
      <c r="P474" s="14" t="n">
        <v>1</v>
      </c>
      <c r="Q474" s="14"/>
      <c r="R474" s="12" t="n">
        <f aca="false">IF(OR(N474="",P474=""),"",ROUND(N474*O474/P474,1))</f>
        <v>12</v>
      </c>
      <c r="S474" s="13" t="n">
        <f aca="false">IF(R474="","",IF(Q474="Y",1,IF(P474&gt;='Read me'!$B$16,3,IF(AND(R474&gt;='Read me'!$B$14,P474&lt;='Read me'!$B$15),1,2))))</f>
        <v>1</v>
      </c>
    </row>
    <row r="475" customFormat="false" ht="23.85" hidden="false" customHeight="false" outlineLevel="0" collapsed="false">
      <c r="A475" s="11" t="s">
        <v>3387</v>
      </c>
      <c r="B475" s="11" t="s">
        <v>36</v>
      </c>
      <c r="C475" s="11" t="s">
        <v>166</v>
      </c>
      <c r="D475" s="11" t="s">
        <v>167</v>
      </c>
      <c r="E475" s="11" t="s">
        <v>476</v>
      </c>
      <c r="F475" s="11" t="s">
        <v>3367</v>
      </c>
      <c r="G475" s="11" t="s">
        <v>3388</v>
      </c>
      <c r="H475" s="11"/>
      <c r="I475" s="11" t="s">
        <v>3389</v>
      </c>
      <c r="J475" s="11" t="s">
        <v>3390</v>
      </c>
      <c r="K475" s="11" t="s">
        <v>3391</v>
      </c>
      <c r="L475" s="11" t="s">
        <v>3392</v>
      </c>
      <c r="M475" s="11"/>
      <c r="N475" s="14" t="n">
        <v>2</v>
      </c>
      <c r="O475" s="14" t="n">
        <v>3</v>
      </c>
      <c r="P475" s="14" t="n">
        <v>1</v>
      </c>
      <c r="Q475" s="14"/>
      <c r="R475" s="12" t="n">
        <f aca="false">IF(OR(N475="",P475=""),"",ROUND(N475*O475/P475,1))</f>
        <v>6</v>
      </c>
      <c r="S475" s="13" t="n">
        <f aca="false">IF(R475="","",IF(Q475="Y",1,IF(P475&gt;='Read me'!$B$16,3,IF(AND(R475&gt;='Read me'!$B$14,P475&lt;='Read me'!$B$15),1,2))))</f>
        <v>1</v>
      </c>
    </row>
    <row r="476" customFormat="false" ht="35.05" hidden="false" customHeight="false" outlineLevel="0" collapsed="false">
      <c r="A476" s="11" t="s">
        <v>3393</v>
      </c>
      <c r="B476" s="11" t="s">
        <v>36</v>
      </c>
      <c r="C476" s="11" t="s">
        <v>166</v>
      </c>
      <c r="D476" s="11" t="s">
        <v>167</v>
      </c>
      <c r="E476" s="11" t="s">
        <v>476</v>
      </c>
      <c r="F476" s="11" t="s">
        <v>3367</v>
      </c>
      <c r="G476" s="11" t="s">
        <v>3394</v>
      </c>
      <c r="H476" s="11"/>
      <c r="I476" s="11" t="s">
        <v>3395</v>
      </c>
      <c r="J476" s="11" t="s">
        <v>3396</v>
      </c>
      <c r="K476" s="11" t="s">
        <v>3397</v>
      </c>
      <c r="L476" s="11" t="s">
        <v>3398</v>
      </c>
      <c r="M476" s="11" t="s">
        <v>3399</v>
      </c>
      <c r="N476" s="14" t="n">
        <v>3</v>
      </c>
      <c r="O476" s="14" t="n">
        <v>3</v>
      </c>
      <c r="P476" s="14" t="n">
        <v>2</v>
      </c>
      <c r="Q476" s="14"/>
      <c r="R476" s="12" t="n">
        <f aca="false">IF(OR(N476="",P476=""),"",ROUND(N476*O476/P476,1))</f>
        <v>4.5</v>
      </c>
      <c r="S476" s="13" t="n">
        <f aca="false">IF(R476="","",IF(Q476="Y",1,IF(P476&gt;='Read me'!$B$16,3,IF(AND(R476&gt;='Read me'!$B$14,P476&lt;='Read me'!$B$15),1,2))))</f>
        <v>2</v>
      </c>
    </row>
    <row r="477" customFormat="false" ht="23.85" hidden="false" customHeight="false" outlineLevel="0" collapsed="false">
      <c r="A477" s="11" t="s">
        <v>3400</v>
      </c>
      <c r="B477" s="11" t="s">
        <v>36</v>
      </c>
      <c r="C477" s="11" t="s">
        <v>166</v>
      </c>
      <c r="D477" s="11" t="s">
        <v>167</v>
      </c>
      <c r="E477" s="11" t="s">
        <v>532</v>
      </c>
      <c r="F477" s="11" t="s">
        <v>3401</v>
      </c>
      <c r="G477" s="11" t="s">
        <v>3402</v>
      </c>
      <c r="H477" s="11"/>
      <c r="I477" s="11" t="s">
        <v>3403</v>
      </c>
      <c r="J477" s="11" t="s">
        <v>3404</v>
      </c>
      <c r="K477" s="11" t="s">
        <v>3405</v>
      </c>
      <c r="L477" s="11" t="s">
        <v>3406</v>
      </c>
      <c r="M477" s="11"/>
      <c r="N477" s="14" t="n">
        <v>5</v>
      </c>
      <c r="O477" s="14" t="n">
        <v>5</v>
      </c>
      <c r="P477" s="14" t="n">
        <v>2</v>
      </c>
      <c r="Q477" s="14"/>
      <c r="R477" s="12" t="n">
        <f aca="false">IF(OR(N477="",P477=""),"",ROUND(N477*O477/P477,1))</f>
        <v>12.5</v>
      </c>
      <c r="S477" s="13" t="n">
        <f aca="false">IF(R477="","",IF(Q477="Y",1,IF(P477&gt;='Read me'!$B$16,3,IF(AND(R477&gt;='Read me'!$B$14,P477&lt;='Read me'!$B$15),1,2))))</f>
        <v>1</v>
      </c>
    </row>
    <row r="478" customFormat="false" ht="23.85" hidden="false" customHeight="false" outlineLevel="0" collapsed="false">
      <c r="A478" s="11" t="s">
        <v>3407</v>
      </c>
      <c r="B478" s="11" t="s">
        <v>36</v>
      </c>
      <c r="C478" s="11" t="s">
        <v>166</v>
      </c>
      <c r="D478" s="11" t="s">
        <v>167</v>
      </c>
      <c r="E478" s="11" t="s">
        <v>532</v>
      </c>
      <c r="F478" s="11" t="s">
        <v>3401</v>
      </c>
      <c r="G478" s="11" t="s">
        <v>540</v>
      </c>
      <c r="H478" s="11"/>
      <c r="I478" s="11" t="s">
        <v>3408</v>
      </c>
      <c r="J478" s="11" t="s">
        <v>3409</v>
      </c>
      <c r="K478" s="11" t="s">
        <v>3410</v>
      </c>
      <c r="L478" s="11" t="s">
        <v>3411</v>
      </c>
      <c r="M478" s="11"/>
      <c r="N478" s="14" t="n">
        <v>3</v>
      </c>
      <c r="O478" s="14" t="n">
        <v>3</v>
      </c>
      <c r="P478" s="14" t="n">
        <v>2</v>
      </c>
      <c r="Q478" s="14"/>
      <c r="R478" s="12" t="n">
        <f aca="false">IF(OR(N478="",P478=""),"",ROUND(N478*O478/P478,1))</f>
        <v>4.5</v>
      </c>
      <c r="S478" s="13" t="n">
        <f aca="false">IF(R478="","",IF(Q478="Y",1,IF(P478&gt;='Read me'!$B$16,3,IF(AND(R478&gt;='Read me'!$B$14,P478&lt;='Read me'!$B$15),1,2))))</f>
        <v>2</v>
      </c>
    </row>
    <row r="479" customFormat="false" ht="35.05" hidden="false" customHeight="false" outlineLevel="0" collapsed="false">
      <c r="A479" s="11" t="s">
        <v>3412</v>
      </c>
      <c r="B479" s="11" t="s">
        <v>36</v>
      </c>
      <c r="C479" s="11" t="s">
        <v>166</v>
      </c>
      <c r="D479" s="11" t="s">
        <v>167</v>
      </c>
      <c r="E479" s="11" t="s">
        <v>532</v>
      </c>
      <c r="F479" s="11" t="s">
        <v>3401</v>
      </c>
      <c r="G479" s="11" t="s">
        <v>881</v>
      </c>
      <c r="H479" s="11"/>
      <c r="I479" s="11" t="s">
        <v>3413</v>
      </c>
      <c r="J479" s="11" t="s">
        <v>3414</v>
      </c>
      <c r="K479" s="11" t="s">
        <v>3415</v>
      </c>
      <c r="L479" s="11" t="s">
        <v>3416</v>
      </c>
      <c r="M479" s="11"/>
      <c r="N479" s="14" t="n">
        <v>3</v>
      </c>
      <c r="O479" s="14" t="n">
        <v>4</v>
      </c>
      <c r="P479" s="14" t="n">
        <v>2</v>
      </c>
      <c r="Q479" s="14"/>
      <c r="R479" s="12" t="n">
        <f aca="false">IF(OR(N479="",P479=""),"",ROUND(N479*O479/P479,1))</f>
        <v>6</v>
      </c>
      <c r="S479" s="13" t="n">
        <f aca="false">IF(R479="","",IF(Q479="Y",1,IF(P479&gt;='Read me'!$B$16,3,IF(AND(R479&gt;='Read me'!$B$14,P479&lt;='Read me'!$B$15),1,2))))</f>
        <v>1</v>
      </c>
    </row>
    <row r="480" customFormat="false" ht="23.85" hidden="false" customHeight="false" outlineLevel="0" collapsed="false">
      <c r="A480" s="11" t="s">
        <v>3417</v>
      </c>
      <c r="B480" s="11" t="s">
        <v>36</v>
      </c>
      <c r="C480" s="11" t="s">
        <v>166</v>
      </c>
      <c r="D480" s="11" t="s">
        <v>167</v>
      </c>
      <c r="E480" s="11" t="s">
        <v>532</v>
      </c>
      <c r="F480" s="11" t="s">
        <v>3418</v>
      </c>
      <c r="G480" s="11" t="s">
        <v>3419</v>
      </c>
      <c r="H480" s="11"/>
      <c r="I480" s="11" t="s">
        <v>3420</v>
      </c>
      <c r="J480" s="11" t="s">
        <v>3421</v>
      </c>
      <c r="K480" s="11" t="s">
        <v>3422</v>
      </c>
      <c r="L480" s="11" t="s">
        <v>3423</v>
      </c>
      <c r="M480" s="11"/>
      <c r="N480" s="14" t="n">
        <v>3</v>
      </c>
      <c r="O480" s="14" t="n">
        <v>5</v>
      </c>
      <c r="P480" s="14" t="n">
        <v>2</v>
      </c>
      <c r="Q480" s="14"/>
      <c r="R480" s="12" t="n">
        <f aca="false">IF(OR(N480="",P480=""),"",ROUND(N480*O480/P480,1))</f>
        <v>7.5</v>
      </c>
      <c r="S480" s="13" t="n">
        <f aca="false">IF(R480="","",IF(Q480="Y",1,IF(P480&gt;='Read me'!$B$16,3,IF(AND(R480&gt;='Read me'!$B$14,P480&lt;='Read me'!$B$15),1,2))))</f>
        <v>1</v>
      </c>
    </row>
    <row r="481" customFormat="false" ht="23.85" hidden="false" customHeight="false" outlineLevel="0" collapsed="false">
      <c r="A481" s="11" t="s">
        <v>3424</v>
      </c>
      <c r="B481" s="11" t="s">
        <v>36</v>
      </c>
      <c r="C481" s="11" t="s">
        <v>166</v>
      </c>
      <c r="D481" s="11" t="s">
        <v>167</v>
      </c>
      <c r="E481" s="11" t="s">
        <v>532</v>
      </c>
      <c r="F481" s="11" t="s">
        <v>3418</v>
      </c>
      <c r="G481" s="11" t="s">
        <v>1479</v>
      </c>
      <c r="H481" s="11"/>
      <c r="I481" s="11" t="s">
        <v>3425</v>
      </c>
      <c r="J481" s="11" t="s">
        <v>3426</v>
      </c>
      <c r="K481" s="11" t="s">
        <v>3427</v>
      </c>
      <c r="L481" s="11" t="s">
        <v>3428</v>
      </c>
      <c r="M481" s="11"/>
      <c r="N481" s="14" t="n">
        <v>2</v>
      </c>
      <c r="O481" s="14" t="n">
        <v>4</v>
      </c>
      <c r="P481" s="14" t="n">
        <v>2</v>
      </c>
      <c r="Q481" s="14"/>
      <c r="R481" s="12" t="n">
        <f aca="false">IF(OR(N481="",P481=""),"",ROUND(N481*O481/P481,1))</f>
        <v>4</v>
      </c>
      <c r="S481" s="13" t="n">
        <f aca="false">IF(R481="","",IF(Q481="Y",1,IF(P481&gt;='Read me'!$B$16,3,IF(AND(R481&gt;='Read me'!$B$14,P481&lt;='Read me'!$B$15),1,2))))</f>
        <v>2</v>
      </c>
    </row>
    <row r="482" customFormat="false" ht="35.05" hidden="false" customHeight="false" outlineLevel="0" collapsed="false">
      <c r="A482" s="11" t="s">
        <v>3429</v>
      </c>
      <c r="B482" s="11" t="s">
        <v>36</v>
      </c>
      <c r="C482" s="11" t="s">
        <v>166</v>
      </c>
      <c r="D482" s="11" t="s">
        <v>167</v>
      </c>
      <c r="E482" s="11" t="s">
        <v>532</v>
      </c>
      <c r="F482" s="11" t="s">
        <v>3401</v>
      </c>
      <c r="G482" s="11" t="s">
        <v>1473</v>
      </c>
      <c r="H482" s="11"/>
      <c r="I482" s="11" t="s">
        <v>3430</v>
      </c>
      <c r="J482" s="11" t="s">
        <v>3431</v>
      </c>
      <c r="K482" s="11" t="s">
        <v>3432</v>
      </c>
      <c r="L482" s="11" t="s">
        <v>3433</v>
      </c>
      <c r="M482" s="11" t="s">
        <v>3434</v>
      </c>
      <c r="N482" s="14" t="n">
        <v>2</v>
      </c>
      <c r="O482" s="14" t="n">
        <v>4</v>
      </c>
      <c r="P482" s="14" t="n">
        <v>4</v>
      </c>
      <c r="Q482" s="14"/>
      <c r="R482" s="12" t="n">
        <f aca="false">IF(OR(N482="",P482=""),"",ROUND(N482*O482/P482,1))</f>
        <v>2</v>
      </c>
      <c r="S482" s="13" t="n">
        <f aca="false">IF(R482="","",IF(Q482="Y",1,IF(P482&gt;='Read me'!$B$16,3,IF(AND(R482&gt;='Read me'!$B$14,P482&lt;='Read me'!$B$15),1,2))))</f>
        <v>3</v>
      </c>
    </row>
    <row r="483" customFormat="false" ht="23.85" hidden="false" customHeight="false" outlineLevel="0" collapsed="false">
      <c r="A483" s="11" t="s">
        <v>3435</v>
      </c>
      <c r="B483" s="11" t="s">
        <v>36</v>
      </c>
      <c r="C483" s="11" t="s">
        <v>166</v>
      </c>
      <c r="D483" s="11" t="s">
        <v>167</v>
      </c>
      <c r="E483" s="11" t="s">
        <v>532</v>
      </c>
      <c r="F483" s="11" t="s">
        <v>3401</v>
      </c>
      <c r="G483" s="11" t="s">
        <v>1634</v>
      </c>
      <c r="H483" s="11"/>
      <c r="I483" s="11" t="s">
        <v>3436</v>
      </c>
      <c r="J483" s="11" t="s">
        <v>3437</v>
      </c>
      <c r="K483" s="11" t="s">
        <v>717</v>
      </c>
      <c r="L483" s="11" t="s">
        <v>3438</v>
      </c>
      <c r="M483" s="11"/>
      <c r="N483" s="14" t="n">
        <v>2</v>
      </c>
      <c r="O483" s="14" t="n">
        <v>4</v>
      </c>
      <c r="P483" s="14" t="n">
        <v>2</v>
      </c>
      <c r="Q483" s="14"/>
      <c r="R483" s="12" t="n">
        <f aca="false">IF(OR(N483="",P483=""),"",ROUND(N483*O483/P483,1))</f>
        <v>4</v>
      </c>
      <c r="S483" s="13" t="n">
        <f aca="false">IF(R483="","",IF(Q483="Y",1,IF(P483&gt;='Read me'!$B$16,3,IF(AND(R483&gt;='Read me'!$B$14,P483&lt;='Read me'!$B$15),1,2))))</f>
        <v>2</v>
      </c>
    </row>
    <row r="484" customFormat="false" ht="23.85" hidden="false" customHeight="false" outlineLevel="0" collapsed="false">
      <c r="A484" s="11" t="s">
        <v>3439</v>
      </c>
      <c r="B484" s="11" t="s">
        <v>36</v>
      </c>
      <c r="C484" s="11" t="s">
        <v>166</v>
      </c>
      <c r="D484" s="11" t="s">
        <v>167</v>
      </c>
      <c r="E484" s="11" t="s">
        <v>532</v>
      </c>
      <c r="F484" s="11" t="s">
        <v>3401</v>
      </c>
      <c r="G484" s="11" t="s">
        <v>3440</v>
      </c>
      <c r="H484" s="11"/>
      <c r="I484" s="11" t="s">
        <v>3441</v>
      </c>
      <c r="J484" s="11" t="s">
        <v>3442</v>
      </c>
      <c r="K484" s="11" t="s">
        <v>3043</v>
      </c>
      <c r="L484" s="11" t="s">
        <v>3443</v>
      </c>
      <c r="M484" s="11"/>
      <c r="N484" s="14" t="n">
        <v>2</v>
      </c>
      <c r="O484" s="14" t="n">
        <v>4</v>
      </c>
      <c r="P484" s="14" t="n">
        <v>2</v>
      </c>
      <c r="Q484" s="14"/>
      <c r="R484" s="12" t="n">
        <f aca="false">IF(OR(N484="",P484=""),"",ROUND(N484*O484/P484,1))</f>
        <v>4</v>
      </c>
      <c r="S484" s="13" t="n">
        <f aca="false">IF(R484="","",IF(Q484="Y",1,IF(P484&gt;='Read me'!$B$16,3,IF(AND(R484&gt;='Read me'!$B$14,P484&lt;='Read me'!$B$15),1,2))))</f>
        <v>2</v>
      </c>
    </row>
    <row r="485" customFormat="false" ht="23.85" hidden="false" customHeight="false" outlineLevel="0" collapsed="false">
      <c r="A485" s="11" t="s">
        <v>3444</v>
      </c>
      <c r="B485" s="11" t="s">
        <v>36</v>
      </c>
      <c r="C485" s="11" t="s">
        <v>166</v>
      </c>
      <c r="D485" s="11" t="s">
        <v>167</v>
      </c>
      <c r="E485" s="11" t="s">
        <v>532</v>
      </c>
      <c r="F485" s="11" t="s">
        <v>3401</v>
      </c>
      <c r="G485" s="11" t="s">
        <v>3402</v>
      </c>
      <c r="H485" s="11" t="s">
        <v>3445</v>
      </c>
      <c r="I485" s="11" t="s">
        <v>3446</v>
      </c>
      <c r="J485" s="11" t="s">
        <v>3447</v>
      </c>
      <c r="K485" s="11" t="s">
        <v>3448</v>
      </c>
      <c r="L485" s="11" t="s">
        <v>3449</v>
      </c>
      <c r="M485" s="11"/>
      <c r="N485" s="14" t="n">
        <v>3</v>
      </c>
      <c r="O485" s="14" t="n">
        <v>3</v>
      </c>
      <c r="P485" s="14" t="n">
        <v>2</v>
      </c>
      <c r="Q485" s="14"/>
      <c r="R485" s="12" t="n">
        <f aca="false">IF(OR(N485="",P485=""),"",ROUND(N485*O485/P485,1))</f>
        <v>4.5</v>
      </c>
      <c r="S485" s="13" t="n">
        <f aca="false">IF(R485="","",IF(Q485="Y",1,IF(P485&gt;='Read me'!$B$16,3,IF(AND(R485&gt;='Read me'!$B$14,P485&lt;='Read me'!$B$15),1,2))))</f>
        <v>2</v>
      </c>
    </row>
    <row r="486" customFormat="false" ht="35.05" hidden="false" customHeight="false" outlineLevel="0" collapsed="false">
      <c r="A486" s="11" t="s">
        <v>3450</v>
      </c>
      <c r="B486" s="11" t="s">
        <v>36</v>
      </c>
      <c r="C486" s="11" t="s">
        <v>166</v>
      </c>
      <c r="D486" s="11" t="s">
        <v>167</v>
      </c>
      <c r="E486" s="11" t="s">
        <v>532</v>
      </c>
      <c r="F486" s="11" t="s">
        <v>3401</v>
      </c>
      <c r="G486" s="11" t="s">
        <v>3402</v>
      </c>
      <c r="H486" s="11" t="s">
        <v>612</v>
      </c>
      <c r="I486" s="11" t="s">
        <v>614</v>
      </c>
      <c r="J486" s="11" t="s">
        <v>3451</v>
      </c>
      <c r="K486" s="11" t="s">
        <v>3452</v>
      </c>
      <c r="L486" s="11" t="s">
        <v>3453</v>
      </c>
      <c r="M486" s="11"/>
      <c r="N486" s="14" t="n">
        <v>2</v>
      </c>
      <c r="O486" s="14" t="n">
        <v>2</v>
      </c>
      <c r="P486" s="14" t="n">
        <v>2</v>
      </c>
      <c r="Q486" s="14"/>
      <c r="R486" s="12" t="n">
        <f aca="false">IF(OR(N486="",P486=""),"",ROUND(N486*O486/P486,1))</f>
        <v>2</v>
      </c>
      <c r="S486" s="13" t="n">
        <f aca="false">IF(R486="","",IF(Q486="Y",1,IF(P486&gt;='Read me'!$B$16,3,IF(AND(R486&gt;='Read me'!$B$14,P486&lt;='Read me'!$B$15),1,2))))</f>
        <v>2</v>
      </c>
    </row>
    <row r="487" customFormat="false" ht="23.85" hidden="false" customHeight="false" outlineLevel="0" collapsed="false">
      <c r="A487" s="11" t="s">
        <v>3454</v>
      </c>
      <c r="B487" s="11" t="s">
        <v>36</v>
      </c>
      <c r="C487" s="11" t="s">
        <v>166</v>
      </c>
      <c r="D487" s="11" t="s">
        <v>167</v>
      </c>
      <c r="E487" s="11" t="s">
        <v>532</v>
      </c>
      <c r="F487" s="11" t="s">
        <v>3401</v>
      </c>
      <c r="G487" s="11" t="s">
        <v>3402</v>
      </c>
      <c r="H487" s="11" t="s">
        <v>3455</v>
      </c>
      <c r="I487" s="11" t="s">
        <v>3456</v>
      </c>
      <c r="J487" s="11" t="s">
        <v>3457</v>
      </c>
      <c r="K487" s="11" t="s">
        <v>3458</v>
      </c>
      <c r="L487" s="11" t="s">
        <v>3459</v>
      </c>
      <c r="M487" s="11"/>
      <c r="N487" s="14" t="n">
        <v>2</v>
      </c>
      <c r="O487" s="14" t="n">
        <v>2</v>
      </c>
      <c r="P487" s="14" t="n">
        <v>1</v>
      </c>
      <c r="Q487" s="14"/>
      <c r="R487" s="12" t="n">
        <f aca="false">IF(OR(N487="",P487=""),"",ROUND(N487*O487/P487,1))</f>
        <v>4</v>
      </c>
      <c r="S487" s="13" t="n">
        <f aca="false">IF(R487="","",IF(Q487="Y",1,IF(P487&gt;='Read me'!$B$16,3,IF(AND(R487&gt;='Read me'!$B$14,P487&lt;='Read me'!$B$15),1,2))))</f>
        <v>2</v>
      </c>
    </row>
    <row r="488" customFormat="false" ht="23.85" hidden="false" customHeight="false" outlineLevel="0" collapsed="false">
      <c r="A488" s="11" t="s">
        <v>3460</v>
      </c>
      <c r="B488" s="11" t="s">
        <v>36</v>
      </c>
      <c r="C488" s="11" t="s">
        <v>166</v>
      </c>
      <c r="D488" s="11" t="s">
        <v>167</v>
      </c>
      <c r="E488" s="11" t="s">
        <v>532</v>
      </c>
      <c r="F488" s="11" t="s">
        <v>3461</v>
      </c>
      <c r="G488" s="11" t="s">
        <v>3462</v>
      </c>
      <c r="H488" s="11"/>
      <c r="I488" s="11" t="s">
        <v>3463</v>
      </c>
      <c r="J488" s="11" t="s">
        <v>3464</v>
      </c>
      <c r="K488" s="11" t="s">
        <v>3422</v>
      </c>
      <c r="L488" s="11" t="s">
        <v>3465</v>
      </c>
      <c r="M488" s="11"/>
      <c r="N488" s="14" t="n">
        <v>2</v>
      </c>
      <c r="O488" s="14" t="n">
        <v>4</v>
      </c>
      <c r="P488" s="14" t="n">
        <v>1</v>
      </c>
      <c r="Q488" s="14"/>
      <c r="R488" s="12" t="n">
        <f aca="false">IF(OR(N488="",P488=""),"",ROUND(N488*O488/P488,1))</f>
        <v>8</v>
      </c>
      <c r="S488" s="13" t="n">
        <f aca="false">IF(R488="","",IF(Q488="Y",1,IF(P488&gt;='Read me'!$B$16,3,IF(AND(R488&gt;='Read me'!$B$14,P488&lt;='Read me'!$B$15),1,2))))</f>
        <v>1</v>
      </c>
    </row>
    <row r="489" customFormat="false" ht="23.85" hidden="false" customHeight="false" outlineLevel="0" collapsed="false">
      <c r="A489" s="11" t="s">
        <v>3466</v>
      </c>
      <c r="B489" s="11" t="s">
        <v>36</v>
      </c>
      <c r="C489" s="11" t="s">
        <v>166</v>
      </c>
      <c r="D489" s="11" t="s">
        <v>167</v>
      </c>
      <c r="E489" s="11" t="s">
        <v>626</v>
      </c>
      <c r="F489" s="11" t="s">
        <v>3467</v>
      </c>
      <c r="G489" s="11" t="s">
        <v>497</v>
      </c>
      <c r="H489" s="11"/>
      <c r="I489" s="11" t="s">
        <v>3468</v>
      </c>
      <c r="J489" s="11" t="s">
        <v>3469</v>
      </c>
      <c r="K489" s="11" t="s">
        <v>529</v>
      </c>
      <c r="L489" s="11" t="s">
        <v>3470</v>
      </c>
      <c r="M489" s="11"/>
      <c r="N489" s="14" t="n">
        <v>3</v>
      </c>
      <c r="O489" s="14" t="n">
        <v>3</v>
      </c>
      <c r="P489" s="14" t="n">
        <v>1</v>
      </c>
      <c r="Q489" s="14"/>
      <c r="R489" s="12" t="n">
        <f aca="false">IF(OR(N489="",P489=""),"",ROUND(N489*O489/P489,1))</f>
        <v>9</v>
      </c>
      <c r="S489" s="13" t="n">
        <f aca="false">IF(R489="","",IF(Q489="Y",1,IF(P489&gt;='Read me'!$B$16,3,IF(AND(R489&gt;='Read me'!$B$14,P489&lt;='Read me'!$B$15),1,2))))</f>
        <v>1</v>
      </c>
    </row>
    <row r="490" customFormat="false" ht="23.85" hidden="false" customHeight="false" outlineLevel="0" collapsed="false">
      <c r="A490" s="11" t="s">
        <v>3471</v>
      </c>
      <c r="B490" s="11" t="s">
        <v>36</v>
      </c>
      <c r="C490" s="11" t="s">
        <v>166</v>
      </c>
      <c r="D490" s="11" t="s">
        <v>167</v>
      </c>
      <c r="E490" s="11" t="s">
        <v>626</v>
      </c>
      <c r="F490" s="11" t="s">
        <v>3472</v>
      </c>
      <c r="G490" s="11"/>
      <c r="H490" s="11"/>
      <c r="I490" s="11" t="s">
        <v>3473</v>
      </c>
      <c r="J490" s="11" t="s">
        <v>3474</v>
      </c>
      <c r="K490" s="11" t="s">
        <v>3475</v>
      </c>
      <c r="L490" s="11" t="s">
        <v>3476</v>
      </c>
      <c r="M490" s="11"/>
      <c r="N490" s="14" t="n">
        <v>4</v>
      </c>
      <c r="O490" s="14" t="n">
        <v>3</v>
      </c>
      <c r="P490" s="14" t="n">
        <v>2</v>
      </c>
      <c r="Q490" s="14"/>
      <c r="R490" s="12" t="n">
        <f aca="false">IF(OR(N490="",P490=""),"",ROUND(N490*O490/P490,1))</f>
        <v>6</v>
      </c>
      <c r="S490" s="13" t="n">
        <f aca="false">IF(R490="","",IF(Q490="Y",1,IF(P490&gt;='Read me'!$B$16,3,IF(AND(R490&gt;='Read me'!$B$14,P490&lt;='Read me'!$B$15),1,2))))</f>
        <v>1</v>
      </c>
    </row>
    <row r="491" customFormat="false" ht="23.85" hidden="false" customHeight="false" outlineLevel="0" collapsed="false">
      <c r="A491" s="11" t="s">
        <v>3477</v>
      </c>
      <c r="B491" s="11" t="s">
        <v>36</v>
      </c>
      <c r="C491" s="11" t="s">
        <v>166</v>
      </c>
      <c r="D491" s="11" t="s">
        <v>167</v>
      </c>
      <c r="E491" s="11" t="s">
        <v>626</v>
      </c>
      <c r="F491" s="11" t="s">
        <v>3478</v>
      </c>
      <c r="G491" s="11" t="s">
        <v>3479</v>
      </c>
      <c r="H491" s="11"/>
      <c r="I491" s="11" t="s">
        <v>3480</v>
      </c>
      <c r="J491" s="11" t="s">
        <v>3481</v>
      </c>
      <c r="K491" s="11" t="s">
        <v>3475</v>
      </c>
      <c r="L491" s="11" t="s">
        <v>3482</v>
      </c>
      <c r="M491" s="11"/>
      <c r="N491" s="14" t="n">
        <v>2</v>
      </c>
      <c r="O491" s="14" t="n">
        <v>2</v>
      </c>
      <c r="P491" s="14" t="n">
        <v>2</v>
      </c>
      <c r="Q491" s="14"/>
      <c r="R491" s="12" t="n">
        <f aca="false">IF(OR(N491="",P491=""),"",ROUND(N491*O491/P491,1))</f>
        <v>2</v>
      </c>
      <c r="S491" s="13" t="n">
        <f aca="false">IF(R491="","",IF(Q491="Y",1,IF(P491&gt;='Read me'!$B$16,3,IF(AND(R491&gt;='Read me'!$B$14,P491&lt;='Read me'!$B$15),1,2))))</f>
        <v>2</v>
      </c>
    </row>
    <row r="492" customFormat="false" ht="23.85" hidden="false" customHeight="false" outlineLevel="0" collapsed="false">
      <c r="A492" s="11" t="s">
        <v>3483</v>
      </c>
      <c r="B492" s="11" t="s">
        <v>36</v>
      </c>
      <c r="C492" s="11" t="s">
        <v>166</v>
      </c>
      <c r="D492" s="11" t="s">
        <v>167</v>
      </c>
      <c r="E492" s="11" t="s">
        <v>626</v>
      </c>
      <c r="F492" s="11" t="s">
        <v>3484</v>
      </c>
      <c r="G492" s="11"/>
      <c r="H492" s="11"/>
      <c r="I492" s="11" t="s">
        <v>3485</v>
      </c>
      <c r="J492" s="11" t="s">
        <v>3486</v>
      </c>
      <c r="K492" s="11" t="s">
        <v>3487</v>
      </c>
      <c r="L492" s="11" t="s">
        <v>3488</v>
      </c>
      <c r="M492" s="11"/>
      <c r="N492" s="14" t="n">
        <v>3</v>
      </c>
      <c r="O492" s="14" t="n">
        <v>3</v>
      </c>
      <c r="P492" s="14" t="n">
        <v>1</v>
      </c>
      <c r="Q492" s="14"/>
      <c r="R492" s="12" t="n">
        <f aca="false">IF(OR(N492="",P492=""),"",ROUND(N492*O492/P492,1))</f>
        <v>9</v>
      </c>
      <c r="S492" s="13" t="n">
        <f aca="false">IF(R492="","",IF(Q492="Y",1,IF(P492&gt;='Read me'!$B$16,3,IF(AND(R492&gt;='Read me'!$B$14,P492&lt;='Read me'!$B$15),1,2))))</f>
        <v>1</v>
      </c>
    </row>
    <row r="493" customFormat="false" ht="35.05" hidden="false" customHeight="false" outlineLevel="0" collapsed="false">
      <c r="A493" s="11" t="s">
        <v>3489</v>
      </c>
      <c r="B493" s="11" t="s">
        <v>36</v>
      </c>
      <c r="C493" s="11" t="s">
        <v>166</v>
      </c>
      <c r="D493" s="11" t="s">
        <v>167</v>
      </c>
      <c r="E493" s="11" t="s">
        <v>751</v>
      </c>
      <c r="F493" s="11" t="s">
        <v>1251</v>
      </c>
      <c r="G493" s="11" t="s">
        <v>1252</v>
      </c>
      <c r="H493" s="11"/>
      <c r="I493" s="11" t="s">
        <v>1251</v>
      </c>
      <c r="J493" s="11" t="s">
        <v>3490</v>
      </c>
      <c r="K493" s="11" t="s">
        <v>1575</v>
      </c>
      <c r="L493" s="11" t="s">
        <v>3491</v>
      </c>
      <c r="M493" s="11" t="s">
        <v>1577</v>
      </c>
      <c r="N493" s="14" t="n">
        <v>5</v>
      </c>
      <c r="O493" s="14" t="n">
        <v>5</v>
      </c>
      <c r="P493" s="14" t="n">
        <v>3</v>
      </c>
      <c r="Q493" s="14"/>
      <c r="R493" s="12" t="n">
        <f aca="false">IF(OR(N493="",P493=""),"",ROUND(N493*O493/P493,1))</f>
        <v>8.3</v>
      </c>
      <c r="S493" s="13" t="n">
        <f aca="false">IF(R493="","",IF(Q493="Y",1,IF(P493&gt;='Read me'!$B$16,3,IF(AND(R493&gt;='Read me'!$B$14,P493&lt;='Read me'!$B$15),1,2))))</f>
        <v>2</v>
      </c>
    </row>
    <row r="494" customFormat="false" ht="23.85" hidden="false" customHeight="false" outlineLevel="0" collapsed="false">
      <c r="A494" s="11" t="s">
        <v>3492</v>
      </c>
      <c r="B494" s="11" t="s">
        <v>36</v>
      </c>
      <c r="C494" s="11" t="s">
        <v>166</v>
      </c>
      <c r="D494" s="11" t="s">
        <v>167</v>
      </c>
      <c r="E494" s="11" t="s">
        <v>751</v>
      </c>
      <c r="F494" s="11" t="s">
        <v>1258</v>
      </c>
      <c r="G494" s="11" t="s">
        <v>1259</v>
      </c>
      <c r="H494" s="11"/>
      <c r="I494" s="11" t="s">
        <v>3493</v>
      </c>
      <c r="J494" s="11" t="s">
        <v>1579</v>
      </c>
      <c r="K494" s="11" t="s">
        <v>1262</v>
      </c>
      <c r="L494" s="11" t="s">
        <v>1263</v>
      </c>
      <c r="M494" s="11" t="s">
        <v>1577</v>
      </c>
      <c r="N494" s="14" t="n">
        <v>4</v>
      </c>
      <c r="O494" s="14" t="n">
        <v>5</v>
      </c>
      <c r="P494" s="14" t="n">
        <v>3</v>
      </c>
      <c r="Q494" s="14"/>
      <c r="R494" s="12" t="n">
        <f aca="false">IF(OR(N494="",P494=""),"",ROUND(N494*O494/P494,1))</f>
        <v>6.7</v>
      </c>
      <c r="S494" s="13" t="n">
        <f aca="false">IF(R494="","",IF(Q494="Y",1,IF(P494&gt;='Read me'!$B$16,3,IF(AND(R494&gt;='Read me'!$B$14,P494&lt;='Read me'!$B$15),1,2))))</f>
        <v>2</v>
      </c>
    </row>
    <row r="495" customFormat="false" ht="23.85" hidden="false" customHeight="false" outlineLevel="0" collapsed="false">
      <c r="A495" s="11" t="s">
        <v>3494</v>
      </c>
      <c r="B495" s="11" t="s">
        <v>36</v>
      </c>
      <c r="C495" s="11" t="s">
        <v>166</v>
      </c>
      <c r="D495" s="11" t="s">
        <v>167</v>
      </c>
      <c r="E495" s="11" t="s">
        <v>751</v>
      </c>
      <c r="F495" s="11" t="s">
        <v>1251</v>
      </c>
      <c r="G495" s="11" t="s">
        <v>1279</v>
      </c>
      <c r="H495" s="11" t="s">
        <v>1280</v>
      </c>
      <c r="I495" s="11" t="s">
        <v>3495</v>
      </c>
      <c r="J495" s="11" t="s">
        <v>3496</v>
      </c>
      <c r="K495" s="11" t="s">
        <v>1424</v>
      </c>
      <c r="L495" s="11" t="s">
        <v>3497</v>
      </c>
      <c r="M495" s="11"/>
      <c r="N495" s="14" t="n">
        <v>3</v>
      </c>
      <c r="O495" s="14" t="n">
        <v>3</v>
      </c>
      <c r="P495" s="14" t="n">
        <v>2</v>
      </c>
      <c r="Q495" s="14"/>
      <c r="R495" s="12" t="n">
        <f aca="false">IF(OR(N495="",P495=""),"",ROUND(N495*O495/P495,1))</f>
        <v>4.5</v>
      </c>
      <c r="S495" s="13" t="n">
        <f aca="false">IF(R495="","",IF(Q495="Y",1,IF(P495&gt;='Read me'!$B$16,3,IF(AND(R495&gt;='Read me'!$B$14,P495&lt;='Read me'!$B$15),1,2))))</f>
        <v>2</v>
      </c>
    </row>
    <row r="496" customFormat="false" ht="23.85" hidden="false" customHeight="false" outlineLevel="0" collapsed="false">
      <c r="A496" s="11" t="s">
        <v>3498</v>
      </c>
      <c r="B496" s="11" t="s">
        <v>36</v>
      </c>
      <c r="C496" s="11" t="s">
        <v>166</v>
      </c>
      <c r="D496" s="11" t="s">
        <v>167</v>
      </c>
      <c r="E496" s="11" t="s">
        <v>751</v>
      </c>
      <c r="F496" s="11" t="s">
        <v>3499</v>
      </c>
      <c r="G496" s="11" t="s">
        <v>1267</v>
      </c>
      <c r="H496" s="11" t="s">
        <v>1284</v>
      </c>
      <c r="I496" s="11" t="s">
        <v>754</v>
      </c>
      <c r="J496" s="11" t="s">
        <v>1593</v>
      </c>
      <c r="K496" s="11" t="s">
        <v>3500</v>
      </c>
      <c r="L496" s="11" t="s">
        <v>3501</v>
      </c>
      <c r="M496" s="11"/>
      <c r="N496" s="14" t="n">
        <v>2</v>
      </c>
      <c r="O496" s="14" t="n">
        <v>3</v>
      </c>
      <c r="P496" s="14" t="n">
        <v>4</v>
      </c>
      <c r="Q496" s="14"/>
      <c r="R496" s="12" t="n">
        <f aca="false">IF(OR(N496="",P496=""),"",ROUND(N496*O496/P496,1))</f>
        <v>1.5</v>
      </c>
      <c r="S496" s="13" t="n">
        <f aca="false">IF(R496="","",IF(Q496="Y",1,IF(P496&gt;='Read me'!$B$16,3,IF(AND(R496&gt;='Read me'!$B$14,P496&lt;='Read me'!$B$15),1,2))))</f>
        <v>3</v>
      </c>
    </row>
    <row r="497" customFormat="false" ht="23.85" hidden="false" customHeight="false" outlineLevel="0" collapsed="false">
      <c r="A497" s="11" t="s">
        <v>3502</v>
      </c>
      <c r="B497" s="11" t="s">
        <v>36</v>
      </c>
      <c r="C497" s="11" t="s">
        <v>166</v>
      </c>
      <c r="D497" s="11" t="s">
        <v>167</v>
      </c>
      <c r="E497" s="11" t="s">
        <v>751</v>
      </c>
      <c r="F497" s="11" t="s">
        <v>3503</v>
      </c>
      <c r="G497" s="11"/>
      <c r="H497" s="11" t="s">
        <v>1564</v>
      </c>
      <c r="I497" s="11" t="s">
        <v>754</v>
      </c>
      <c r="J497" s="11" t="s">
        <v>3504</v>
      </c>
      <c r="K497" s="11" t="s">
        <v>683</v>
      </c>
      <c r="L497" s="11" t="s">
        <v>3505</v>
      </c>
      <c r="M497" s="11"/>
      <c r="N497" s="14" t="n">
        <v>3</v>
      </c>
      <c r="O497" s="14" t="n">
        <v>3</v>
      </c>
      <c r="P497" s="14" t="n">
        <v>4</v>
      </c>
      <c r="Q497" s="14"/>
      <c r="R497" s="12" t="n">
        <f aca="false">IF(OR(N497="",P497=""),"",ROUND(N497*O497/P497,1))</f>
        <v>2.3</v>
      </c>
      <c r="S497" s="13" t="n">
        <f aca="false">IF(R497="","",IF(Q497="Y",1,IF(P497&gt;='Read me'!$B$16,3,IF(AND(R497&gt;='Read me'!$B$14,P497&lt;='Read me'!$B$15),1,2))))</f>
        <v>3</v>
      </c>
    </row>
    <row r="498" customFormat="false" ht="35.05" hidden="false" customHeight="false" outlineLevel="0" collapsed="false">
      <c r="A498" s="11" t="s">
        <v>3506</v>
      </c>
      <c r="B498" s="11" t="s">
        <v>36</v>
      </c>
      <c r="C498" s="11" t="s">
        <v>166</v>
      </c>
      <c r="D498" s="11" t="s">
        <v>167</v>
      </c>
      <c r="E498" s="11" t="s">
        <v>751</v>
      </c>
      <c r="F498" s="11" t="s">
        <v>3507</v>
      </c>
      <c r="G498" s="11" t="s">
        <v>3508</v>
      </c>
      <c r="H498" s="11"/>
      <c r="I498" s="11" t="s">
        <v>3509</v>
      </c>
      <c r="J498" s="11" t="s">
        <v>3510</v>
      </c>
      <c r="K498" s="11" t="s">
        <v>1348</v>
      </c>
      <c r="L498" s="11" t="s">
        <v>3511</v>
      </c>
      <c r="M498" s="11" t="s">
        <v>3512</v>
      </c>
      <c r="N498" s="14" t="n">
        <v>2</v>
      </c>
      <c r="O498" s="14" t="n">
        <v>3</v>
      </c>
      <c r="P498" s="14" t="n">
        <v>3</v>
      </c>
      <c r="Q498" s="14"/>
      <c r="R498" s="12" t="n">
        <f aca="false">IF(OR(N498="",P498=""),"",ROUND(N498*O498/P498,1))</f>
        <v>2</v>
      </c>
      <c r="S498" s="13" t="n">
        <f aca="false">IF(R498="","",IF(Q498="Y",1,IF(P498&gt;='Read me'!$B$16,3,IF(AND(R498&gt;='Read me'!$B$14,P498&lt;='Read me'!$B$15),1,2))))</f>
        <v>2</v>
      </c>
    </row>
    <row r="499" customFormat="false" ht="23.85" hidden="false" customHeight="false" outlineLevel="0" collapsed="false">
      <c r="A499" s="11" t="s">
        <v>3513</v>
      </c>
      <c r="B499" s="11" t="s">
        <v>36</v>
      </c>
      <c r="C499" s="11" t="s">
        <v>166</v>
      </c>
      <c r="D499" s="11" t="s">
        <v>167</v>
      </c>
      <c r="E499" s="11" t="s">
        <v>751</v>
      </c>
      <c r="F499" s="11" t="s">
        <v>3514</v>
      </c>
      <c r="G499" s="11" t="s">
        <v>3515</v>
      </c>
      <c r="H499" s="11"/>
      <c r="I499" s="11" t="s">
        <v>3516</v>
      </c>
      <c r="J499" s="11" t="s">
        <v>3517</v>
      </c>
      <c r="K499" s="11" t="s">
        <v>1341</v>
      </c>
      <c r="L499" s="11" t="s">
        <v>3518</v>
      </c>
      <c r="M499" s="11"/>
      <c r="N499" s="14" t="n">
        <v>2</v>
      </c>
      <c r="O499" s="14" t="n">
        <v>3</v>
      </c>
      <c r="P499" s="14" t="n">
        <v>3</v>
      </c>
      <c r="Q499" s="14"/>
      <c r="R499" s="12" t="n">
        <f aca="false">IF(OR(N499="",P499=""),"",ROUND(N499*O499/P499,1))</f>
        <v>2</v>
      </c>
      <c r="S499" s="13" t="n">
        <f aca="false">IF(R499="","",IF(Q499="Y",1,IF(P499&gt;='Read me'!$B$16,3,IF(AND(R499&gt;='Read me'!$B$14,P499&lt;='Read me'!$B$15),1,2))))</f>
        <v>2</v>
      </c>
    </row>
    <row r="500" customFormat="false" ht="23.85" hidden="false" customHeight="false" outlineLevel="0" collapsed="false">
      <c r="A500" s="11" t="s">
        <v>3519</v>
      </c>
      <c r="B500" s="11" t="s">
        <v>36</v>
      </c>
      <c r="C500" s="11" t="s">
        <v>166</v>
      </c>
      <c r="D500" s="11" t="s">
        <v>167</v>
      </c>
      <c r="E500" s="11" t="s">
        <v>751</v>
      </c>
      <c r="F500" s="11" t="s">
        <v>3520</v>
      </c>
      <c r="G500" s="11"/>
      <c r="H500" s="11" t="s">
        <v>1333</v>
      </c>
      <c r="I500" s="11" t="s">
        <v>1327</v>
      </c>
      <c r="J500" s="11" t="s">
        <v>3521</v>
      </c>
      <c r="K500" s="11" t="s">
        <v>762</v>
      </c>
      <c r="L500" s="11" t="s">
        <v>3522</v>
      </c>
      <c r="M500" s="11"/>
      <c r="N500" s="14" t="n">
        <v>2</v>
      </c>
      <c r="O500" s="14" t="n">
        <v>3</v>
      </c>
      <c r="P500" s="14" t="n">
        <v>4</v>
      </c>
      <c r="Q500" s="14"/>
      <c r="R500" s="12" t="n">
        <f aca="false">IF(OR(N500="",P500=""),"",ROUND(N500*O500/P500,1))</f>
        <v>1.5</v>
      </c>
      <c r="S500" s="13" t="n">
        <f aca="false">IF(R500="","",IF(Q500="Y",1,IF(P500&gt;='Read me'!$B$16,3,IF(AND(R500&gt;='Read me'!$B$14,P500&lt;='Read me'!$B$15),1,2))))</f>
        <v>3</v>
      </c>
    </row>
    <row r="501" customFormat="false" ht="23.85" hidden="false" customHeight="false" outlineLevel="0" collapsed="false">
      <c r="A501" s="11" t="s">
        <v>3523</v>
      </c>
      <c r="B501" s="11" t="s">
        <v>36</v>
      </c>
      <c r="C501" s="11" t="s">
        <v>166</v>
      </c>
      <c r="D501" s="11" t="s">
        <v>167</v>
      </c>
      <c r="E501" s="11" t="s">
        <v>765</v>
      </c>
      <c r="F501" s="11" t="s">
        <v>3524</v>
      </c>
      <c r="G501" s="11" t="s">
        <v>3525</v>
      </c>
      <c r="H501" s="11"/>
      <c r="I501" s="11" t="s">
        <v>3526</v>
      </c>
      <c r="J501" s="11" t="s">
        <v>3527</v>
      </c>
      <c r="K501" s="11" t="s">
        <v>2354</v>
      </c>
      <c r="L501" s="11" t="s">
        <v>3528</v>
      </c>
      <c r="M501" s="11"/>
      <c r="N501" s="14" t="n">
        <v>5</v>
      </c>
      <c r="O501" s="14" t="n">
        <v>4</v>
      </c>
      <c r="P501" s="14" t="n">
        <v>2</v>
      </c>
      <c r="Q501" s="14"/>
      <c r="R501" s="12" t="n">
        <f aca="false">IF(OR(N501="",P501=""),"",ROUND(N501*O501/P501,1))</f>
        <v>10</v>
      </c>
      <c r="S501" s="13" t="n">
        <f aca="false">IF(R501="","",IF(Q501="Y",1,IF(P501&gt;='Read me'!$B$16,3,IF(AND(R501&gt;='Read me'!$B$14,P501&lt;='Read me'!$B$15),1,2))))</f>
        <v>1</v>
      </c>
    </row>
    <row r="502" customFormat="false" ht="23.85" hidden="false" customHeight="false" outlineLevel="0" collapsed="false">
      <c r="A502" s="11" t="s">
        <v>3529</v>
      </c>
      <c r="B502" s="11" t="s">
        <v>36</v>
      </c>
      <c r="C502" s="11" t="s">
        <v>166</v>
      </c>
      <c r="D502" s="11" t="s">
        <v>167</v>
      </c>
      <c r="E502" s="11" t="s">
        <v>765</v>
      </c>
      <c r="F502" s="11" t="s">
        <v>1046</v>
      </c>
      <c r="G502" s="11" t="s">
        <v>1944</v>
      </c>
      <c r="H502" s="11"/>
      <c r="I502" s="11" t="s">
        <v>512</v>
      </c>
      <c r="J502" s="11" t="s">
        <v>3530</v>
      </c>
      <c r="K502" s="11" t="s">
        <v>1049</v>
      </c>
      <c r="L502" s="11" t="s">
        <v>3531</v>
      </c>
      <c r="M502" s="11"/>
      <c r="N502" s="14" t="n">
        <v>4</v>
      </c>
      <c r="O502" s="14" t="n">
        <v>3</v>
      </c>
      <c r="P502" s="14" t="n">
        <v>1</v>
      </c>
      <c r="Q502" s="14"/>
      <c r="R502" s="12" t="n">
        <f aca="false">IF(OR(N502="",P502=""),"",ROUND(N502*O502/P502,1))</f>
        <v>12</v>
      </c>
      <c r="S502" s="13" t="n">
        <f aca="false">IF(R502="","",IF(Q502="Y",1,IF(P502&gt;='Read me'!$B$16,3,IF(AND(R502&gt;='Read me'!$B$14,P502&lt;='Read me'!$B$15),1,2))))</f>
        <v>1</v>
      </c>
    </row>
    <row r="503" customFormat="false" ht="23.85" hidden="false" customHeight="false" outlineLevel="0" collapsed="false">
      <c r="A503" s="11" t="s">
        <v>3532</v>
      </c>
      <c r="B503" s="11" t="s">
        <v>36</v>
      </c>
      <c r="C503" s="11" t="s">
        <v>166</v>
      </c>
      <c r="D503" s="11" t="s">
        <v>167</v>
      </c>
      <c r="E503" s="11" t="s">
        <v>765</v>
      </c>
      <c r="F503" s="11" t="s">
        <v>945</v>
      </c>
      <c r="G503" s="11" t="s">
        <v>822</v>
      </c>
      <c r="H503" s="11"/>
      <c r="I503" s="11" t="s">
        <v>3533</v>
      </c>
      <c r="J503" s="11" t="s">
        <v>3534</v>
      </c>
      <c r="K503" s="11" t="s">
        <v>3345</v>
      </c>
      <c r="L503" s="11" t="s">
        <v>3535</v>
      </c>
      <c r="M503" s="11"/>
      <c r="N503" s="14" t="n">
        <v>3</v>
      </c>
      <c r="O503" s="14" t="n">
        <v>3</v>
      </c>
      <c r="P503" s="14" t="n">
        <v>3</v>
      </c>
      <c r="Q503" s="14"/>
      <c r="R503" s="12" t="n">
        <f aca="false">IF(OR(N503="",P503=""),"",ROUND(N503*O503/P503,1))</f>
        <v>3</v>
      </c>
      <c r="S503" s="13" t="n">
        <f aca="false">IF(R503="","",IF(Q503="Y",1,IF(P503&gt;='Read me'!$B$16,3,IF(AND(R503&gt;='Read me'!$B$14,P503&lt;='Read me'!$B$15),1,2))))</f>
        <v>2</v>
      </c>
    </row>
    <row r="504" customFormat="false" ht="23.85" hidden="false" customHeight="false" outlineLevel="0" collapsed="false">
      <c r="A504" s="11" t="s">
        <v>3536</v>
      </c>
      <c r="B504" s="11" t="s">
        <v>36</v>
      </c>
      <c r="C504" s="11" t="s">
        <v>166</v>
      </c>
      <c r="D504" s="11" t="s">
        <v>167</v>
      </c>
      <c r="E504" s="11" t="s">
        <v>765</v>
      </c>
      <c r="F504" s="11" t="s">
        <v>3537</v>
      </c>
      <c r="G504" s="11" t="s">
        <v>822</v>
      </c>
      <c r="H504" s="11"/>
      <c r="I504" s="11" t="s">
        <v>3538</v>
      </c>
      <c r="J504" s="11" t="s">
        <v>3539</v>
      </c>
      <c r="K504" s="11" t="s">
        <v>1609</v>
      </c>
      <c r="L504" s="11" t="s">
        <v>3540</v>
      </c>
      <c r="M504" s="11"/>
      <c r="N504" s="14" t="n">
        <v>3</v>
      </c>
      <c r="O504" s="14" t="n">
        <v>3</v>
      </c>
      <c r="P504" s="14" t="n">
        <v>4</v>
      </c>
      <c r="Q504" s="14"/>
      <c r="R504" s="12" t="n">
        <f aca="false">IF(OR(N504="",P504=""),"",ROUND(N504*O504/P504,1))</f>
        <v>2.3</v>
      </c>
      <c r="S504" s="13" t="n">
        <f aca="false">IF(R504="","",IF(Q504="Y",1,IF(P504&gt;='Read me'!$B$16,3,IF(AND(R504&gt;='Read me'!$B$14,P504&lt;='Read me'!$B$15),1,2))))</f>
        <v>3</v>
      </c>
    </row>
    <row r="505" customFormat="false" ht="23.85" hidden="false" customHeight="false" outlineLevel="0" collapsed="false">
      <c r="A505" s="11" t="s">
        <v>3541</v>
      </c>
      <c r="B505" s="11" t="s">
        <v>36</v>
      </c>
      <c r="C505" s="11" t="s">
        <v>166</v>
      </c>
      <c r="D505" s="11" t="s">
        <v>167</v>
      </c>
      <c r="E505" s="11" t="s">
        <v>765</v>
      </c>
      <c r="F505" s="11" t="s">
        <v>3537</v>
      </c>
      <c r="G505" s="11" t="s">
        <v>1882</v>
      </c>
      <c r="H505" s="11" t="s">
        <v>3542</v>
      </c>
      <c r="I505" s="11" t="s">
        <v>3543</v>
      </c>
      <c r="J505" s="11" t="s">
        <v>3544</v>
      </c>
      <c r="K505" s="11" t="s">
        <v>3545</v>
      </c>
      <c r="L505" s="11" t="s">
        <v>3546</v>
      </c>
      <c r="M505" s="11"/>
      <c r="N505" s="14" t="n">
        <v>2</v>
      </c>
      <c r="O505" s="14" t="n">
        <v>2</v>
      </c>
      <c r="P505" s="14" t="n">
        <v>3</v>
      </c>
      <c r="Q505" s="14"/>
      <c r="R505" s="12" t="n">
        <f aca="false">IF(OR(N505="",P505=""),"",ROUND(N505*O505/P505,1))</f>
        <v>1.3</v>
      </c>
      <c r="S505" s="13" t="n">
        <f aca="false">IF(R505="","",IF(Q505="Y",1,IF(P505&gt;='Read me'!$B$16,3,IF(AND(R505&gt;='Read me'!$B$14,P505&lt;='Read me'!$B$15),1,2))))</f>
        <v>2</v>
      </c>
    </row>
    <row r="506" customFormat="false" ht="15" hidden="false" customHeight="false" outlineLevel="0" collapsed="false">
      <c r="A506" s="11" t="s">
        <v>3547</v>
      </c>
      <c r="B506" s="11" t="s">
        <v>36</v>
      </c>
      <c r="C506" s="11" t="s">
        <v>166</v>
      </c>
      <c r="D506" s="11" t="s">
        <v>167</v>
      </c>
      <c r="E506" s="11" t="s">
        <v>765</v>
      </c>
      <c r="F506" s="11" t="s">
        <v>899</v>
      </c>
      <c r="G506" s="11" t="s">
        <v>3548</v>
      </c>
      <c r="H506" s="11"/>
      <c r="I506" s="11" t="s">
        <v>3549</v>
      </c>
      <c r="J506" s="11" t="s">
        <v>3550</v>
      </c>
      <c r="K506" s="11" t="s">
        <v>2801</v>
      </c>
      <c r="L506" s="11" t="s">
        <v>3551</v>
      </c>
      <c r="M506" s="11"/>
      <c r="N506" s="14" t="n">
        <v>2</v>
      </c>
      <c r="O506" s="14" t="n">
        <v>3</v>
      </c>
      <c r="P506" s="14" t="n">
        <v>2</v>
      </c>
      <c r="Q506" s="14"/>
      <c r="R506" s="12" t="n">
        <f aca="false">IF(OR(N506="",P506=""),"",ROUND(N506*O506/P506,1))</f>
        <v>3</v>
      </c>
      <c r="S506" s="13" t="n">
        <f aca="false">IF(R506="","",IF(Q506="Y",1,IF(P506&gt;='Read me'!$B$16,3,IF(AND(R506&gt;='Read me'!$B$14,P506&lt;='Read me'!$B$15),1,2))))</f>
        <v>2</v>
      </c>
    </row>
    <row r="507" customFormat="false" ht="35.05" hidden="false" customHeight="false" outlineLevel="0" collapsed="false">
      <c r="A507" s="11" t="s">
        <v>3552</v>
      </c>
      <c r="B507" s="11" t="s">
        <v>36</v>
      </c>
      <c r="C507" s="11" t="s">
        <v>166</v>
      </c>
      <c r="D507" s="11" t="s">
        <v>167</v>
      </c>
      <c r="E507" s="11" t="s">
        <v>1081</v>
      </c>
      <c r="F507" s="11" t="s">
        <v>3553</v>
      </c>
      <c r="G507" s="11" t="s">
        <v>3525</v>
      </c>
      <c r="H507" s="11" t="s">
        <v>3554</v>
      </c>
      <c r="I507" s="11" t="s">
        <v>3555</v>
      </c>
      <c r="J507" s="11" t="s">
        <v>3556</v>
      </c>
      <c r="K507" s="11" t="s">
        <v>3557</v>
      </c>
      <c r="L507" s="11" t="s">
        <v>3558</v>
      </c>
      <c r="M507" s="11"/>
      <c r="N507" s="14" t="n">
        <v>2</v>
      </c>
      <c r="O507" s="14" t="n">
        <v>4</v>
      </c>
      <c r="P507" s="14" t="n">
        <v>4</v>
      </c>
      <c r="Q507" s="14"/>
      <c r="R507" s="12" t="n">
        <f aca="false">IF(OR(N507="",P507=""),"",ROUND(N507*O507/P507,1))</f>
        <v>2</v>
      </c>
      <c r="S507" s="13" t="n">
        <f aca="false">IF(R507="","",IF(Q507="Y",1,IF(P507&gt;='Read me'!$B$16,3,IF(AND(R507&gt;='Read me'!$B$14,P507&lt;='Read me'!$B$15),1,2))))</f>
        <v>3</v>
      </c>
    </row>
    <row r="508" customFormat="false" ht="35.05" hidden="false" customHeight="false" outlineLevel="0" collapsed="false">
      <c r="A508" s="11" t="s">
        <v>3559</v>
      </c>
      <c r="B508" s="11" t="s">
        <v>36</v>
      </c>
      <c r="C508" s="11" t="s">
        <v>166</v>
      </c>
      <c r="D508" s="11" t="s">
        <v>167</v>
      </c>
      <c r="E508" s="11" t="s">
        <v>1081</v>
      </c>
      <c r="F508" s="11" t="s">
        <v>3560</v>
      </c>
      <c r="G508" s="11" t="s">
        <v>2873</v>
      </c>
      <c r="H508" s="11" t="s">
        <v>3561</v>
      </c>
      <c r="I508" s="11" t="s">
        <v>3562</v>
      </c>
      <c r="J508" s="11" t="s">
        <v>3563</v>
      </c>
      <c r="K508" s="11" t="s">
        <v>675</v>
      </c>
      <c r="L508" s="11" t="s">
        <v>3564</v>
      </c>
      <c r="M508" s="11" t="s">
        <v>3565</v>
      </c>
      <c r="N508" s="14" t="n">
        <v>1</v>
      </c>
      <c r="O508" s="14" t="n">
        <v>3</v>
      </c>
      <c r="P508" s="14" t="n">
        <v>5</v>
      </c>
      <c r="Q508" s="14"/>
      <c r="R508" s="12" t="n">
        <f aca="false">IF(OR(N508="",P508=""),"",ROUND(N508*O508/P508,1))</f>
        <v>0.6</v>
      </c>
      <c r="S508" s="13" t="n">
        <f aca="false">IF(R508="","",IF(Q508="Y",1,IF(P508&gt;='Read me'!$B$16,3,IF(AND(R508&gt;='Read me'!$B$14,P508&lt;='Read me'!$B$15),1,2))))</f>
        <v>3</v>
      </c>
    </row>
    <row r="509" customFormat="false" ht="23.85" hidden="false" customHeight="false" outlineLevel="0" collapsed="false">
      <c r="A509" s="11" t="s">
        <v>3566</v>
      </c>
      <c r="B509" s="11" t="s">
        <v>36</v>
      </c>
      <c r="C509" s="11" t="s">
        <v>166</v>
      </c>
      <c r="D509" s="11" t="s">
        <v>167</v>
      </c>
      <c r="E509" s="11" t="s">
        <v>1081</v>
      </c>
      <c r="F509" s="11" t="s">
        <v>3567</v>
      </c>
      <c r="G509" s="11" t="s">
        <v>3568</v>
      </c>
      <c r="H509" s="11" t="s">
        <v>3569</v>
      </c>
      <c r="I509" s="11" t="s">
        <v>3570</v>
      </c>
      <c r="J509" s="11" t="s">
        <v>3571</v>
      </c>
      <c r="K509" s="11" t="s">
        <v>3572</v>
      </c>
      <c r="L509" s="11" t="s">
        <v>3573</v>
      </c>
      <c r="M509" s="11"/>
      <c r="N509" s="14" t="n">
        <v>1</v>
      </c>
      <c r="O509" s="14" t="n">
        <v>3</v>
      </c>
      <c r="P509" s="14" t="n">
        <v>3</v>
      </c>
      <c r="Q509" s="14"/>
      <c r="R509" s="12" t="n">
        <f aca="false">IF(OR(N509="",P509=""),"",ROUND(N509*O509/P509,1))</f>
        <v>1</v>
      </c>
      <c r="S509" s="13" t="n">
        <f aca="false">IF(R509="","",IF(Q509="Y",1,IF(P509&gt;='Read me'!$B$16,3,IF(AND(R509&gt;='Read me'!$B$14,P509&lt;='Read me'!$B$15),1,2))))</f>
        <v>2</v>
      </c>
    </row>
    <row r="510" customFormat="false" ht="23.85" hidden="false" customHeight="false" outlineLevel="0" collapsed="false">
      <c r="A510" s="11" t="s">
        <v>3574</v>
      </c>
      <c r="B510" s="11" t="s">
        <v>36</v>
      </c>
      <c r="C510" s="11" t="s">
        <v>166</v>
      </c>
      <c r="D510" s="11" t="s">
        <v>167</v>
      </c>
      <c r="E510" s="11" t="s">
        <v>1187</v>
      </c>
      <c r="F510" s="11" t="s">
        <v>3575</v>
      </c>
      <c r="G510" s="11" t="s">
        <v>3576</v>
      </c>
      <c r="H510" s="11" t="s">
        <v>1700</v>
      </c>
      <c r="I510" s="11" t="s">
        <v>512</v>
      </c>
      <c r="J510" s="11" t="s">
        <v>3577</v>
      </c>
      <c r="K510" s="11" t="s">
        <v>3578</v>
      </c>
      <c r="L510" s="11" t="s">
        <v>3579</v>
      </c>
      <c r="M510" s="11"/>
      <c r="N510" s="14" t="n">
        <v>2</v>
      </c>
      <c r="O510" s="14" t="n">
        <v>4</v>
      </c>
      <c r="P510" s="14" t="n">
        <v>4</v>
      </c>
      <c r="Q510" s="14"/>
      <c r="R510" s="12" t="n">
        <f aca="false">IF(OR(N510="",P510=""),"",ROUND(N510*O510/P510,1))</f>
        <v>2</v>
      </c>
      <c r="S510" s="13" t="n">
        <f aca="false">IF(R510="","",IF(Q510="Y",1,IF(P510&gt;='Read me'!$B$16,3,IF(AND(R510&gt;='Read me'!$B$14,P510&lt;='Read me'!$B$15),1,2))))</f>
        <v>3</v>
      </c>
    </row>
    <row r="511" customFormat="false" ht="15" hidden="false" customHeight="false" outlineLevel="0" collapsed="false">
      <c r="A511" s="11" t="s">
        <v>3580</v>
      </c>
      <c r="B511" s="11" t="s">
        <v>36</v>
      </c>
      <c r="C511" s="11" t="s">
        <v>166</v>
      </c>
      <c r="D511" s="11" t="s">
        <v>167</v>
      </c>
      <c r="E511" s="11" t="s">
        <v>1133</v>
      </c>
      <c r="F511" s="11" t="s">
        <v>3581</v>
      </c>
      <c r="G511" s="11" t="s">
        <v>3582</v>
      </c>
      <c r="H511" s="11"/>
      <c r="I511" s="11" t="s">
        <v>3583</v>
      </c>
      <c r="J511" s="11" t="s">
        <v>3584</v>
      </c>
      <c r="K511" s="11" t="s">
        <v>1363</v>
      </c>
      <c r="L511" s="11" t="s">
        <v>1364</v>
      </c>
      <c r="M511" s="11"/>
      <c r="N511" s="14" t="n">
        <v>3</v>
      </c>
      <c r="O511" s="14" t="n">
        <v>3</v>
      </c>
      <c r="P511" s="14" t="n">
        <v>3</v>
      </c>
      <c r="Q511" s="14"/>
      <c r="R511" s="12" t="n">
        <f aca="false">IF(OR(N511="",P511=""),"",ROUND(N511*O511/P511,1))</f>
        <v>3</v>
      </c>
      <c r="S511" s="13" t="n">
        <f aca="false">IF(R511="","",IF(Q511="Y",1,IF(P511&gt;='Read me'!$B$16,3,IF(AND(R511&gt;='Read me'!$B$14,P511&lt;='Read me'!$B$15),1,2))))</f>
        <v>2</v>
      </c>
    </row>
    <row r="512" customFormat="false" ht="15" hidden="false" customHeight="false" outlineLevel="0" collapsed="false">
      <c r="A512" s="11" t="s">
        <v>3585</v>
      </c>
      <c r="B512" s="11" t="s">
        <v>36</v>
      </c>
      <c r="C512" s="11" t="s">
        <v>166</v>
      </c>
      <c r="D512" s="11" t="s">
        <v>167</v>
      </c>
      <c r="E512" s="11" t="s">
        <v>1133</v>
      </c>
      <c r="F512" s="11" t="s">
        <v>3586</v>
      </c>
      <c r="G512" s="11" t="s">
        <v>1135</v>
      </c>
      <c r="H512" s="11"/>
      <c r="I512" s="11" t="s">
        <v>1136</v>
      </c>
      <c r="J512" s="11" t="s">
        <v>2070</v>
      </c>
      <c r="K512" s="11" t="s">
        <v>1138</v>
      </c>
      <c r="L512" s="11" t="s">
        <v>3587</v>
      </c>
      <c r="M512" s="11"/>
      <c r="N512" s="14" t="n">
        <v>3</v>
      </c>
      <c r="O512" s="14" t="n">
        <v>2</v>
      </c>
      <c r="P512" s="14" t="n">
        <v>1</v>
      </c>
      <c r="Q512" s="14"/>
      <c r="R512" s="12" t="n">
        <f aca="false">IF(OR(N512="",P512=""),"",ROUND(N512*O512/P512,1))</f>
        <v>6</v>
      </c>
      <c r="S512" s="13" t="n">
        <f aca="false">IF(R512="","",IF(Q512="Y",1,IF(P512&gt;='Read me'!$B$16,3,IF(AND(R512&gt;='Read me'!$B$14,P512&lt;='Read me'!$B$15),1,2))))</f>
        <v>1</v>
      </c>
    </row>
    <row r="513" customFormat="false" ht="23.85" hidden="false" customHeight="false" outlineLevel="0" collapsed="false">
      <c r="A513" s="11" t="s">
        <v>3588</v>
      </c>
      <c r="B513" s="11" t="s">
        <v>36</v>
      </c>
      <c r="C513" s="11" t="s">
        <v>166</v>
      </c>
      <c r="D513" s="11" t="s">
        <v>167</v>
      </c>
      <c r="E513" s="11" t="s">
        <v>1133</v>
      </c>
      <c r="F513" s="11" t="s">
        <v>1147</v>
      </c>
      <c r="G513" s="11" t="s">
        <v>1148</v>
      </c>
      <c r="H513" s="11"/>
      <c r="I513" s="11" t="s">
        <v>3589</v>
      </c>
      <c r="J513" s="11" t="s">
        <v>3590</v>
      </c>
      <c r="K513" s="11" t="s">
        <v>1151</v>
      </c>
      <c r="L513" s="11" t="s">
        <v>3591</v>
      </c>
      <c r="M513" s="11" t="s">
        <v>3592</v>
      </c>
      <c r="N513" s="14" t="n">
        <v>1</v>
      </c>
      <c r="O513" s="14" t="n">
        <v>3</v>
      </c>
      <c r="P513" s="14" t="n">
        <v>4</v>
      </c>
      <c r="Q513" s="14"/>
      <c r="R513" s="12" t="n">
        <f aca="false">IF(OR(N513="",P513=""),"",ROUND(N513*O513/P513,1))</f>
        <v>0.8</v>
      </c>
      <c r="S513" s="13" t="n">
        <f aca="false">IF(R513="","",IF(Q513="Y",1,IF(P513&gt;='Read me'!$B$16,3,IF(AND(R513&gt;='Read me'!$B$14,P513&lt;='Read me'!$B$15),1,2))))</f>
        <v>3</v>
      </c>
    </row>
    <row r="514" customFormat="false" ht="15" hidden="false" customHeight="false" outlineLevel="0" collapsed="false">
      <c r="A514" s="11" t="s">
        <v>3593</v>
      </c>
      <c r="B514" s="11" t="s">
        <v>36</v>
      </c>
      <c r="C514" s="11" t="s">
        <v>166</v>
      </c>
      <c r="D514" s="11" t="s">
        <v>167</v>
      </c>
      <c r="E514" s="11" t="s">
        <v>1372</v>
      </c>
      <c r="F514" s="11" t="s">
        <v>3594</v>
      </c>
      <c r="G514" s="11" t="s">
        <v>2109</v>
      </c>
      <c r="H514" s="11"/>
      <c r="I514" s="11" t="s">
        <v>3595</v>
      </c>
      <c r="J514" s="11" t="s">
        <v>3596</v>
      </c>
      <c r="K514" s="11" t="s">
        <v>3597</v>
      </c>
      <c r="L514" s="11" t="s">
        <v>1357</v>
      </c>
      <c r="M514" s="11"/>
      <c r="N514" s="14" t="n">
        <v>3</v>
      </c>
      <c r="O514" s="14" t="n">
        <v>2</v>
      </c>
      <c r="P514" s="14" t="n">
        <v>1</v>
      </c>
      <c r="Q514" s="14"/>
      <c r="R514" s="12" t="n">
        <f aca="false">IF(OR(N514="",P514=""),"",ROUND(N514*O514/P514,1))</f>
        <v>6</v>
      </c>
      <c r="S514" s="13" t="n">
        <f aca="false">IF(R514="","",IF(Q514="Y",1,IF(P514&gt;='Read me'!$B$16,3,IF(AND(R514&gt;='Read me'!$B$14,P514&lt;='Read me'!$B$15),1,2))))</f>
        <v>1</v>
      </c>
    </row>
    <row r="515" customFormat="false" ht="35.05" hidden="false" customHeight="false" outlineLevel="0" collapsed="false">
      <c r="A515" s="11" t="s">
        <v>3598</v>
      </c>
      <c r="B515" s="11" t="s">
        <v>36</v>
      </c>
      <c r="C515" s="11" t="s">
        <v>166</v>
      </c>
      <c r="D515" s="11" t="s">
        <v>167</v>
      </c>
      <c r="E515" s="11" t="s">
        <v>1372</v>
      </c>
      <c r="F515" s="11" t="s">
        <v>1413</v>
      </c>
      <c r="G515" s="11" t="s">
        <v>2912</v>
      </c>
      <c r="H515" s="11" t="s">
        <v>3599</v>
      </c>
      <c r="I515" s="11" t="s">
        <v>3600</v>
      </c>
      <c r="J515" s="11" t="s">
        <v>2914</v>
      </c>
      <c r="K515" s="11" t="s">
        <v>1417</v>
      </c>
      <c r="L515" s="11" t="s">
        <v>1418</v>
      </c>
      <c r="M515" s="11" t="s">
        <v>3601</v>
      </c>
      <c r="N515" s="14" t="n">
        <v>1</v>
      </c>
      <c r="O515" s="14" t="n">
        <v>3</v>
      </c>
      <c r="P515" s="14" t="n">
        <v>4</v>
      </c>
      <c r="Q515" s="14"/>
      <c r="R515" s="12" t="n">
        <f aca="false">IF(OR(N515="",P515=""),"",ROUND(N515*O515/P515,1))</f>
        <v>0.8</v>
      </c>
      <c r="S515" s="13" t="n">
        <f aca="false">IF(R515="","",IF(Q515="Y",1,IF(P515&gt;='Read me'!$B$16,3,IF(AND(R515&gt;='Read me'!$B$14,P515&lt;='Read me'!$B$15),1,2))))</f>
        <v>3</v>
      </c>
    </row>
    <row r="516" customFormat="false" ht="23.85" hidden="false" customHeight="false" outlineLevel="0" collapsed="false">
      <c r="A516" s="11" t="s">
        <v>3602</v>
      </c>
      <c r="B516" s="11" t="s">
        <v>36</v>
      </c>
      <c r="C516" s="11" t="s">
        <v>170</v>
      </c>
      <c r="D516" s="11" t="s">
        <v>171</v>
      </c>
      <c r="E516" s="11" t="s">
        <v>476</v>
      </c>
      <c r="F516" s="11" t="s">
        <v>3603</v>
      </c>
      <c r="G516" s="11" t="s">
        <v>2160</v>
      </c>
      <c r="H516" s="11"/>
      <c r="I516" s="11" t="s">
        <v>3604</v>
      </c>
      <c r="J516" s="11" t="s">
        <v>3605</v>
      </c>
      <c r="K516" s="11" t="s">
        <v>3606</v>
      </c>
      <c r="L516" s="11" t="s">
        <v>3607</v>
      </c>
      <c r="M516" s="11"/>
      <c r="N516" s="14" t="n">
        <v>4</v>
      </c>
      <c r="O516" s="14" t="n">
        <v>4</v>
      </c>
      <c r="P516" s="14" t="n">
        <v>1</v>
      </c>
      <c r="Q516" s="14"/>
      <c r="R516" s="12" t="n">
        <f aca="false">IF(OR(N516="",P516=""),"",ROUND(N516*O516/P516,1))</f>
        <v>16</v>
      </c>
      <c r="S516" s="13" t="n">
        <f aca="false">IF(R516="","",IF(Q516="Y",1,IF(P516&gt;='Read me'!$B$16,3,IF(AND(R516&gt;='Read me'!$B$14,P516&lt;='Read me'!$B$15),1,2))))</f>
        <v>1</v>
      </c>
    </row>
    <row r="517" customFormat="false" ht="35.05" hidden="false" customHeight="false" outlineLevel="0" collapsed="false">
      <c r="A517" s="11" t="s">
        <v>3608</v>
      </c>
      <c r="B517" s="11" t="s">
        <v>36</v>
      </c>
      <c r="C517" s="11" t="s">
        <v>170</v>
      </c>
      <c r="D517" s="11" t="s">
        <v>171</v>
      </c>
      <c r="E517" s="11" t="s">
        <v>476</v>
      </c>
      <c r="F517" s="11" t="s">
        <v>3609</v>
      </c>
      <c r="G517" s="11" t="s">
        <v>2167</v>
      </c>
      <c r="H517" s="11"/>
      <c r="I517" s="11" t="s">
        <v>512</v>
      </c>
      <c r="J517" s="11" t="s">
        <v>3610</v>
      </c>
      <c r="K517" s="11" t="s">
        <v>3611</v>
      </c>
      <c r="L517" s="11" t="s">
        <v>3612</v>
      </c>
      <c r="M517" s="11" t="s">
        <v>3613</v>
      </c>
      <c r="N517" s="14" t="n">
        <v>2</v>
      </c>
      <c r="O517" s="14" t="n">
        <v>4</v>
      </c>
      <c r="P517" s="14" t="n">
        <v>4</v>
      </c>
      <c r="Q517" s="14"/>
      <c r="R517" s="12" t="n">
        <f aca="false">IF(OR(N517="",P517=""),"",ROUND(N517*O517/P517,1))</f>
        <v>2</v>
      </c>
      <c r="S517" s="13" t="n">
        <f aca="false">IF(R517="","",IF(Q517="Y",1,IF(P517&gt;='Read me'!$B$16,3,IF(AND(R517&gt;='Read me'!$B$14,P517&lt;='Read me'!$B$15),1,2))))</f>
        <v>3</v>
      </c>
    </row>
    <row r="518" customFormat="false" ht="23.85" hidden="false" customHeight="false" outlineLevel="0" collapsed="false">
      <c r="A518" s="11" t="s">
        <v>3614</v>
      </c>
      <c r="B518" s="11" t="s">
        <v>36</v>
      </c>
      <c r="C518" s="11" t="s">
        <v>170</v>
      </c>
      <c r="D518" s="11" t="s">
        <v>171</v>
      </c>
      <c r="E518" s="11" t="s">
        <v>476</v>
      </c>
      <c r="F518" s="11" t="s">
        <v>3615</v>
      </c>
      <c r="G518" s="11" t="s">
        <v>3616</v>
      </c>
      <c r="H518" s="11"/>
      <c r="I518" s="11" t="s">
        <v>3617</v>
      </c>
      <c r="J518" s="11" t="s">
        <v>3618</v>
      </c>
      <c r="K518" s="11" t="s">
        <v>3606</v>
      </c>
      <c r="L518" s="11" t="s">
        <v>3619</v>
      </c>
      <c r="M518" s="11" t="s">
        <v>3620</v>
      </c>
      <c r="N518" s="14" t="n">
        <v>3</v>
      </c>
      <c r="O518" s="14" t="n">
        <v>3</v>
      </c>
      <c r="P518" s="14" t="n">
        <v>2</v>
      </c>
      <c r="Q518" s="14"/>
      <c r="R518" s="12" t="n">
        <f aca="false">IF(OR(N518="",P518=""),"",ROUND(N518*O518/P518,1))</f>
        <v>4.5</v>
      </c>
      <c r="S518" s="13" t="n">
        <f aca="false">IF(R518="","",IF(Q518="Y",1,IF(P518&gt;='Read me'!$B$16,3,IF(AND(R518&gt;='Read me'!$B$14,P518&lt;='Read me'!$B$15),1,2))))</f>
        <v>2</v>
      </c>
    </row>
    <row r="519" customFormat="false" ht="35.05" hidden="false" customHeight="false" outlineLevel="0" collapsed="false">
      <c r="A519" s="11" t="s">
        <v>3621</v>
      </c>
      <c r="B519" s="11" t="s">
        <v>36</v>
      </c>
      <c r="C519" s="11" t="s">
        <v>170</v>
      </c>
      <c r="D519" s="11" t="s">
        <v>171</v>
      </c>
      <c r="E519" s="11" t="s">
        <v>476</v>
      </c>
      <c r="F519" s="11" t="s">
        <v>3615</v>
      </c>
      <c r="G519" s="11" t="s">
        <v>867</v>
      </c>
      <c r="H519" s="11"/>
      <c r="I519" s="11" t="s">
        <v>3622</v>
      </c>
      <c r="J519" s="11" t="s">
        <v>3623</v>
      </c>
      <c r="K519" s="11" t="s">
        <v>3380</v>
      </c>
      <c r="L519" s="11" t="s">
        <v>3624</v>
      </c>
      <c r="M519" s="11" t="s">
        <v>3625</v>
      </c>
      <c r="N519" s="14" t="n">
        <v>2</v>
      </c>
      <c r="O519" s="14" t="n">
        <v>3</v>
      </c>
      <c r="P519" s="14" t="n">
        <v>3</v>
      </c>
      <c r="Q519" s="14"/>
      <c r="R519" s="12" t="n">
        <f aca="false">IF(OR(N519="",P519=""),"",ROUND(N519*O519/P519,1))</f>
        <v>2</v>
      </c>
      <c r="S519" s="13" t="n">
        <f aca="false">IF(R519="","",IF(Q519="Y",1,IF(P519&gt;='Read me'!$B$16,3,IF(AND(R519&gt;='Read me'!$B$14,P519&lt;='Read me'!$B$15),1,2))))</f>
        <v>2</v>
      </c>
    </row>
    <row r="520" customFormat="false" ht="23.85" hidden="false" customHeight="false" outlineLevel="0" collapsed="false">
      <c r="A520" s="11" t="s">
        <v>3626</v>
      </c>
      <c r="B520" s="11" t="s">
        <v>36</v>
      </c>
      <c r="C520" s="11" t="s">
        <v>170</v>
      </c>
      <c r="D520" s="11" t="s">
        <v>171</v>
      </c>
      <c r="E520" s="11" t="s">
        <v>532</v>
      </c>
      <c r="F520" s="11" t="s">
        <v>3627</v>
      </c>
      <c r="G520" s="11" t="s">
        <v>3402</v>
      </c>
      <c r="H520" s="11"/>
      <c r="I520" s="11" t="s">
        <v>3628</v>
      </c>
      <c r="J520" s="11" t="s">
        <v>3629</v>
      </c>
      <c r="K520" s="11" t="s">
        <v>3405</v>
      </c>
      <c r="L520" s="11" t="s">
        <v>3630</v>
      </c>
      <c r="M520" s="11"/>
      <c r="N520" s="14" t="n">
        <v>5</v>
      </c>
      <c r="O520" s="14" t="n">
        <v>5</v>
      </c>
      <c r="P520" s="14" t="n">
        <v>2</v>
      </c>
      <c r="Q520" s="14"/>
      <c r="R520" s="12" t="n">
        <f aca="false">IF(OR(N520="",P520=""),"",ROUND(N520*O520/P520,1))</f>
        <v>12.5</v>
      </c>
      <c r="S520" s="13" t="n">
        <f aca="false">IF(R520="","",IF(Q520="Y",1,IF(P520&gt;='Read me'!$B$16,3,IF(AND(R520&gt;='Read me'!$B$14,P520&lt;='Read me'!$B$15),1,2))))</f>
        <v>1</v>
      </c>
    </row>
    <row r="521" customFormat="false" ht="23.85" hidden="false" customHeight="false" outlineLevel="0" collapsed="false">
      <c r="A521" s="11" t="s">
        <v>3631</v>
      </c>
      <c r="B521" s="11" t="s">
        <v>36</v>
      </c>
      <c r="C521" s="11" t="s">
        <v>170</v>
      </c>
      <c r="D521" s="11" t="s">
        <v>171</v>
      </c>
      <c r="E521" s="11" t="s">
        <v>532</v>
      </c>
      <c r="F521" s="11" t="s">
        <v>3627</v>
      </c>
      <c r="G521" s="11" t="s">
        <v>1479</v>
      </c>
      <c r="H521" s="11"/>
      <c r="I521" s="11" t="s">
        <v>3632</v>
      </c>
      <c r="J521" s="11" t="s">
        <v>3633</v>
      </c>
      <c r="K521" s="11" t="s">
        <v>3415</v>
      </c>
      <c r="L521" s="11" t="s">
        <v>3634</v>
      </c>
      <c r="M521" s="11"/>
      <c r="N521" s="14" t="n">
        <v>3</v>
      </c>
      <c r="O521" s="14" t="n">
        <v>5</v>
      </c>
      <c r="P521" s="14" t="n">
        <v>2</v>
      </c>
      <c r="Q521" s="14"/>
      <c r="R521" s="12" t="n">
        <f aca="false">IF(OR(N521="",P521=""),"",ROUND(N521*O521/P521,1))</f>
        <v>7.5</v>
      </c>
      <c r="S521" s="13" t="n">
        <f aca="false">IF(R521="","",IF(Q521="Y",1,IF(P521&gt;='Read me'!$B$16,3,IF(AND(R521&gt;='Read me'!$B$14,P521&lt;='Read me'!$B$15),1,2))))</f>
        <v>1</v>
      </c>
    </row>
    <row r="522" customFormat="false" ht="23.85" hidden="false" customHeight="false" outlineLevel="0" collapsed="false">
      <c r="A522" s="11" t="s">
        <v>3635</v>
      </c>
      <c r="B522" s="11" t="s">
        <v>36</v>
      </c>
      <c r="C522" s="11" t="s">
        <v>170</v>
      </c>
      <c r="D522" s="11" t="s">
        <v>171</v>
      </c>
      <c r="E522" s="11" t="s">
        <v>532</v>
      </c>
      <c r="F522" s="11" t="s">
        <v>3627</v>
      </c>
      <c r="G522" s="11" t="s">
        <v>2211</v>
      </c>
      <c r="H522" s="11"/>
      <c r="I522" s="11" t="s">
        <v>3636</v>
      </c>
      <c r="J522" s="11" t="s">
        <v>3637</v>
      </c>
      <c r="K522" s="11" t="s">
        <v>3638</v>
      </c>
      <c r="L522" s="11" t="s">
        <v>3639</v>
      </c>
      <c r="M522" s="11"/>
      <c r="N522" s="14" t="n">
        <v>2</v>
      </c>
      <c r="O522" s="14" t="n">
        <v>3</v>
      </c>
      <c r="P522" s="14" t="n">
        <v>1</v>
      </c>
      <c r="Q522" s="14"/>
      <c r="R522" s="12" t="n">
        <f aca="false">IF(OR(N522="",P522=""),"",ROUND(N522*O522/P522,1))</f>
        <v>6</v>
      </c>
      <c r="S522" s="13" t="n">
        <f aca="false">IF(R522="","",IF(Q522="Y",1,IF(P522&gt;='Read me'!$B$16,3,IF(AND(R522&gt;='Read me'!$B$14,P522&lt;='Read me'!$B$15),1,2))))</f>
        <v>1</v>
      </c>
    </row>
    <row r="523" customFormat="false" ht="35.05" hidden="false" customHeight="false" outlineLevel="0" collapsed="false">
      <c r="A523" s="11" t="s">
        <v>3640</v>
      </c>
      <c r="B523" s="11" t="s">
        <v>36</v>
      </c>
      <c r="C523" s="11" t="s">
        <v>170</v>
      </c>
      <c r="D523" s="11" t="s">
        <v>171</v>
      </c>
      <c r="E523" s="11" t="s">
        <v>532</v>
      </c>
      <c r="F523" s="11" t="s">
        <v>3627</v>
      </c>
      <c r="G523" s="11" t="s">
        <v>3641</v>
      </c>
      <c r="H523" s="11"/>
      <c r="I523" s="11" t="s">
        <v>3642</v>
      </c>
      <c r="J523" s="11" t="s">
        <v>3643</v>
      </c>
      <c r="K523" s="11" t="s">
        <v>3644</v>
      </c>
      <c r="L523" s="11" t="s">
        <v>3645</v>
      </c>
      <c r="M523" s="11" t="s">
        <v>3399</v>
      </c>
      <c r="N523" s="14" t="n">
        <v>3</v>
      </c>
      <c r="O523" s="14" t="n">
        <v>3</v>
      </c>
      <c r="P523" s="14" t="n">
        <v>2</v>
      </c>
      <c r="Q523" s="14"/>
      <c r="R523" s="12" t="n">
        <f aca="false">IF(OR(N523="",P523=""),"",ROUND(N523*O523/P523,1))</f>
        <v>4.5</v>
      </c>
      <c r="S523" s="13" t="n">
        <f aca="false">IF(R523="","",IF(Q523="Y",1,IF(P523&gt;='Read me'!$B$16,3,IF(AND(R523&gt;='Read me'!$B$14,P523&lt;='Read me'!$B$15),1,2))))</f>
        <v>2</v>
      </c>
    </row>
    <row r="524" customFormat="false" ht="23.85" hidden="false" customHeight="false" outlineLevel="0" collapsed="false">
      <c r="A524" s="11" t="s">
        <v>3646</v>
      </c>
      <c r="B524" s="11" t="s">
        <v>36</v>
      </c>
      <c r="C524" s="11" t="s">
        <v>170</v>
      </c>
      <c r="D524" s="11" t="s">
        <v>171</v>
      </c>
      <c r="E524" s="11" t="s">
        <v>532</v>
      </c>
      <c r="F524" s="11" t="s">
        <v>3627</v>
      </c>
      <c r="G524" s="11" t="s">
        <v>1473</v>
      </c>
      <c r="H524" s="11"/>
      <c r="I524" s="11" t="s">
        <v>3647</v>
      </c>
      <c r="J524" s="11" t="s">
        <v>3648</v>
      </c>
      <c r="K524" s="11" t="s">
        <v>3432</v>
      </c>
      <c r="L524" s="11" t="s">
        <v>3649</v>
      </c>
      <c r="M524" s="11"/>
      <c r="N524" s="14" t="n">
        <v>2</v>
      </c>
      <c r="O524" s="14" t="n">
        <v>3</v>
      </c>
      <c r="P524" s="14" t="n">
        <v>4</v>
      </c>
      <c r="Q524" s="14"/>
      <c r="R524" s="12" t="n">
        <f aca="false">IF(OR(N524="",P524=""),"",ROUND(N524*O524/P524,1))</f>
        <v>1.5</v>
      </c>
      <c r="S524" s="13" t="n">
        <f aca="false">IF(R524="","",IF(Q524="Y",1,IF(P524&gt;='Read me'!$B$16,3,IF(AND(R524&gt;='Read me'!$B$14,P524&lt;='Read me'!$B$15),1,2))))</f>
        <v>3</v>
      </c>
    </row>
    <row r="525" customFormat="false" ht="23.85" hidden="false" customHeight="false" outlineLevel="0" collapsed="false">
      <c r="A525" s="11" t="s">
        <v>3650</v>
      </c>
      <c r="B525" s="11" t="s">
        <v>36</v>
      </c>
      <c r="C525" s="11" t="s">
        <v>170</v>
      </c>
      <c r="D525" s="11" t="s">
        <v>171</v>
      </c>
      <c r="E525" s="11" t="s">
        <v>532</v>
      </c>
      <c r="F525" s="11" t="s">
        <v>3627</v>
      </c>
      <c r="G525" s="11" t="s">
        <v>1634</v>
      </c>
      <c r="H525" s="11"/>
      <c r="I525" s="11" t="s">
        <v>3651</v>
      </c>
      <c r="J525" s="11" t="s">
        <v>3652</v>
      </c>
      <c r="K525" s="11" t="s">
        <v>717</v>
      </c>
      <c r="L525" s="11" t="s">
        <v>3653</v>
      </c>
      <c r="M525" s="11"/>
      <c r="N525" s="14" t="n">
        <v>1</v>
      </c>
      <c r="O525" s="14" t="n">
        <v>4</v>
      </c>
      <c r="P525" s="14" t="n">
        <v>3</v>
      </c>
      <c r="Q525" s="14"/>
      <c r="R525" s="12" t="n">
        <f aca="false">IF(OR(N525="",P525=""),"",ROUND(N525*O525/P525,1))</f>
        <v>1.3</v>
      </c>
      <c r="S525" s="13" t="n">
        <f aca="false">IF(R525="","",IF(Q525="Y",1,IF(P525&gt;='Read me'!$B$16,3,IF(AND(R525&gt;='Read me'!$B$14,P525&lt;='Read me'!$B$15),1,2))))</f>
        <v>2</v>
      </c>
    </row>
    <row r="526" customFormat="false" ht="23.85" hidden="false" customHeight="false" outlineLevel="0" collapsed="false">
      <c r="A526" s="11" t="s">
        <v>3654</v>
      </c>
      <c r="B526" s="11" t="s">
        <v>36</v>
      </c>
      <c r="C526" s="11" t="s">
        <v>170</v>
      </c>
      <c r="D526" s="11" t="s">
        <v>171</v>
      </c>
      <c r="E526" s="11" t="s">
        <v>532</v>
      </c>
      <c r="F526" s="11" t="s">
        <v>3655</v>
      </c>
      <c r="G526" s="11" t="s">
        <v>3656</v>
      </c>
      <c r="H526" s="11"/>
      <c r="I526" s="11" t="s">
        <v>3657</v>
      </c>
      <c r="J526" s="11" t="s">
        <v>3658</v>
      </c>
      <c r="K526" s="11" t="s">
        <v>3659</v>
      </c>
      <c r="L526" s="11" t="s">
        <v>3660</v>
      </c>
      <c r="M526" s="11" t="s">
        <v>3661</v>
      </c>
      <c r="N526" s="14" t="n">
        <v>2</v>
      </c>
      <c r="O526" s="14" t="n">
        <v>4</v>
      </c>
      <c r="P526" s="14" t="n">
        <v>3</v>
      </c>
      <c r="Q526" s="14"/>
      <c r="R526" s="12" t="n">
        <f aca="false">IF(OR(N526="",P526=""),"",ROUND(N526*O526/P526,1))</f>
        <v>2.7</v>
      </c>
      <c r="S526" s="13" t="n">
        <f aca="false">IF(R526="","",IF(Q526="Y",1,IF(P526&gt;='Read me'!$B$16,3,IF(AND(R526&gt;='Read me'!$B$14,P526&lt;='Read me'!$B$15),1,2))))</f>
        <v>2</v>
      </c>
    </row>
    <row r="527" customFormat="false" ht="23.85" hidden="false" customHeight="false" outlineLevel="0" collapsed="false">
      <c r="A527" s="11" t="s">
        <v>3662</v>
      </c>
      <c r="B527" s="11" t="s">
        <v>36</v>
      </c>
      <c r="C527" s="11" t="s">
        <v>170</v>
      </c>
      <c r="D527" s="11" t="s">
        <v>171</v>
      </c>
      <c r="E527" s="11" t="s">
        <v>532</v>
      </c>
      <c r="F527" s="11" t="s">
        <v>3627</v>
      </c>
      <c r="G527" s="11" t="s">
        <v>3663</v>
      </c>
      <c r="H527" s="11"/>
      <c r="I527" s="11" t="s">
        <v>3664</v>
      </c>
      <c r="J527" s="11" t="s">
        <v>3665</v>
      </c>
      <c r="K527" s="11" t="s">
        <v>3666</v>
      </c>
      <c r="L527" s="11" t="s">
        <v>3667</v>
      </c>
      <c r="M527" s="11" t="s">
        <v>3668</v>
      </c>
      <c r="N527" s="14" t="n">
        <v>3</v>
      </c>
      <c r="O527" s="14" t="n">
        <v>4</v>
      </c>
      <c r="P527" s="14" t="n">
        <v>4</v>
      </c>
      <c r="Q527" s="14"/>
      <c r="R527" s="12" t="n">
        <f aca="false">IF(OR(N527="",P527=""),"",ROUND(N527*O527/P527,1))</f>
        <v>3</v>
      </c>
      <c r="S527" s="13" t="n">
        <f aca="false">IF(R527="","",IF(Q527="Y",1,IF(P527&gt;='Read me'!$B$16,3,IF(AND(R527&gt;='Read me'!$B$14,P527&lt;='Read me'!$B$15),1,2))))</f>
        <v>3</v>
      </c>
    </row>
    <row r="528" customFormat="false" ht="23.85" hidden="false" customHeight="false" outlineLevel="0" collapsed="false">
      <c r="A528" s="11" t="s">
        <v>3669</v>
      </c>
      <c r="B528" s="11" t="s">
        <v>36</v>
      </c>
      <c r="C528" s="11" t="s">
        <v>170</v>
      </c>
      <c r="D528" s="11" t="s">
        <v>171</v>
      </c>
      <c r="E528" s="11" t="s">
        <v>532</v>
      </c>
      <c r="F528" s="11" t="s">
        <v>3627</v>
      </c>
      <c r="G528" s="11" t="s">
        <v>3402</v>
      </c>
      <c r="H528" s="11" t="s">
        <v>686</v>
      </c>
      <c r="I528" s="11" t="s">
        <v>3670</v>
      </c>
      <c r="J528" s="11" t="s">
        <v>3671</v>
      </c>
      <c r="K528" s="11" t="s">
        <v>3672</v>
      </c>
      <c r="L528" s="11"/>
      <c r="M528" s="11"/>
      <c r="N528" s="14" t="n">
        <v>3</v>
      </c>
      <c r="O528" s="14" t="n">
        <v>3</v>
      </c>
      <c r="P528" s="14" t="n">
        <v>2</v>
      </c>
      <c r="Q528" s="14"/>
      <c r="R528" s="12" t="n">
        <f aca="false">IF(OR(N528="",P528=""),"",ROUND(N528*O528/P528,1))</f>
        <v>4.5</v>
      </c>
      <c r="S528" s="13" t="n">
        <f aca="false">IF(R528="","",IF(Q528="Y",1,IF(P528&gt;='Read me'!$B$16,3,IF(AND(R528&gt;='Read me'!$B$14,P528&lt;='Read me'!$B$15),1,2))))</f>
        <v>2</v>
      </c>
    </row>
    <row r="529" customFormat="false" ht="23.85" hidden="false" customHeight="false" outlineLevel="0" collapsed="false">
      <c r="A529" s="11" t="s">
        <v>3673</v>
      </c>
      <c r="B529" s="11" t="s">
        <v>36</v>
      </c>
      <c r="C529" s="11" t="s">
        <v>170</v>
      </c>
      <c r="D529" s="11" t="s">
        <v>171</v>
      </c>
      <c r="E529" s="11" t="s">
        <v>532</v>
      </c>
      <c r="F529" s="11" t="s">
        <v>3627</v>
      </c>
      <c r="G529" s="11" t="s">
        <v>3402</v>
      </c>
      <c r="H529" s="11" t="s">
        <v>1564</v>
      </c>
      <c r="I529" s="11" t="s">
        <v>3670</v>
      </c>
      <c r="J529" s="11" t="s">
        <v>3674</v>
      </c>
      <c r="K529" s="11" t="s">
        <v>683</v>
      </c>
      <c r="L529" s="11" t="s">
        <v>684</v>
      </c>
      <c r="M529" s="11"/>
      <c r="N529" s="14" t="n">
        <v>2</v>
      </c>
      <c r="O529" s="14" t="n">
        <v>3</v>
      </c>
      <c r="P529" s="14" t="n">
        <v>3</v>
      </c>
      <c r="Q529" s="14"/>
      <c r="R529" s="12" t="n">
        <f aca="false">IF(OR(N529="",P529=""),"",ROUND(N529*O529/P529,1))</f>
        <v>2</v>
      </c>
      <c r="S529" s="13" t="n">
        <f aca="false">IF(R529="","",IF(Q529="Y",1,IF(P529&gt;='Read me'!$B$16,3,IF(AND(R529&gt;='Read me'!$B$14,P529&lt;='Read me'!$B$15),1,2))))</f>
        <v>2</v>
      </c>
    </row>
    <row r="530" customFormat="false" ht="23.85" hidden="false" customHeight="false" outlineLevel="0" collapsed="false">
      <c r="A530" s="11" t="s">
        <v>3675</v>
      </c>
      <c r="B530" s="11" t="s">
        <v>36</v>
      </c>
      <c r="C530" s="11" t="s">
        <v>170</v>
      </c>
      <c r="D530" s="11" t="s">
        <v>171</v>
      </c>
      <c r="E530" s="11" t="s">
        <v>626</v>
      </c>
      <c r="F530" s="11" t="s">
        <v>3676</v>
      </c>
      <c r="G530" s="11" t="s">
        <v>628</v>
      </c>
      <c r="H530" s="11"/>
      <c r="I530" s="11" t="s">
        <v>3677</v>
      </c>
      <c r="J530" s="11" t="s">
        <v>3678</v>
      </c>
      <c r="K530" s="11" t="s">
        <v>529</v>
      </c>
      <c r="L530" s="11" t="s">
        <v>3679</v>
      </c>
      <c r="M530" s="11"/>
      <c r="N530" s="14" t="n">
        <v>4</v>
      </c>
      <c r="O530" s="14" t="n">
        <v>4</v>
      </c>
      <c r="P530" s="14" t="n">
        <v>1</v>
      </c>
      <c r="Q530" s="14"/>
      <c r="R530" s="12" t="n">
        <f aca="false">IF(OR(N530="",P530=""),"",ROUND(N530*O530/P530,1))</f>
        <v>16</v>
      </c>
      <c r="S530" s="13" t="n">
        <f aca="false">IF(R530="","",IF(Q530="Y",1,IF(P530&gt;='Read me'!$B$16,3,IF(AND(R530&gt;='Read me'!$B$14,P530&lt;='Read me'!$B$15),1,2))))</f>
        <v>1</v>
      </c>
    </row>
    <row r="531" customFormat="false" ht="23.85" hidden="false" customHeight="false" outlineLevel="0" collapsed="false">
      <c r="A531" s="11" t="s">
        <v>3680</v>
      </c>
      <c r="B531" s="11" t="s">
        <v>36</v>
      </c>
      <c r="C531" s="11" t="s">
        <v>170</v>
      </c>
      <c r="D531" s="11" t="s">
        <v>171</v>
      </c>
      <c r="E531" s="11" t="s">
        <v>626</v>
      </c>
      <c r="F531" s="11" t="s">
        <v>3681</v>
      </c>
      <c r="G531" s="11" t="s">
        <v>641</v>
      </c>
      <c r="H531" s="11"/>
      <c r="I531" s="11" t="s">
        <v>3682</v>
      </c>
      <c r="J531" s="11" t="s">
        <v>3683</v>
      </c>
      <c r="K531" s="11" t="s">
        <v>1554</v>
      </c>
      <c r="L531" s="11" t="s">
        <v>3684</v>
      </c>
      <c r="M531" s="11"/>
      <c r="N531" s="14" t="n">
        <v>4</v>
      </c>
      <c r="O531" s="14" t="n">
        <v>3</v>
      </c>
      <c r="P531" s="14" t="n">
        <v>3</v>
      </c>
      <c r="Q531" s="14"/>
      <c r="R531" s="12" t="n">
        <f aca="false">IF(OR(N531="",P531=""),"",ROUND(N531*O531/P531,1))</f>
        <v>4</v>
      </c>
      <c r="S531" s="13" t="n">
        <f aca="false">IF(R531="","",IF(Q531="Y",1,IF(P531&gt;='Read me'!$B$16,3,IF(AND(R531&gt;='Read me'!$B$14,P531&lt;='Read me'!$B$15),1,2))))</f>
        <v>2</v>
      </c>
    </row>
    <row r="532" customFormat="false" ht="23.85" hidden="false" customHeight="false" outlineLevel="0" collapsed="false">
      <c r="A532" s="11" t="s">
        <v>3685</v>
      </c>
      <c r="B532" s="11" t="s">
        <v>36</v>
      </c>
      <c r="C532" s="11" t="s">
        <v>170</v>
      </c>
      <c r="D532" s="11" t="s">
        <v>171</v>
      </c>
      <c r="E532" s="11" t="s">
        <v>751</v>
      </c>
      <c r="F532" s="11" t="s">
        <v>1258</v>
      </c>
      <c r="G532" s="11" t="s">
        <v>1259</v>
      </c>
      <c r="H532" s="11"/>
      <c r="I532" s="11" t="s">
        <v>3686</v>
      </c>
      <c r="J532" s="11" t="s">
        <v>1579</v>
      </c>
      <c r="K532" s="11" t="s">
        <v>1783</v>
      </c>
      <c r="L532" s="11" t="s">
        <v>3687</v>
      </c>
      <c r="M532" s="11" t="s">
        <v>1577</v>
      </c>
      <c r="N532" s="14" t="n">
        <v>4</v>
      </c>
      <c r="O532" s="14" t="n">
        <v>5</v>
      </c>
      <c r="P532" s="14" t="n">
        <v>3</v>
      </c>
      <c r="Q532" s="14"/>
      <c r="R532" s="12" t="n">
        <f aca="false">IF(OR(N532="",P532=""),"",ROUND(N532*O532/P532,1))</f>
        <v>6.7</v>
      </c>
      <c r="S532" s="13" t="n">
        <f aca="false">IF(R532="","",IF(Q532="Y",1,IF(P532&gt;='Read me'!$B$16,3,IF(AND(R532&gt;='Read me'!$B$14,P532&lt;='Read me'!$B$15),1,2))))</f>
        <v>2</v>
      </c>
    </row>
    <row r="533" customFormat="false" ht="23.85" hidden="false" customHeight="false" outlineLevel="0" collapsed="false">
      <c r="A533" s="11" t="s">
        <v>3688</v>
      </c>
      <c r="B533" s="11" t="s">
        <v>36</v>
      </c>
      <c r="C533" s="11" t="s">
        <v>170</v>
      </c>
      <c r="D533" s="11" t="s">
        <v>171</v>
      </c>
      <c r="E533" s="11" t="s">
        <v>751</v>
      </c>
      <c r="F533" s="11" t="s">
        <v>1251</v>
      </c>
      <c r="G533" s="11" t="s">
        <v>1252</v>
      </c>
      <c r="H533" s="11"/>
      <c r="I533" s="11" t="s">
        <v>3689</v>
      </c>
      <c r="J533" s="11" t="s">
        <v>3690</v>
      </c>
      <c r="K533" s="11" t="s">
        <v>1254</v>
      </c>
      <c r="L533" s="11" t="s">
        <v>601</v>
      </c>
      <c r="M533" s="11" t="s">
        <v>1577</v>
      </c>
      <c r="N533" s="14" t="n">
        <v>4</v>
      </c>
      <c r="O533" s="14" t="n">
        <v>4</v>
      </c>
      <c r="P533" s="14" t="n">
        <v>3</v>
      </c>
      <c r="Q533" s="14"/>
      <c r="R533" s="12" t="n">
        <f aca="false">IF(OR(N533="",P533=""),"",ROUND(N533*O533/P533,1))</f>
        <v>5.3</v>
      </c>
      <c r="S533" s="13" t="n">
        <f aca="false">IF(R533="","",IF(Q533="Y",1,IF(P533&gt;='Read me'!$B$16,3,IF(AND(R533&gt;='Read me'!$B$14,P533&lt;='Read me'!$B$15),1,2))))</f>
        <v>2</v>
      </c>
    </row>
    <row r="534" customFormat="false" ht="23.85" hidden="false" customHeight="false" outlineLevel="0" collapsed="false">
      <c r="A534" s="11" t="s">
        <v>3691</v>
      </c>
      <c r="B534" s="11" t="s">
        <v>36</v>
      </c>
      <c r="C534" s="11" t="s">
        <v>170</v>
      </c>
      <c r="D534" s="11" t="s">
        <v>171</v>
      </c>
      <c r="E534" s="11" t="s">
        <v>751</v>
      </c>
      <c r="F534" s="11" t="s">
        <v>3692</v>
      </c>
      <c r="G534" s="11" t="s">
        <v>3693</v>
      </c>
      <c r="H534" s="11"/>
      <c r="I534" s="11" t="s">
        <v>3694</v>
      </c>
      <c r="J534" s="11" t="s">
        <v>3695</v>
      </c>
      <c r="K534" s="11" t="s">
        <v>3696</v>
      </c>
      <c r="L534" s="11" t="s">
        <v>3697</v>
      </c>
      <c r="M534" s="11"/>
      <c r="N534" s="14" t="n">
        <v>2</v>
      </c>
      <c r="O534" s="14" t="n">
        <v>3</v>
      </c>
      <c r="P534" s="14" t="n">
        <v>3</v>
      </c>
      <c r="Q534" s="14"/>
      <c r="R534" s="12" t="n">
        <f aca="false">IF(OR(N534="",P534=""),"",ROUND(N534*O534/P534,1))</f>
        <v>2</v>
      </c>
      <c r="S534" s="13" t="n">
        <f aca="false">IF(R534="","",IF(Q534="Y",1,IF(P534&gt;='Read me'!$B$16,3,IF(AND(R534&gt;='Read me'!$B$14,P534&lt;='Read me'!$B$15),1,2))))</f>
        <v>2</v>
      </c>
    </row>
    <row r="535" customFormat="false" ht="23.85" hidden="false" customHeight="false" outlineLevel="0" collapsed="false">
      <c r="A535" s="11" t="s">
        <v>3698</v>
      </c>
      <c r="B535" s="11" t="s">
        <v>36</v>
      </c>
      <c r="C535" s="11" t="s">
        <v>170</v>
      </c>
      <c r="D535" s="11" t="s">
        <v>171</v>
      </c>
      <c r="E535" s="11" t="s">
        <v>751</v>
      </c>
      <c r="F535" s="11" t="s">
        <v>3699</v>
      </c>
      <c r="G535" s="11"/>
      <c r="H535" s="11" t="s">
        <v>1284</v>
      </c>
      <c r="I535" s="11" t="s">
        <v>754</v>
      </c>
      <c r="J535" s="11" t="s">
        <v>1593</v>
      </c>
      <c r="K535" s="11" t="s">
        <v>616</v>
      </c>
      <c r="L535" s="11" t="s">
        <v>1288</v>
      </c>
      <c r="M535" s="11"/>
      <c r="N535" s="14" t="n">
        <v>2</v>
      </c>
      <c r="O535" s="14" t="n">
        <v>3</v>
      </c>
      <c r="P535" s="14" t="n">
        <v>4</v>
      </c>
      <c r="Q535" s="14"/>
      <c r="R535" s="12" t="n">
        <f aca="false">IF(OR(N535="",P535=""),"",ROUND(N535*O535/P535,1))</f>
        <v>1.5</v>
      </c>
      <c r="S535" s="13" t="n">
        <f aca="false">IF(R535="","",IF(Q535="Y",1,IF(P535&gt;='Read me'!$B$16,3,IF(AND(R535&gt;='Read me'!$B$14,P535&lt;='Read me'!$B$15),1,2))))</f>
        <v>3</v>
      </c>
    </row>
    <row r="536" customFormat="false" ht="23.85" hidden="false" customHeight="false" outlineLevel="0" collapsed="false">
      <c r="A536" s="11" t="s">
        <v>3700</v>
      </c>
      <c r="B536" s="11" t="s">
        <v>36</v>
      </c>
      <c r="C536" s="11" t="s">
        <v>170</v>
      </c>
      <c r="D536" s="11" t="s">
        <v>171</v>
      </c>
      <c r="E536" s="11" t="s">
        <v>751</v>
      </c>
      <c r="F536" s="11" t="s">
        <v>3699</v>
      </c>
      <c r="G536" s="11" t="s">
        <v>3701</v>
      </c>
      <c r="H536" s="11"/>
      <c r="I536" s="11" t="s">
        <v>3702</v>
      </c>
      <c r="J536" s="11" t="s">
        <v>3703</v>
      </c>
      <c r="K536" s="11" t="s">
        <v>2571</v>
      </c>
      <c r="L536" s="11" t="s">
        <v>3704</v>
      </c>
      <c r="M536" s="11" t="s">
        <v>3705</v>
      </c>
      <c r="N536" s="14" t="n">
        <v>1</v>
      </c>
      <c r="O536" s="14" t="n">
        <v>3</v>
      </c>
      <c r="P536" s="14" t="n">
        <v>3</v>
      </c>
      <c r="Q536" s="14"/>
      <c r="R536" s="12" t="n">
        <f aca="false">IF(OR(N536="",P536=""),"",ROUND(N536*O536/P536,1))</f>
        <v>1</v>
      </c>
      <c r="S536" s="13" t="n">
        <f aca="false">IF(R536="","",IF(Q536="Y",1,IF(P536&gt;='Read me'!$B$16,3,IF(AND(R536&gt;='Read me'!$B$14,P536&lt;='Read me'!$B$15),1,2))))</f>
        <v>2</v>
      </c>
    </row>
    <row r="537" customFormat="false" ht="15" hidden="false" customHeight="false" outlineLevel="0" collapsed="false">
      <c r="A537" s="11" t="s">
        <v>3706</v>
      </c>
      <c r="B537" s="11" t="s">
        <v>36</v>
      </c>
      <c r="C537" s="11" t="s">
        <v>170</v>
      </c>
      <c r="D537" s="11" t="s">
        <v>171</v>
      </c>
      <c r="E537" s="11" t="s">
        <v>802</v>
      </c>
      <c r="F537" s="11" t="s">
        <v>899</v>
      </c>
      <c r="G537" s="11" t="s">
        <v>3707</v>
      </c>
      <c r="H537" s="11"/>
      <c r="I537" s="11" t="s">
        <v>3708</v>
      </c>
      <c r="J537" s="11" t="s">
        <v>3709</v>
      </c>
      <c r="K537" s="11" t="s">
        <v>2801</v>
      </c>
      <c r="L537" s="11" t="s">
        <v>3551</v>
      </c>
      <c r="M537" s="11"/>
      <c r="N537" s="14" t="n">
        <v>2</v>
      </c>
      <c r="O537" s="14" t="n">
        <v>3</v>
      </c>
      <c r="P537" s="14" t="n">
        <v>2</v>
      </c>
      <c r="Q537" s="14"/>
      <c r="R537" s="12" t="n">
        <f aca="false">IF(OR(N537="",P537=""),"",ROUND(N537*O537/P537,1))</f>
        <v>3</v>
      </c>
      <c r="S537" s="13" t="n">
        <f aca="false">IF(R537="","",IF(Q537="Y",1,IF(P537&gt;='Read me'!$B$16,3,IF(AND(R537&gt;='Read me'!$B$14,P537&lt;='Read me'!$B$15),1,2))))</f>
        <v>2</v>
      </c>
    </row>
    <row r="538" customFormat="false" ht="23.85" hidden="false" customHeight="false" outlineLevel="0" collapsed="false">
      <c r="A538" s="11" t="s">
        <v>3710</v>
      </c>
      <c r="B538" s="11" t="s">
        <v>36</v>
      </c>
      <c r="C538" s="11" t="s">
        <v>170</v>
      </c>
      <c r="D538" s="11" t="s">
        <v>171</v>
      </c>
      <c r="E538" s="11" t="s">
        <v>802</v>
      </c>
      <c r="F538" s="11" t="s">
        <v>3214</v>
      </c>
      <c r="G538" s="11" t="s">
        <v>1854</v>
      </c>
      <c r="H538" s="11"/>
      <c r="I538" s="11" t="s">
        <v>3711</v>
      </c>
      <c r="J538" s="11" t="s">
        <v>3712</v>
      </c>
      <c r="K538" s="11" t="s">
        <v>3713</v>
      </c>
      <c r="L538" s="11" t="s">
        <v>3714</v>
      </c>
      <c r="M538" s="11"/>
      <c r="N538" s="14" t="n">
        <v>2</v>
      </c>
      <c r="O538" s="14" t="n">
        <v>3</v>
      </c>
      <c r="P538" s="14" t="n">
        <v>1</v>
      </c>
      <c r="Q538" s="14"/>
      <c r="R538" s="12" t="n">
        <f aca="false">IF(OR(N538="",P538=""),"",ROUND(N538*O538/P538,1))</f>
        <v>6</v>
      </c>
      <c r="S538" s="13" t="n">
        <f aca="false">IF(R538="","",IF(Q538="Y",1,IF(P538&gt;='Read me'!$B$16,3,IF(AND(R538&gt;='Read me'!$B$14,P538&lt;='Read me'!$B$15),1,2))))</f>
        <v>1</v>
      </c>
    </row>
    <row r="539" customFormat="false" ht="23.85" hidden="false" customHeight="false" outlineLevel="0" collapsed="false">
      <c r="A539" s="11" t="s">
        <v>3715</v>
      </c>
      <c r="B539" s="11" t="s">
        <v>36</v>
      </c>
      <c r="C539" s="11" t="s">
        <v>170</v>
      </c>
      <c r="D539" s="11" t="s">
        <v>171</v>
      </c>
      <c r="E539" s="11" t="s">
        <v>765</v>
      </c>
      <c r="F539" s="11" t="s">
        <v>3716</v>
      </c>
      <c r="G539" s="11" t="s">
        <v>3717</v>
      </c>
      <c r="H539" s="11"/>
      <c r="I539" s="11" t="s">
        <v>3718</v>
      </c>
      <c r="J539" s="11" t="s">
        <v>3719</v>
      </c>
      <c r="K539" s="11" t="s">
        <v>3720</v>
      </c>
      <c r="L539" s="11" t="s">
        <v>3721</v>
      </c>
      <c r="M539" s="11"/>
      <c r="N539" s="14" t="n">
        <v>4</v>
      </c>
      <c r="O539" s="14" t="n">
        <v>3</v>
      </c>
      <c r="P539" s="14" t="n">
        <v>2</v>
      </c>
      <c r="Q539" s="14"/>
      <c r="R539" s="12" t="n">
        <f aca="false">IF(OR(N539="",P539=""),"",ROUND(N539*O539/P539,1))</f>
        <v>6</v>
      </c>
      <c r="S539" s="13" t="n">
        <f aca="false">IF(R539="","",IF(Q539="Y",1,IF(P539&gt;='Read me'!$B$16,3,IF(AND(R539&gt;='Read me'!$B$14,P539&lt;='Read me'!$B$15),1,2))))</f>
        <v>1</v>
      </c>
    </row>
    <row r="540" customFormat="false" ht="23.85" hidden="false" customHeight="false" outlineLevel="0" collapsed="false">
      <c r="A540" s="11" t="s">
        <v>3722</v>
      </c>
      <c r="B540" s="11" t="s">
        <v>36</v>
      </c>
      <c r="C540" s="11" t="s">
        <v>170</v>
      </c>
      <c r="D540" s="11" t="s">
        <v>171</v>
      </c>
      <c r="E540" s="11" t="s">
        <v>765</v>
      </c>
      <c r="F540" s="11" t="s">
        <v>1046</v>
      </c>
      <c r="G540" s="11" t="s">
        <v>1944</v>
      </c>
      <c r="H540" s="11"/>
      <c r="I540" s="11" t="s">
        <v>512</v>
      </c>
      <c r="J540" s="11" t="s">
        <v>3723</v>
      </c>
      <c r="K540" s="11" t="s">
        <v>1049</v>
      </c>
      <c r="L540" s="11" t="s">
        <v>3724</v>
      </c>
      <c r="M540" s="11"/>
      <c r="N540" s="14" t="n">
        <v>4</v>
      </c>
      <c r="O540" s="14" t="n">
        <v>3</v>
      </c>
      <c r="P540" s="14" t="n">
        <v>1</v>
      </c>
      <c r="Q540" s="14"/>
      <c r="R540" s="12" t="n">
        <f aca="false">IF(OR(N540="",P540=""),"",ROUND(N540*O540/P540,1))</f>
        <v>12</v>
      </c>
      <c r="S540" s="13" t="n">
        <f aca="false">IF(R540="","",IF(Q540="Y",1,IF(P540&gt;='Read me'!$B$16,3,IF(AND(R540&gt;='Read me'!$B$14,P540&lt;='Read me'!$B$15),1,2))))</f>
        <v>1</v>
      </c>
    </row>
    <row r="541" customFormat="false" ht="23.85" hidden="false" customHeight="false" outlineLevel="0" collapsed="false">
      <c r="A541" s="11" t="s">
        <v>3725</v>
      </c>
      <c r="B541" s="11" t="s">
        <v>36</v>
      </c>
      <c r="C541" s="11" t="s">
        <v>170</v>
      </c>
      <c r="D541" s="11" t="s">
        <v>171</v>
      </c>
      <c r="E541" s="11" t="s">
        <v>765</v>
      </c>
      <c r="F541" s="11" t="s">
        <v>945</v>
      </c>
      <c r="G541" s="11" t="s">
        <v>822</v>
      </c>
      <c r="H541" s="11"/>
      <c r="I541" s="11" t="s">
        <v>3726</v>
      </c>
      <c r="J541" s="11" t="s">
        <v>3727</v>
      </c>
      <c r="K541" s="11" t="s">
        <v>3345</v>
      </c>
      <c r="L541" s="11" t="s">
        <v>3728</v>
      </c>
      <c r="M541" s="11"/>
      <c r="N541" s="14" t="n">
        <v>3</v>
      </c>
      <c r="O541" s="14" t="n">
        <v>3</v>
      </c>
      <c r="P541" s="14" t="n">
        <v>3</v>
      </c>
      <c r="Q541" s="14"/>
      <c r="R541" s="12" t="n">
        <f aca="false">IF(OR(N541="",P541=""),"",ROUND(N541*O541/P541,1))</f>
        <v>3</v>
      </c>
      <c r="S541" s="13" t="n">
        <f aca="false">IF(R541="","",IF(Q541="Y",1,IF(P541&gt;='Read me'!$B$16,3,IF(AND(R541&gt;='Read me'!$B$14,P541&lt;='Read me'!$B$15),1,2))))</f>
        <v>2</v>
      </c>
    </row>
    <row r="542" customFormat="false" ht="15" hidden="false" customHeight="false" outlineLevel="0" collapsed="false">
      <c r="A542" s="11" t="s">
        <v>3729</v>
      </c>
      <c r="B542" s="11" t="s">
        <v>36</v>
      </c>
      <c r="C542" s="11" t="s">
        <v>170</v>
      </c>
      <c r="D542" s="11" t="s">
        <v>171</v>
      </c>
      <c r="E542" s="11" t="s">
        <v>765</v>
      </c>
      <c r="F542" s="11" t="s">
        <v>3730</v>
      </c>
      <c r="G542" s="11" t="s">
        <v>822</v>
      </c>
      <c r="H542" s="11"/>
      <c r="I542" s="11" t="s">
        <v>3731</v>
      </c>
      <c r="J542" s="11" t="s">
        <v>3732</v>
      </c>
      <c r="K542" s="11" t="s">
        <v>1609</v>
      </c>
      <c r="L542" s="11" t="s">
        <v>3733</v>
      </c>
      <c r="M542" s="11"/>
      <c r="N542" s="14" t="n">
        <v>3</v>
      </c>
      <c r="O542" s="14" t="n">
        <v>3</v>
      </c>
      <c r="P542" s="14" t="n">
        <v>4</v>
      </c>
      <c r="Q542" s="14"/>
      <c r="R542" s="12" t="n">
        <f aca="false">IF(OR(N542="",P542=""),"",ROUND(N542*O542/P542,1))</f>
        <v>2.3</v>
      </c>
      <c r="S542" s="13" t="n">
        <f aca="false">IF(R542="","",IF(Q542="Y",1,IF(P542&gt;='Read me'!$B$16,3,IF(AND(R542&gt;='Read me'!$B$14,P542&lt;='Read me'!$B$15),1,2))))</f>
        <v>3</v>
      </c>
    </row>
    <row r="543" customFormat="false" ht="23.85" hidden="false" customHeight="false" outlineLevel="0" collapsed="false">
      <c r="A543" s="11" t="s">
        <v>3734</v>
      </c>
      <c r="B543" s="11" t="s">
        <v>36</v>
      </c>
      <c r="C543" s="11" t="s">
        <v>170</v>
      </c>
      <c r="D543" s="11" t="s">
        <v>171</v>
      </c>
      <c r="E543" s="11" t="s">
        <v>1081</v>
      </c>
      <c r="F543" s="11" t="s">
        <v>2372</v>
      </c>
      <c r="G543" s="11" t="s">
        <v>3735</v>
      </c>
      <c r="H543" s="11"/>
      <c r="I543" s="11" t="s">
        <v>3736</v>
      </c>
      <c r="J543" s="11" t="s">
        <v>3737</v>
      </c>
      <c r="K543" s="11" t="s">
        <v>3738</v>
      </c>
      <c r="L543" s="11" t="s">
        <v>3739</v>
      </c>
      <c r="M543" s="11"/>
      <c r="N543" s="14" t="n">
        <v>2</v>
      </c>
      <c r="O543" s="14" t="n">
        <v>3</v>
      </c>
      <c r="P543" s="14" t="n">
        <v>3</v>
      </c>
      <c r="Q543" s="14"/>
      <c r="R543" s="12" t="n">
        <f aca="false">IF(OR(N543="",P543=""),"",ROUND(N543*O543/P543,1))</f>
        <v>2</v>
      </c>
      <c r="S543" s="13" t="n">
        <f aca="false">IF(R543="","",IF(Q543="Y",1,IF(P543&gt;='Read me'!$B$16,3,IF(AND(R543&gt;='Read me'!$B$14,P543&lt;='Read me'!$B$15),1,2))))</f>
        <v>2</v>
      </c>
    </row>
    <row r="544" customFormat="false" ht="23.85" hidden="false" customHeight="false" outlineLevel="0" collapsed="false">
      <c r="A544" s="11" t="s">
        <v>3740</v>
      </c>
      <c r="B544" s="11" t="s">
        <v>36</v>
      </c>
      <c r="C544" s="11" t="s">
        <v>170</v>
      </c>
      <c r="D544" s="11" t="s">
        <v>171</v>
      </c>
      <c r="E544" s="11" t="s">
        <v>1081</v>
      </c>
      <c r="F544" s="11" t="s">
        <v>3741</v>
      </c>
      <c r="G544" s="11" t="s">
        <v>3742</v>
      </c>
      <c r="H544" s="11" t="s">
        <v>3743</v>
      </c>
      <c r="I544" s="11" t="s">
        <v>3744</v>
      </c>
      <c r="J544" s="11" t="s">
        <v>3745</v>
      </c>
      <c r="K544" s="11" t="s">
        <v>3746</v>
      </c>
      <c r="L544" s="11" t="s">
        <v>3747</v>
      </c>
      <c r="M544" s="11"/>
      <c r="N544" s="14" t="n">
        <v>1</v>
      </c>
      <c r="O544" s="14" t="n">
        <v>4</v>
      </c>
      <c r="P544" s="14" t="n">
        <v>4</v>
      </c>
      <c r="Q544" s="14"/>
      <c r="R544" s="12" t="n">
        <f aca="false">IF(OR(N544="",P544=""),"",ROUND(N544*O544/P544,1))</f>
        <v>1</v>
      </c>
      <c r="S544" s="13" t="n">
        <f aca="false">IF(R544="","",IF(Q544="Y",1,IF(P544&gt;='Read me'!$B$16,3,IF(AND(R544&gt;='Read me'!$B$14,P544&lt;='Read me'!$B$15),1,2))))</f>
        <v>3</v>
      </c>
    </row>
    <row r="545" customFormat="false" ht="23.85" hidden="false" customHeight="false" outlineLevel="0" collapsed="false">
      <c r="A545" s="11" t="s">
        <v>3748</v>
      </c>
      <c r="B545" s="11" t="s">
        <v>36</v>
      </c>
      <c r="C545" s="11" t="s">
        <v>170</v>
      </c>
      <c r="D545" s="11" t="s">
        <v>171</v>
      </c>
      <c r="E545" s="11" t="s">
        <v>1081</v>
      </c>
      <c r="F545" s="11" t="s">
        <v>3560</v>
      </c>
      <c r="G545" s="11" t="s">
        <v>2873</v>
      </c>
      <c r="H545" s="11" t="s">
        <v>3749</v>
      </c>
      <c r="I545" s="11" t="s">
        <v>3750</v>
      </c>
      <c r="J545" s="11" t="s">
        <v>3751</v>
      </c>
      <c r="K545" s="11" t="s">
        <v>675</v>
      </c>
      <c r="L545" s="11" t="s">
        <v>3752</v>
      </c>
      <c r="M545" s="11" t="s">
        <v>3753</v>
      </c>
      <c r="N545" s="14" t="n">
        <v>1</v>
      </c>
      <c r="O545" s="14" t="n">
        <v>3</v>
      </c>
      <c r="P545" s="14" t="n">
        <v>5</v>
      </c>
      <c r="Q545" s="14"/>
      <c r="R545" s="12" t="n">
        <f aca="false">IF(OR(N545="",P545=""),"",ROUND(N545*O545/P545,1))</f>
        <v>0.6</v>
      </c>
      <c r="S545" s="13" t="n">
        <f aca="false">IF(R545="","",IF(Q545="Y",1,IF(P545&gt;='Read me'!$B$16,3,IF(AND(R545&gt;='Read me'!$B$14,P545&lt;='Read me'!$B$15),1,2))))</f>
        <v>3</v>
      </c>
    </row>
    <row r="546" customFormat="false" ht="23.85" hidden="false" customHeight="false" outlineLevel="0" collapsed="false">
      <c r="A546" s="11" t="s">
        <v>3754</v>
      </c>
      <c r="B546" s="11" t="s">
        <v>36</v>
      </c>
      <c r="C546" s="11" t="s">
        <v>170</v>
      </c>
      <c r="D546" s="11" t="s">
        <v>171</v>
      </c>
      <c r="E546" s="11" t="s">
        <v>1187</v>
      </c>
      <c r="F546" s="11" t="s">
        <v>3755</v>
      </c>
      <c r="G546" s="11" t="s">
        <v>3576</v>
      </c>
      <c r="H546" s="11" t="s">
        <v>1700</v>
      </c>
      <c r="I546" s="11" t="s">
        <v>512</v>
      </c>
      <c r="J546" s="11" t="s">
        <v>3756</v>
      </c>
      <c r="K546" s="11" t="s">
        <v>3578</v>
      </c>
      <c r="L546" s="11" t="s">
        <v>3757</v>
      </c>
      <c r="M546" s="11"/>
      <c r="N546" s="14" t="n">
        <v>2</v>
      </c>
      <c r="O546" s="14" t="n">
        <v>4</v>
      </c>
      <c r="P546" s="14" t="n">
        <v>4</v>
      </c>
      <c r="Q546" s="14"/>
      <c r="R546" s="12" t="n">
        <f aca="false">IF(OR(N546="",P546=""),"",ROUND(N546*O546/P546,1))</f>
        <v>2</v>
      </c>
      <c r="S546" s="13" t="n">
        <f aca="false">IF(R546="","",IF(Q546="Y",1,IF(P546&gt;='Read me'!$B$16,3,IF(AND(R546&gt;='Read me'!$B$14,P546&lt;='Read me'!$B$15),1,2))))</f>
        <v>3</v>
      </c>
    </row>
    <row r="547" customFormat="false" ht="23.85" hidden="false" customHeight="false" outlineLevel="0" collapsed="false">
      <c r="A547" s="11" t="s">
        <v>3758</v>
      </c>
      <c r="B547" s="11" t="s">
        <v>36</v>
      </c>
      <c r="C547" s="11" t="s">
        <v>170</v>
      </c>
      <c r="D547" s="11" t="s">
        <v>171</v>
      </c>
      <c r="E547" s="11" t="s">
        <v>1187</v>
      </c>
      <c r="F547" s="11" t="s">
        <v>3755</v>
      </c>
      <c r="G547" s="11" t="s">
        <v>3759</v>
      </c>
      <c r="H547" s="11" t="s">
        <v>1700</v>
      </c>
      <c r="I547" s="11" t="s">
        <v>512</v>
      </c>
      <c r="J547" s="11" t="s">
        <v>3760</v>
      </c>
      <c r="K547" s="11" t="s">
        <v>2222</v>
      </c>
      <c r="L547" s="11" t="s">
        <v>3761</v>
      </c>
      <c r="M547" s="11"/>
      <c r="N547" s="14" t="n">
        <v>1</v>
      </c>
      <c r="O547" s="14" t="n">
        <v>3</v>
      </c>
      <c r="P547" s="14" t="n">
        <v>3</v>
      </c>
      <c r="Q547" s="14"/>
      <c r="R547" s="12" t="n">
        <f aca="false">IF(OR(N547="",P547=""),"",ROUND(N547*O547/P547,1))</f>
        <v>1</v>
      </c>
      <c r="S547" s="13" t="n">
        <f aca="false">IF(R547="","",IF(Q547="Y",1,IF(P547&gt;='Read me'!$B$16,3,IF(AND(R547&gt;='Read me'!$B$14,P547&lt;='Read me'!$B$15),1,2))))</f>
        <v>2</v>
      </c>
    </row>
    <row r="548" customFormat="false" ht="23.85" hidden="false" customHeight="false" outlineLevel="0" collapsed="false">
      <c r="A548" s="11" t="s">
        <v>3762</v>
      </c>
      <c r="B548" s="11" t="s">
        <v>36</v>
      </c>
      <c r="C548" s="11" t="s">
        <v>170</v>
      </c>
      <c r="D548" s="11" t="s">
        <v>171</v>
      </c>
      <c r="E548" s="11" t="s">
        <v>1133</v>
      </c>
      <c r="F548" s="11" t="s">
        <v>3763</v>
      </c>
      <c r="G548" s="11" t="s">
        <v>3764</v>
      </c>
      <c r="H548" s="11"/>
      <c r="I548" s="11" t="s">
        <v>3765</v>
      </c>
      <c r="J548" s="11" t="s">
        <v>3766</v>
      </c>
      <c r="K548" s="11" t="s">
        <v>1028</v>
      </c>
      <c r="L548" s="11" t="s">
        <v>3767</v>
      </c>
      <c r="M548" s="11" t="s">
        <v>3768</v>
      </c>
      <c r="N548" s="14" t="n">
        <v>1</v>
      </c>
      <c r="O548" s="14" t="n">
        <v>1</v>
      </c>
      <c r="P548" s="14" t="n">
        <v>1</v>
      </c>
      <c r="Q548" s="14"/>
      <c r="R548" s="12" t="n">
        <f aca="false">IF(OR(N548="",P548=""),"",ROUND(N548*O548/P548,1))</f>
        <v>1</v>
      </c>
      <c r="S548" s="13" t="n">
        <f aca="false">IF(R548="","",IF(Q548="Y",1,IF(P548&gt;='Read me'!$B$16,3,IF(AND(R548&gt;='Read me'!$B$14,P548&lt;='Read me'!$B$15),1,2))))</f>
        <v>2</v>
      </c>
    </row>
    <row r="549" customFormat="false" ht="23.85" hidden="false" customHeight="false" outlineLevel="0" collapsed="false">
      <c r="A549" s="11" t="s">
        <v>3769</v>
      </c>
      <c r="B549" s="11" t="s">
        <v>36</v>
      </c>
      <c r="C549" s="11" t="s">
        <v>170</v>
      </c>
      <c r="D549" s="11" t="s">
        <v>171</v>
      </c>
      <c r="E549" s="11" t="s">
        <v>1133</v>
      </c>
      <c r="F549" s="11" t="s">
        <v>1147</v>
      </c>
      <c r="G549" s="11" t="s">
        <v>3569</v>
      </c>
      <c r="H549" s="11"/>
      <c r="I549" s="11" t="s">
        <v>3770</v>
      </c>
      <c r="J549" s="11" t="s">
        <v>3771</v>
      </c>
      <c r="K549" s="11" t="s">
        <v>1151</v>
      </c>
      <c r="L549" s="11" t="s">
        <v>3772</v>
      </c>
      <c r="M549" s="11" t="s">
        <v>3592</v>
      </c>
      <c r="N549" s="14" t="n">
        <v>1</v>
      </c>
      <c r="O549" s="14" t="n">
        <v>3</v>
      </c>
      <c r="P549" s="14" t="n">
        <v>4</v>
      </c>
      <c r="Q549" s="14"/>
      <c r="R549" s="12" t="n">
        <f aca="false">IF(OR(N549="",P549=""),"",ROUND(N549*O549/P549,1))</f>
        <v>0.8</v>
      </c>
      <c r="S549" s="13" t="n">
        <f aca="false">IF(R549="","",IF(Q549="Y",1,IF(P549&gt;='Read me'!$B$16,3,IF(AND(R549&gt;='Read me'!$B$14,P549&lt;='Read me'!$B$15),1,2))))</f>
        <v>3</v>
      </c>
    </row>
    <row r="550" customFormat="false" ht="15" hidden="false" customHeight="false" outlineLevel="0" collapsed="false">
      <c r="A550" s="11" t="s">
        <v>3773</v>
      </c>
      <c r="B550" s="11" t="s">
        <v>36</v>
      </c>
      <c r="C550" s="11" t="s">
        <v>170</v>
      </c>
      <c r="D550" s="11" t="s">
        <v>171</v>
      </c>
      <c r="E550" s="11" t="s">
        <v>1133</v>
      </c>
      <c r="F550" s="11" t="s">
        <v>3774</v>
      </c>
      <c r="G550" s="11" t="s">
        <v>1135</v>
      </c>
      <c r="H550" s="11"/>
      <c r="I550" s="11" t="s">
        <v>1136</v>
      </c>
      <c r="J550" s="11" t="s">
        <v>1137</v>
      </c>
      <c r="K550" s="11" t="s">
        <v>1138</v>
      </c>
      <c r="L550" s="11" t="s">
        <v>3775</v>
      </c>
      <c r="M550" s="11"/>
      <c r="N550" s="14" t="n">
        <v>3</v>
      </c>
      <c r="O550" s="14" t="n">
        <v>2</v>
      </c>
      <c r="P550" s="14" t="n">
        <v>1</v>
      </c>
      <c r="Q550" s="14"/>
      <c r="R550" s="12" t="n">
        <f aca="false">IF(OR(N550="",P550=""),"",ROUND(N550*O550/P550,1))</f>
        <v>6</v>
      </c>
      <c r="S550" s="13" t="n">
        <f aca="false">IF(R550="","",IF(Q550="Y",1,IF(P550&gt;='Read me'!$B$16,3,IF(AND(R550&gt;='Read me'!$B$14,P550&lt;='Read me'!$B$15),1,2))))</f>
        <v>1</v>
      </c>
    </row>
    <row r="551" customFormat="false" ht="23.85" hidden="false" customHeight="false" outlineLevel="0" collapsed="false">
      <c r="A551" s="11" t="s">
        <v>3776</v>
      </c>
      <c r="B551" s="11" t="s">
        <v>36</v>
      </c>
      <c r="C551" s="11" t="s">
        <v>174</v>
      </c>
      <c r="D551" s="11" t="s">
        <v>175</v>
      </c>
      <c r="E551" s="11" t="s">
        <v>476</v>
      </c>
      <c r="F551" s="11" t="s">
        <v>3777</v>
      </c>
      <c r="G551" s="11" t="s">
        <v>597</v>
      </c>
      <c r="H551" s="11"/>
      <c r="I551" s="11" t="s">
        <v>3778</v>
      </c>
      <c r="J551" s="11" t="s">
        <v>3779</v>
      </c>
      <c r="K551" s="11" t="s">
        <v>3385</v>
      </c>
      <c r="L551" s="11" t="s">
        <v>3780</v>
      </c>
      <c r="M551" s="11" t="s">
        <v>3781</v>
      </c>
      <c r="N551" s="14" t="n">
        <v>4</v>
      </c>
      <c r="O551" s="14" t="n">
        <v>4</v>
      </c>
      <c r="P551" s="14" t="n">
        <v>1</v>
      </c>
      <c r="Q551" s="14"/>
      <c r="R551" s="12" t="n">
        <f aca="false">IF(OR(N551="",P551=""),"",ROUND(N551*O551/P551,1))</f>
        <v>16</v>
      </c>
      <c r="S551" s="13" t="n">
        <f aca="false">IF(R551="","",IF(Q551="Y",1,IF(P551&gt;='Read me'!$B$16,3,IF(AND(R551&gt;='Read me'!$B$14,P551&lt;='Read me'!$B$15),1,2))))</f>
        <v>1</v>
      </c>
    </row>
    <row r="552" customFormat="false" ht="23.85" hidden="false" customHeight="false" outlineLevel="0" collapsed="false">
      <c r="A552" s="11" t="s">
        <v>3782</v>
      </c>
      <c r="B552" s="11" t="s">
        <v>36</v>
      </c>
      <c r="C552" s="11" t="s">
        <v>174</v>
      </c>
      <c r="D552" s="11" t="s">
        <v>175</v>
      </c>
      <c r="E552" s="11" t="s">
        <v>476</v>
      </c>
      <c r="F552" s="11" t="s">
        <v>3777</v>
      </c>
      <c r="G552" s="11" t="s">
        <v>3783</v>
      </c>
      <c r="H552" s="11"/>
      <c r="I552" s="11" t="s">
        <v>3784</v>
      </c>
      <c r="J552" s="11" t="s">
        <v>3785</v>
      </c>
      <c r="K552" s="11" t="s">
        <v>3606</v>
      </c>
      <c r="L552" s="11" t="s">
        <v>3786</v>
      </c>
      <c r="M552" s="11" t="s">
        <v>3781</v>
      </c>
      <c r="N552" s="14" t="n">
        <v>3</v>
      </c>
      <c r="O552" s="14" t="n">
        <v>4</v>
      </c>
      <c r="P552" s="14" t="n">
        <v>1</v>
      </c>
      <c r="Q552" s="14"/>
      <c r="R552" s="12" t="n">
        <f aca="false">IF(OR(N552="",P552=""),"",ROUND(N552*O552/P552,1))</f>
        <v>12</v>
      </c>
      <c r="S552" s="13" t="n">
        <f aca="false">IF(R552="","",IF(Q552="Y",1,IF(P552&gt;='Read me'!$B$16,3,IF(AND(R552&gt;='Read me'!$B$14,P552&lt;='Read me'!$B$15),1,2))))</f>
        <v>1</v>
      </c>
    </row>
    <row r="553" customFormat="false" ht="23.85" hidden="false" customHeight="false" outlineLevel="0" collapsed="false">
      <c r="A553" s="11" t="s">
        <v>3787</v>
      </c>
      <c r="B553" s="11" t="s">
        <v>36</v>
      </c>
      <c r="C553" s="11" t="s">
        <v>174</v>
      </c>
      <c r="D553" s="11" t="s">
        <v>175</v>
      </c>
      <c r="E553" s="11" t="s">
        <v>476</v>
      </c>
      <c r="F553" s="11" t="s">
        <v>3777</v>
      </c>
      <c r="G553" s="11" t="s">
        <v>3515</v>
      </c>
      <c r="H553" s="11"/>
      <c r="I553" s="11" t="s">
        <v>3788</v>
      </c>
      <c r="J553" s="11" t="s">
        <v>3789</v>
      </c>
      <c r="K553" s="11" t="s">
        <v>3606</v>
      </c>
      <c r="L553" s="11" t="s">
        <v>3790</v>
      </c>
      <c r="M553" s="11" t="s">
        <v>3781</v>
      </c>
      <c r="N553" s="14" t="n">
        <v>3</v>
      </c>
      <c r="O553" s="14" t="n">
        <v>4</v>
      </c>
      <c r="P553" s="14" t="n">
        <v>1</v>
      </c>
      <c r="Q553" s="14"/>
      <c r="R553" s="12" t="n">
        <f aca="false">IF(OR(N553="",P553=""),"",ROUND(N553*O553/P553,1))</f>
        <v>12</v>
      </c>
      <c r="S553" s="13" t="n">
        <f aca="false">IF(R553="","",IF(Q553="Y",1,IF(P553&gt;='Read me'!$B$16,3,IF(AND(R553&gt;='Read me'!$B$14,P553&lt;='Read me'!$B$15),1,2))))</f>
        <v>1</v>
      </c>
    </row>
    <row r="554" customFormat="false" ht="35.05" hidden="false" customHeight="false" outlineLevel="0" collapsed="false">
      <c r="A554" s="11" t="s">
        <v>3791</v>
      </c>
      <c r="B554" s="11" t="s">
        <v>36</v>
      </c>
      <c r="C554" s="11" t="s">
        <v>174</v>
      </c>
      <c r="D554" s="11" t="s">
        <v>175</v>
      </c>
      <c r="E554" s="11" t="s">
        <v>476</v>
      </c>
      <c r="F554" s="11" t="s">
        <v>3792</v>
      </c>
      <c r="G554" s="11" t="s">
        <v>1393</v>
      </c>
      <c r="H554" s="11"/>
      <c r="I554" s="11" t="s">
        <v>512</v>
      </c>
      <c r="J554" s="11" t="s">
        <v>3793</v>
      </c>
      <c r="K554" s="11" t="s">
        <v>3794</v>
      </c>
      <c r="L554" s="11" t="s">
        <v>2080</v>
      </c>
      <c r="M554" s="11" t="s">
        <v>3376</v>
      </c>
      <c r="N554" s="14" t="n">
        <v>3</v>
      </c>
      <c r="O554" s="14" t="n">
        <v>4</v>
      </c>
      <c r="P554" s="14" t="n">
        <v>2</v>
      </c>
      <c r="Q554" s="14"/>
      <c r="R554" s="12" t="n">
        <f aca="false">IF(OR(N554="",P554=""),"",ROUND(N554*O554/P554,1))</f>
        <v>6</v>
      </c>
      <c r="S554" s="13" t="n">
        <f aca="false">IF(R554="","",IF(Q554="Y",1,IF(P554&gt;='Read me'!$B$16,3,IF(AND(R554&gt;='Read me'!$B$14,P554&lt;='Read me'!$B$15),1,2))))</f>
        <v>1</v>
      </c>
    </row>
    <row r="555" customFormat="false" ht="23.85" hidden="false" customHeight="false" outlineLevel="0" collapsed="false">
      <c r="A555" s="11" t="s">
        <v>3795</v>
      </c>
      <c r="B555" s="11" t="s">
        <v>36</v>
      </c>
      <c r="C555" s="11" t="s">
        <v>174</v>
      </c>
      <c r="D555" s="11" t="s">
        <v>175</v>
      </c>
      <c r="E555" s="11" t="s">
        <v>476</v>
      </c>
      <c r="F555" s="11" t="s">
        <v>3796</v>
      </c>
      <c r="G555" s="11" t="s">
        <v>3797</v>
      </c>
      <c r="H555" s="11"/>
      <c r="I555" s="11" t="s">
        <v>3798</v>
      </c>
      <c r="J555" s="11" t="s">
        <v>3799</v>
      </c>
      <c r="K555" s="11" t="s">
        <v>3800</v>
      </c>
      <c r="L555" s="11" t="s">
        <v>3801</v>
      </c>
      <c r="M555" s="11" t="s">
        <v>3781</v>
      </c>
      <c r="N555" s="14" t="n">
        <v>2</v>
      </c>
      <c r="O555" s="14" t="n">
        <v>4</v>
      </c>
      <c r="P555" s="14" t="n">
        <v>2</v>
      </c>
      <c r="Q555" s="14"/>
      <c r="R555" s="12" t="n">
        <f aca="false">IF(OR(N555="",P555=""),"",ROUND(N555*O555/P555,1))</f>
        <v>4</v>
      </c>
      <c r="S555" s="13" t="n">
        <f aca="false">IF(R555="","",IF(Q555="Y",1,IF(P555&gt;='Read me'!$B$16,3,IF(AND(R555&gt;='Read me'!$B$14,P555&lt;='Read me'!$B$15),1,2))))</f>
        <v>2</v>
      </c>
    </row>
    <row r="556" customFormat="false" ht="23.85" hidden="false" customHeight="false" outlineLevel="0" collapsed="false">
      <c r="A556" s="11" t="s">
        <v>3802</v>
      </c>
      <c r="B556" s="11" t="s">
        <v>36</v>
      </c>
      <c r="C556" s="11" t="s">
        <v>174</v>
      </c>
      <c r="D556" s="11" t="s">
        <v>175</v>
      </c>
      <c r="E556" s="11" t="s">
        <v>626</v>
      </c>
      <c r="F556" s="11" t="s">
        <v>3803</v>
      </c>
      <c r="G556" s="11"/>
      <c r="H556" s="11"/>
      <c r="I556" s="11" t="s">
        <v>3804</v>
      </c>
      <c r="J556" s="11" t="s">
        <v>3805</v>
      </c>
      <c r="K556" s="11" t="s">
        <v>3475</v>
      </c>
      <c r="L556" s="11" t="s">
        <v>3806</v>
      </c>
      <c r="M556" s="11"/>
      <c r="N556" s="14" t="n">
        <v>3</v>
      </c>
      <c r="O556" s="14" t="n">
        <v>3</v>
      </c>
      <c r="P556" s="14" t="n">
        <v>2</v>
      </c>
      <c r="Q556" s="14"/>
      <c r="R556" s="12" t="n">
        <f aca="false">IF(OR(N556="",P556=""),"",ROUND(N556*O556/P556,1))</f>
        <v>4.5</v>
      </c>
      <c r="S556" s="13" t="n">
        <f aca="false">IF(R556="","",IF(Q556="Y",1,IF(P556&gt;='Read me'!$B$16,3,IF(AND(R556&gt;='Read me'!$B$14,P556&lt;='Read me'!$B$15),1,2))))</f>
        <v>2</v>
      </c>
    </row>
    <row r="557" customFormat="false" ht="23.85" hidden="false" customHeight="false" outlineLevel="0" collapsed="false">
      <c r="A557" s="11" t="s">
        <v>3807</v>
      </c>
      <c r="B557" s="11" t="s">
        <v>36</v>
      </c>
      <c r="C557" s="11" t="s">
        <v>174</v>
      </c>
      <c r="D557" s="11" t="s">
        <v>175</v>
      </c>
      <c r="E557" s="11" t="s">
        <v>626</v>
      </c>
      <c r="F557" s="11" t="s">
        <v>3808</v>
      </c>
      <c r="G557" s="11" t="s">
        <v>3402</v>
      </c>
      <c r="H557" s="11"/>
      <c r="I557" s="11" t="s">
        <v>3809</v>
      </c>
      <c r="J557" s="11" t="s">
        <v>3810</v>
      </c>
      <c r="K557" s="11" t="s">
        <v>3811</v>
      </c>
      <c r="L557" s="11" t="s">
        <v>3812</v>
      </c>
      <c r="M557" s="11"/>
      <c r="N557" s="14" t="n">
        <v>3</v>
      </c>
      <c r="O557" s="14" t="n">
        <v>4</v>
      </c>
      <c r="P557" s="14" t="n">
        <v>2</v>
      </c>
      <c r="Q557" s="14"/>
      <c r="R557" s="12" t="n">
        <f aca="false">IF(OR(N557="",P557=""),"",ROUND(N557*O557/P557,1))</f>
        <v>6</v>
      </c>
      <c r="S557" s="13" t="n">
        <f aca="false">IF(R557="","",IF(Q557="Y",1,IF(P557&gt;='Read me'!$B$16,3,IF(AND(R557&gt;='Read me'!$B$14,P557&lt;='Read me'!$B$15),1,2))))</f>
        <v>1</v>
      </c>
    </row>
    <row r="558" customFormat="false" ht="23.85" hidden="false" customHeight="false" outlineLevel="0" collapsed="false">
      <c r="A558" s="11" t="s">
        <v>3813</v>
      </c>
      <c r="B558" s="11" t="s">
        <v>36</v>
      </c>
      <c r="C558" s="11" t="s">
        <v>174</v>
      </c>
      <c r="D558" s="11" t="s">
        <v>175</v>
      </c>
      <c r="E558" s="11" t="s">
        <v>751</v>
      </c>
      <c r="F558" s="11" t="s">
        <v>3814</v>
      </c>
      <c r="G558" s="11" t="s">
        <v>1252</v>
      </c>
      <c r="H558" s="11"/>
      <c r="I558" s="11" t="s">
        <v>3815</v>
      </c>
      <c r="J558" s="11" t="s">
        <v>3816</v>
      </c>
      <c r="K558" s="11" t="s">
        <v>1575</v>
      </c>
      <c r="L558" s="11" t="s">
        <v>3817</v>
      </c>
      <c r="M558" s="11" t="s">
        <v>1577</v>
      </c>
      <c r="N558" s="14" t="n">
        <v>4</v>
      </c>
      <c r="O558" s="14" t="n">
        <v>5</v>
      </c>
      <c r="P558" s="14" t="n">
        <v>3</v>
      </c>
      <c r="Q558" s="14"/>
      <c r="R558" s="12" t="n">
        <f aca="false">IF(OR(N558="",P558=""),"",ROUND(N558*O558/P558,1))</f>
        <v>6.7</v>
      </c>
      <c r="S558" s="13" t="n">
        <f aca="false">IF(R558="","",IF(Q558="Y",1,IF(P558&gt;='Read me'!$B$16,3,IF(AND(R558&gt;='Read me'!$B$14,P558&lt;='Read me'!$B$15),1,2))))</f>
        <v>2</v>
      </c>
    </row>
    <row r="559" customFormat="false" ht="23.85" hidden="false" customHeight="false" outlineLevel="0" collapsed="false">
      <c r="A559" s="11" t="s">
        <v>3818</v>
      </c>
      <c r="B559" s="11" t="s">
        <v>36</v>
      </c>
      <c r="C559" s="11" t="s">
        <v>174</v>
      </c>
      <c r="D559" s="11" t="s">
        <v>175</v>
      </c>
      <c r="E559" s="11" t="s">
        <v>751</v>
      </c>
      <c r="F559" s="11" t="s">
        <v>3819</v>
      </c>
      <c r="G559" s="11" t="s">
        <v>1259</v>
      </c>
      <c r="H559" s="11"/>
      <c r="I559" s="11" t="s">
        <v>3820</v>
      </c>
      <c r="J559" s="11" t="s">
        <v>3821</v>
      </c>
      <c r="K559" s="11" t="s">
        <v>3822</v>
      </c>
      <c r="L559" s="11" t="s">
        <v>3823</v>
      </c>
      <c r="M559" s="11" t="s">
        <v>3781</v>
      </c>
      <c r="N559" s="14" t="n">
        <v>3</v>
      </c>
      <c r="O559" s="14" t="n">
        <v>4</v>
      </c>
      <c r="P559" s="14" t="n">
        <v>3</v>
      </c>
      <c r="Q559" s="14"/>
      <c r="R559" s="12" t="n">
        <f aca="false">IF(OR(N559="",P559=""),"",ROUND(N559*O559/P559,1))</f>
        <v>4</v>
      </c>
      <c r="S559" s="13" t="n">
        <f aca="false">IF(R559="","",IF(Q559="Y",1,IF(P559&gt;='Read me'!$B$16,3,IF(AND(R559&gt;='Read me'!$B$14,P559&lt;='Read me'!$B$15),1,2))))</f>
        <v>2</v>
      </c>
    </row>
    <row r="560" customFormat="false" ht="23.85" hidden="false" customHeight="false" outlineLevel="0" collapsed="false">
      <c r="A560" s="11" t="s">
        <v>3824</v>
      </c>
      <c r="B560" s="11" t="s">
        <v>36</v>
      </c>
      <c r="C560" s="11" t="s">
        <v>174</v>
      </c>
      <c r="D560" s="11" t="s">
        <v>175</v>
      </c>
      <c r="E560" s="11" t="s">
        <v>751</v>
      </c>
      <c r="F560" s="11" t="s">
        <v>3814</v>
      </c>
      <c r="G560" s="11" t="s">
        <v>491</v>
      </c>
      <c r="H560" s="11" t="s">
        <v>1280</v>
      </c>
      <c r="I560" s="11" t="s">
        <v>3825</v>
      </c>
      <c r="J560" s="11" t="s">
        <v>3826</v>
      </c>
      <c r="K560" s="11" t="s">
        <v>2222</v>
      </c>
      <c r="L560" s="11" t="s">
        <v>3497</v>
      </c>
      <c r="M560" s="11"/>
      <c r="N560" s="14" t="n">
        <v>3</v>
      </c>
      <c r="O560" s="14" t="n">
        <v>3</v>
      </c>
      <c r="P560" s="14" t="n">
        <v>2</v>
      </c>
      <c r="Q560" s="14"/>
      <c r="R560" s="12" t="n">
        <f aca="false">IF(OR(N560="",P560=""),"",ROUND(N560*O560/P560,1))</f>
        <v>4.5</v>
      </c>
      <c r="S560" s="13" t="n">
        <f aca="false">IF(R560="","",IF(Q560="Y",1,IF(P560&gt;='Read me'!$B$16,3,IF(AND(R560&gt;='Read me'!$B$14,P560&lt;='Read me'!$B$15),1,2))))</f>
        <v>2</v>
      </c>
    </row>
    <row r="561" customFormat="false" ht="23.85" hidden="false" customHeight="false" outlineLevel="0" collapsed="false">
      <c r="A561" s="11" t="s">
        <v>3827</v>
      </c>
      <c r="B561" s="11" t="s">
        <v>36</v>
      </c>
      <c r="C561" s="11" t="s">
        <v>174</v>
      </c>
      <c r="D561" s="11" t="s">
        <v>175</v>
      </c>
      <c r="E561" s="11" t="s">
        <v>751</v>
      </c>
      <c r="F561" s="11" t="s">
        <v>3828</v>
      </c>
      <c r="G561" s="11" t="s">
        <v>3515</v>
      </c>
      <c r="H561" s="11"/>
      <c r="I561" s="11" t="s">
        <v>3829</v>
      </c>
      <c r="J561" s="11" t="s">
        <v>3830</v>
      </c>
      <c r="K561" s="11" t="s">
        <v>2571</v>
      </c>
      <c r="L561" s="11" t="s">
        <v>3831</v>
      </c>
      <c r="M561" s="11" t="s">
        <v>3705</v>
      </c>
      <c r="N561" s="14" t="n">
        <v>1</v>
      </c>
      <c r="O561" s="14" t="n">
        <v>3</v>
      </c>
      <c r="P561" s="14" t="n">
        <v>3</v>
      </c>
      <c r="Q561" s="14"/>
      <c r="R561" s="12" t="n">
        <f aca="false">IF(OR(N561="",P561=""),"",ROUND(N561*O561/P561,1))</f>
        <v>1</v>
      </c>
      <c r="S561" s="13" t="n">
        <f aca="false">IF(R561="","",IF(Q561="Y",1,IF(P561&gt;='Read me'!$B$16,3,IF(AND(R561&gt;='Read me'!$B$14,P561&lt;='Read me'!$B$15),1,2))))</f>
        <v>2</v>
      </c>
    </row>
    <row r="562" customFormat="false" ht="35.05" hidden="false" customHeight="false" outlineLevel="0" collapsed="false">
      <c r="A562" s="11" t="s">
        <v>3832</v>
      </c>
      <c r="B562" s="11" t="s">
        <v>36</v>
      </c>
      <c r="C562" s="11" t="s">
        <v>174</v>
      </c>
      <c r="D562" s="11" t="s">
        <v>175</v>
      </c>
      <c r="E562" s="11" t="s">
        <v>751</v>
      </c>
      <c r="F562" s="11" t="s">
        <v>3833</v>
      </c>
      <c r="G562" s="11" t="s">
        <v>3834</v>
      </c>
      <c r="H562" s="11" t="s">
        <v>1597</v>
      </c>
      <c r="I562" s="11" t="s">
        <v>2259</v>
      </c>
      <c r="J562" s="11" t="s">
        <v>3835</v>
      </c>
      <c r="K562" s="11" t="s">
        <v>762</v>
      </c>
      <c r="L562" s="11" t="s">
        <v>3836</v>
      </c>
      <c r="M562" s="11" t="s">
        <v>3781</v>
      </c>
      <c r="N562" s="14" t="n">
        <v>3</v>
      </c>
      <c r="O562" s="14" t="n">
        <v>3</v>
      </c>
      <c r="P562" s="14" t="n">
        <v>4</v>
      </c>
      <c r="Q562" s="14"/>
      <c r="R562" s="12" t="n">
        <f aca="false">IF(OR(N562="",P562=""),"",ROUND(N562*O562/P562,1))</f>
        <v>2.3</v>
      </c>
      <c r="S562" s="13" t="n">
        <f aca="false">IF(R562="","",IF(Q562="Y",1,IF(P562&gt;='Read me'!$B$16,3,IF(AND(R562&gt;='Read me'!$B$14,P562&lt;='Read me'!$B$15),1,2))))</f>
        <v>3</v>
      </c>
    </row>
    <row r="563" customFormat="false" ht="15" hidden="false" customHeight="false" outlineLevel="0" collapsed="false">
      <c r="A563" s="11" t="s">
        <v>3837</v>
      </c>
      <c r="B563" s="11" t="s">
        <v>36</v>
      </c>
      <c r="C563" s="11" t="s">
        <v>174</v>
      </c>
      <c r="D563" s="11" t="s">
        <v>175</v>
      </c>
      <c r="E563" s="11" t="s">
        <v>765</v>
      </c>
      <c r="F563" s="11" t="s">
        <v>3838</v>
      </c>
      <c r="G563" s="11" t="s">
        <v>3839</v>
      </c>
      <c r="H563" s="11"/>
      <c r="I563" s="11" t="s">
        <v>3840</v>
      </c>
      <c r="J563" s="11" t="s">
        <v>3841</v>
      </c>
      <c r="K563" s="11" t="s">
        <v>3842</v>
      </c>
      <c r="L563" s="11" t="s">
        <v>3843</v>
      </c>
      <c r="M563" s="11"/>
      <c r="N563" s="14" t="n">
        <v>4</v>
      </c>
      <c r="O563" s="14" t="n">
        <v>3</v>
      </c>
      <c r="P563" s="14" t="n">
        <v>2</v>
      </c>
      <c r="Q563" s="14"/>
      <c r="R563" s="12" t="n">
        <f aca="false">IF(OR(N563="",P563=""),"",ROUND(N563*O563/P563,1))</f>
        <v>6</v>
      </c>
      <c r="S563" s="13" t="n">
        <f aca="false">IF(R563="","",IF(Q563="Y",1,IF(P563&gt;='Read me'!$B$16,3,IF(AND(R563&gt;='Read me'!$B$14,P563&lt;='Read me'!$B$15),1,2))))</f>
        <v>1</v>
      </c>
    </row>
    <row r="564" customFormat="false" ht="23.85" hidden="false" customHeight="false" outlineLevel="0" collapsed="false">
      <c r="A564" s="11" t="s">
        <v>3844</v>
      </c>
      <c r="B564" s="11" t="s">
        <v>36</v>
      </c>
      <c r="C564" s="11" t="s">
        <v>174</v>
      </c>
      <c r="D564" s="11" t="s">
        <v>175</v>
      </c>
      <c r="E564" s="11" t="s">
        <v>765</v>
      </c>
      <c r="F564" s="11" t="s">
        <v>3845</v>
      </c>
      <c r="G564" s="11" t="s">
        <v>3846</v>
      </c>
      <c r="H564" s="11"/>
      <c r="I564" s="11" t="s">
        <v>3847</v>
      </c>
      <c r="J564" s="11" t="s">
        <v>3848</v>
      </c>
      <c r="K564" s="11" t="s">
        <v>3849</v>
      </c>
      <c r="L564" s="11" t="s">
        <v>3850</v>
      </c>
      <c r="M564" s="11"/>
      <c r="N564" s="14" t="n">
        <v>2</v>
      </c>
      <c r="O564" s="14" t="n">
        <v>3</v>
      </c>
      <c r="P564" s="14" t="n">
        <v>2</v>
      </c>
      <c r="Q564" s="14"/>
      <c r="R564" s="12" t="n">
        <f aca="false">IF(OR(N564="",P564=""),"",ROUND(N564*O564/P564,1))</f>
        <v>3</v>
      </c>
      <c r="S564" s="13" t="n">
        <f aca="false">IF(R564="","",IF(Q564="Y",1,IF(P564&gt;='Read me'!$B$16,3,IF(AND(R564&gt;='Read me'!$B$14,P564&lt;='Read me'!$B$15),1,2))))</f>
        <v>2</v>
      </c>
    </row>
    <row r="565" customFormat="false" ht="23.85" hidden="false" customHeight="false" outlineLevel="0" collapsed="false">
      <c r="A565" s="11" t="s">
        <v>3851</v>
      </c>
      <c r="B565" s="11" t="s">
        <v>36</v>
      </c>
      <c r="C565" s="11" t="s">
        <v>174</v>
      </c>
      <c r="D565" s="11" t="s">
        <v>175</v>
      </c>
      <c r="E565" s="11" t="s">
        <v>765</v>
      </c>
      <c r="F565" s="11" t="s">
        <v>1046</v>
      </c>
      <c r="G565" s="11" t="s">
        <v>3852</v>
      </c>
      <c r="H565" s="11"/>
      <c r="I565" s="11" t="s">
        <v>512</v>
      </c>
      <c r="J565" s="11" t="s">
        <v>3853</v>
      </c>
      <c r="K565" s="11" t="s">
        <v>3854</v>
      </c>
      <c r="L565" s="11" t="s">
        <v>3855</v>
      </c>
      <c r="M565" s="11"/>
      <c r="N565" s="14" t="n">
        <v>2</v>
      </c>
      <c r="O565" s="14" t="n">
        <v>3</v>
      </c>
      <c r="P565" s="14" t="n">
        <v>2</v>
      </c>
      <c r="Q565" s="14"/>
      <c r="R565" s="12" t="n">
        <f aca="false">IF(OR(N565="",P565=""),"",ROUND(N565*O565/P565,1))</f>
        <v>3</v>
      </c>
      <c r="S565" s="13" t="n">
        <f aca="false">IF(R565="","",IF(Q565="Y",1,IF(P565&gt;='Read me'!$B$16,3,IF(AND(R565&gt;='Read me'!$B$14,P565&lt;='Read me'!$B$15),1,2))))</f>
        <v>2</v>
      </c>
    </row>
    <row r="566" customFormat="false" ht="23.85" hidden="false" customHeight="false" outlineLevel="0" collapsed="false">
      <c r="A566" s="11" t="s">
        <v>3856</v>
      </c>
      <c r="B566" s="11" t="s">
        <v>36</v>
      </c>
      <c r="C566" s="11" t="s">
        <v>174</v>
      </c>
      <c r="D566" s="11" t="s">
        <v>175</v>
      </c>
      <c r="E566" s="11" t="s">
        <v>765</v>
      </c>
      <c r="F566" s="11" t="s">
        <v>945</v>
      </c>
      <c r="G566" s="11" t="s">
        <v>822</v>
      </c>
      <c r="H566" s="11"/>
      <c r="I566" s="11" t="s">
        <v>3857</v>
      </c>
      <c r="J566" s="11" t="s">
        <v>3858</v>
      </c>
      <c r="K566" s="11" t="s">
        <v>3345</v>
      </c>
      <c r="L566" s="11" t="s">
        <v>3859</v>
      </c>
      <c r="M566" s="11"/>
      <c r="N566" s="14" t="n">
        <v>2</v>
      </c>
      <c r="O566" s="14" t="n">
        <v>3</v>
      </c>
      <c r="P566" s="14" t="n">
        <v>3</v>
      </c>
      <c r="Q566" s="14"/>
      <c r="R566" s="12" t="n">
        <f aca="false">IF(OR(N566="",P566=""),"",ROUND(N566*O566/P566,1))</f>
        <v>2</v>
      </c>
      <c r="S566" s="13" t="n">
        <f aca="false">IF(R566="","",IF(Q566="Y",1,IF(P566&gt;='Read me'!$B$16,3,IF(AND(R566&gt;='Read me'!$B$14,P566&lt;='Read me'!$B$15),1,2))))</f>
        <v>2</v>
      </c>
    </row>
    <row r="567" customFormat="false" ht="23.85" hidden="false" customHeight="false" outlineLevel="0" collapsed="false">
      <c r="A567" s="11" t="s">
        <v>3860</v>
      </c>
      <c r="B567" s="11" t="s">
        <v>36</v>
      </c>
      <c r="C567" s="11" t="s">
        <v>174</v>
      </c>
      <c r="D567" s="11" t="s">
        <v>175</v>
      </c>
      <c r="E567" s="11" t="s">
        <v>765</v>
      </c>
      <c r="F567" s="11" t="s">
        <v>3861</v>
      </c>
      <c r="G567" s="11" t="s">
        <v>822</v>
      </c>
      <c r="H567" s="11"/>
      <c r="I567" s="11" t="s">
        <v>3862</v>
      </c>
      <c r="J567" s="11" t="s">
        <v>3863</v>
      </c>
      <c r="K567" s="11" t="s">
        <v>1609</v>
      </c>
      <c r="L567" s="11" t="s">
        <v>3864</v>
      </c>
      <c r="M567" s="11"/>
      <c r="N567" s="14" t="n">
        <v>2</v>
      </c>
      <c r="O567" s="14" t="n">
        <v>3</v>
      </c>
      <c r="P567" s="14" t="n">
        <v>4</v>
      </c>
      <c r="Q567" s="14"/>
      <c r="R567" s="12" t="n">
        <f aca="false">IF(OR(N567="",P567=""),"",ROUND(N567*O567/P567,1))</f>
        <v>1.5</v>
      </c>
      <c r="S567" s="13" t="n">
        <f aca="false">IF(R567="","",IF(Q567="Y",1,IF(P567&gt;='Read me'!$B$16,3,IF(AND(R567&gt;='Read me'!$B$14,P567&lt;='Read me'!$B$15),1,2))))</f>
        <v>3</v>
      </c>
    </row>
    <row r="568" customFormat="false" ht="35.05" hidden="false" customHeight="false" outlineLevel="0" collapsed="false">
      <c r="A568" s="11" t="s">
        <v>3865</v>
      </c>
      <c r="B568" s="11" t="s">
        <v>36</v>
      </c>
      <c r="C568" s="11" t="s">
        <v>174</v>
      </c>
      <c r="D568" s="11" t="s">
        <v>175</v>
      </c>
      <c r="E568" s="11" t="s">
        <v>765</v>
      </c>
      <c r="F568" s="11" t="s">
        <v>3866</v>
      </c>
      <c r="G568" s="11" t="s">
        <v>3867</v>
      </c>
      <c r="H568" s="11"/>
      <c r="I568" s="11" t="s">
        <v>3868</v>
      </c>
      <c r="J568" s="11" t="s">
        <v>3869</v>
      </c>
      <c r="K568" s="11" t="s">
        <v>3870</v>
      </c>
      <c r="L568" s="11" t="s">
        <v>3871</v>
      </c>
      <c r="M568" s="11" t="s">
        <v>3399</v>
      </c>
      <c r="N568" s="14" t="n">
        <v>2</v>
      </c>
      <c r="O568" s="14" t="n">
        <v>4</v>
      </c>
      <c r="P568" s="14" t="n">
        <v>2</v>
      </c>
      <c r="Q568" s="14"/>
      <c r="R568" s="12" t="n">
        <f aca="false">IF(OR(N568="",P568=""),"",ROUND(N568*O568/P568,1))</f>
        <v>4</v>
      </c>
      <c r="S568" s="13" t="n">
        <f aca="false">IF(R568="","",IF(Q568="Y",1,IF(P568&gt;='Read me'!$B$16,3,IF(AND(R568&gt;='Read me'!$B$14,P568&lt;='Read me'!$B$15),1,2))))</f>
        <v>2</v>
      </c>
    </row>
    <row r="569" customFormat="false" ht="23.85" hidden="false" customHeight="false" outlineLevel="0" collapsed="false">
      <c r="A569" s="11" t="s">
        <v>3872</v>
      </c>
      <c r="B569" s="11" t="s">
        <v>36</v>
      </c>
      <c r="C569" s="11" t="s">
        <v>174</v>
      </c>
      <c r="D569" s="11" t="s">
        <v>175</v>
      </c>
      <c r="E569" s="11" t="s">
        <v>1081</v>
      </c>
      <c r="F569" s="11" t="s">
        <v>3873</v>
      </c>
      <c r="G569" s="11" t="s">
        <v>3874</v>
      </c>
      <c r="H569" s="11" t="s">
        <v>3875</v>
      </c>
      <c r="I569" s="11" t="s">
        <v>3876</v>
      </c>
      <c r="J569" s="11" t="s">
        <v>3877</v>
      </c>
      <c r="K569" s="11" t="s">
        <v>3557</v>
      </c>
      <c r="L569" s="11" t="s">
        <v>3878</v>
      </c>
      <c r="M569" s="11"/>
      <c r="N569" s="14" t="n">
        <v>1</v>
      </c>
      <c r="O569" s="14" t="n">
        <v>4</v>
      </c>
      <c r="P569" s="14" t="n">
        <v>4</v>
      </c>
      <c r="Q569" s="14"/>
      <c r="R569" s="12" t="n">
        <f aca="false">IF(OR(N569="",P569=""),"",ROUND(N569*O569/P569,1))</f>
        <v>1</v>
      </c>
      <c r="S569" s="13" t="n">
        <f aca="false">IF(R569="","",IF(Q569="Y",1,IF(P569&gt;='Read me'!$B$16,3,IF(AND(R569&gt;='Read me'!$B$14,P569&lt;='Read me'!$B$15),1,2))))</f>
        <v>3</v>
      </c>
    </row>
    <row r="570" customFormat="false" ht="23.85" hidden="false" customHeight="false" outlineLevel="0" collapsed="false">
      <c r="A570" s="11" t="s">
        <v>3879</v>
      </c>
      <c r="B570" s="11" t="s">
        <v>36</v>
      </c>
      <c r="C570" s="11" t="s">
        <v>174</v>
      </c>
      <c r="D570" s="11" t="s">
        <v>175</v>
      </c>
      <c r="E570" s="11" t="s">
        <v>1187</v>
      </c>
      <c r="F570" s="11" t="s">
        <v>3880</v>
      </c>
      <c r="G570" s="11" t="s">
        <v>3834</v>
      </c>
      <c r="H570" s="11" t="s">
        <v>3881</v>
      </c>
      <c r="I570" s="11" t="s">
        <v>512</v>
      </c>
      <c r="J570" s="11" t="s">
        <v>3882</v>
      </c>
      <c r="K570" s="11" t="s">
        <v>1702</v>
      </c>
      <c r="L570" s="11" t="s">
        <v>3883</v>
      </c>
      <c r="M570" s="11"/>
      <c r="N570" s="14" t="n">
        <v>2</v>
      </c>
      <c r="O570" s="14" t="n">
        <v>3</v>
      </c>
      <c r="P570" s="14" t="n">
        <v>4</v>
      </c>
      <c r="Q570" s="14"/>
      <c r="R570" s="12" t="n">
        <f aca="false">IF(OR(N570="",P570=""),"",ROUND(N570*O570/P570,1))</f>
        <v>1.5</v>
      </c>
      <c r="S570" s="13" t="n">
        <f aca="false">IF(R570="","",IF(Q570="Y",1,IF(P570&gt;='Read me'!$B$16,3,IF(AND(R570&gt;='Read me'!$B$14,P570&lt;='Read me'!$B$15),1,2))))</f>
        <v>3</v>
      </c>
    </row>
    <row r="571" customFormat="false" ht="23.85" hidden="false" customHeight="false" outlineLevel="0" collapsed="false">
      <c r="A571" s="11" t="s">
        <v>3884</v>
      </c>
      <c r="B571" s="11" t="s">
        <v>36</v>
      </c>
      <c r="C571" s="11" t="s">
        <v>174</v>
      </c>
      <c r="D571" s="11" t="s">
        <v>175</v>
      </c>
      <c r="E571" s="11" t="s">
        <v>1133</v>
      </c>
      <c r="F571" s="11" t="s">
        <v>1147</v>
      </c>
      <c r="G571" s="11" t="s">
        <v>1148</v>
      </c>
      <c r="H571" s="11"/>
      <c r="I571" s="11" t="s">
        <v>3885</v>
      </c>
      <c r="J571" s="11" t="s">
        <v>3771</v>
      </c>
      <c r="K571" s="11" t="s">
        <v>1151</v>
      </c>
      <c r="L571" s="11" t="s">
        <v>3886</v>
      </c>
      <c r="M571" s="11" t="s">
        <v>3592</v>
      </c>
      <c r="N571" s="14" t="n">
        <v>1</v>
      </c>
      <c r="O571" s="14" t="n">
        <v>3</v>
      </c>
      <c r="P571" s="14" t="n">
        <v>4</v>
      </c>
      <c r="Q571" s="14"/>
      <c r="R571" s="12" t="n">
        <f aca="false">IF(OR(N571="",P571=""),"",ROUND(N571*O571/P571,1))</f>
        <v>0.8</v>
      </c>
      <c r="S571" s="13" t="n">
        <f aca="false">IF(R571="","",IF(Q571="Y",1,IF(P571&gt;='Read me'!$B$16,3,IF(AND(R571&gt;='Read me'!$B$14,P571&lt;='Read me'!$B$15),1,2))))</f>
        <v>3</v>
      </c>
    </row>
    <row r="572" customFormat="false" ht="15" hidden="false" customHeight="false" outlineLevel="0" collapsed="false">
      <c r="A572" s="11" t="s">
        <v>3887</v>
      </c>
      <c r="B572" s="11" t="s">
        <v>36</v>
      </c>
      <c r="C572" s="11" t="s">
        <v>174</v>
      </c>
      <c r="D572" s="11" t="s">
        <v>175</v>
      </c>
      <c r="E572" s="11" t="s">
        <v>1133</v>
      </c>
      <c r="F572" s="11" t="s">
        <v>3888</v>
      </c>
      <c r="G572" s="11" t="s">
        <v>1135</v>
      </c>
      <c r="H572" s="11"/>
      <c r="I572" s="11" t="s">
        <v>1136</v>
      </c>
      <c r="J572" s="11" t="s">
        <v>3889</v>
      </c>
      <c r="K572" s="11" t="s">
        <v>1138</v>
      </c>
      <c r="L572" s="11" t="s">
        <v>3775</v>
      </c>
      <c r="M572" s="11"/>
      <c r="N572" s="14" t="n">
        <v>2</v>
      </c>
      <c r="O572" s="14" t="n">
        <v>2</v>
      </c>
      <c r="P572" s="14" t="n">
        <v>1</v>
      </c>
      <c r="Q572" s="14"/>
      <c r="R572" s="12" t="n">
        <f aca="false">IF(OR(N572="",P572=""),"",ROUND(N572*O572/P572,1))</f>
        <v>4</v>
      </c>
      <c r="S572" s="13" t="n">
        <f aca="false">IF(R572="","",IF(Q572="Y",1,IF(P572&gt;='Read me'!$B$16,3,IF(AND(R572&gt;='Read me'!$B$14,P572&lt;='Read me'!$B$15),1,2))))</f>
        <v>2</v>
      </c>
    </row>
    <row r="573" customFormat="false" ht="15" hidden="false" customHeight="false" outlineLevel="0" collapsed="false">
      <c r="A573" s="11" t="s">
        <v>3890</v>
      </c>
      <c r="B573" s="11" t="s">
        <v>36</v>
      </c>
      <c r="C573" s="11" t="s">
        <v>174</v>
      </c>
      <c r="D573" s="11" t="s">
        <v>175</v>
      </c>
      <c r="E573" s="11" t="s">
        <v>1372</v>
      </c>
      <c r="F573" s="11" t="s">
        <v>3891</v>
      </c>
      <c r="G573" s="11" t="s">
        <v>3892</v>
      </c>
      <c r="H573" s="11"/>
      <c r="I573" s="11" t="s">
        <v>3893</v>
      </c>
      <c r="J573" s="11" t="s">
        <v>3894</v>
      </c>
      <c r="K573" s="11" t="s">
        <v>3597</v>
      </c>
      <c r="L573" s="11" t="s">
        <v>1357</v>
      </c>
      <c r="M573" s="11"/>
      <c r="N573" s="14" t="n">
        <v>2</v>
      </c>
      <c r="O573" s="14" t="n">
        <v>3</v>
      </c>
      <c r="P573" s="14" t="n">
        <v>2</v>
      </c>
      <c r="Q573" s="14"/>
      <c r="R573" s="12" t="n">
        <f aca="false">IF(OR(N573="",P573=""),"",ROUND(N573*O573/P573,1))</f>
        <v>3</v>
      </c>
      <c r="S573" s="13" t="n">
        <f aca="false">IF(R573="","",IF(Q573="Y",1,IF(P573&gt;='Read me'!$B$16,3,IF(AND(R573&gt;='Read me'!$B$14,P573&lt;='Read me'!$B$15),1,2))))</f>
        <v>2</v>
      </c>
    </row>
    <row r="574" customFormat="false" ht="23.85" hidden="false" customHeight="false" outlineLevel="0" collapsed="false">
      <c r="A574" s="11" t="s">
        <v>3895</v>
      </c>
      <c r="B574" s="11" t="s">
        <v>36</v>
      </c>
      <c r="C574" s="11" t="s">
        <v>179</v>
      </c>
      <c r="D574" s="11" t="s">
        <v>180</v>
      </c>
      <c r="E574" s="11" t="s">
        <v>476</v>
      </c>
      <c r="F574" s="11" t="s">
        <v>3896</v>
      </c>
      <c r="G574" s="11" t="s">
        <v>3897</v>
      </c>
      <c r="H574" s="11"/>
      <c r="I574" s="11" t="s">
        <v>3898</v>
      </c>
      <c r="J574" s="11" t="s">
        <v>3899</v>
      </c>
      <c r="K574" s="11" t="s">
        <v>3606</v>
      </c>
      <c r="L574" s="11" t="s">
        <v>3900</v>
      </c>
      <c r="M574" s="11"/>
      <c r="N574" s="14" t="n">
        <v>3</v>
      </c>
      <c r="O574" s="14" t="n">
        <v>3</v>
      </c>
      <c r="P574" s="14" t="n">
        <v>1</v>
      </c>
      <c r="Q574" s="14"/>
      <c r="R574" s="12" t="n">
        <f aca="false">IF(OR(N574="",P574=""),"",ROUND(N574*O574/P574,1))</f>
        <v>9</v>
      </c>
      <c r="S574" s="13" t="n">
        <f aca="false">IF(R574="","",IF(Q574="Y",1,IF(P574&gt;='Read me'!$B$16,3,IF(AND(R574&gt;='Read me'!$B$14,P574&lt;='Read me'!$B$15),1,2))))</f>
        <v>1</v>
      </c>
    </row>
    <row r="575" customFormat="false" ht="35.05" hidden="false" customHeight="false" outlineLevel="0" collapsed="false">
      <c r="A575" s="11" t="s">
        <v>3901</v>
      </c>
      <c r="B575" s="11" t="s">
        <v>36</v>
      </c>
      <c r="C575" s="11" t="s">
        <v>179</v>
      </c>
      <c r="D575" s="11" t="s">
        <v>180</v>
      </c>
      <c r="E575" s="11" t="s">
        <v>476</v>
      </c>
      <c r="F575" s="11" t="s">
        <v>3896</v>
      </c>
      <c r="G575" s="11" t="s">
        <v>3902</v>
      </c>
      <c r="H575" s="11"/>
      <c r="I575" s="11" t="s">
        <v>3903</v>
      </c>
      <c r="J575" s="11" t="s">
        <v>3904</v>
      </c>
      <c r="K575" s="11" t="s">
        <v>3391</v>
      </c>
      <c r="L575" s="11" t="s">
        <v>3905</v>
      </c>
      <c r="M575" s="11" t="s">
        <v>3399</v>
      </c>
      <c r="N575" s="14" t="n">
        <v>3</v>
      </c>
      <c r="O575" s="14" t="n">
        <v>3</v>
      </c>
      <c r="P575" s="14" t="n">
        <v>1</v>
      </c>
      <c r="Q575" s="14"/>
      <c r="R575" s="12" t="n">
        <f aca="false">IF(OR(N575="",P575=""),"",ROUND(N575*O575/P575,1))</f>
        <v>9</v>
      </c>
      <c r="S575" s="13" t="n">
        <f aca="false">IF(R575="","",IF(Q575="Y",1,IF(P575&gt;='Read me'!$B$16,3,IF(AND(R575&gt;='Read me'!$B$14,P575&lt;='Read me'!$B$15),1,2))))</f>
        <v>1</v>
      </c>
    </row>
    <row r="576" customFormat="false" ht="23.85" hidden="false" customHeight="false" outlineLevel="0" collapsed="false">
      <c r="A576" s="11" t="s">
        <v>3906</v>
      </c>
      <c r="B576" s="11" t="s">
        <v>36</v>
      </c>
      <c r="C576" s="11" t="s">
        <v>179</v>
      </c>
      <c r="D576" s="11" t="s">
        <v>180</v>
      </c>
      <c r="E576" s="11" t="s">
        <v>476</v>
      </c>
      <c r="F576" s="11" t="s">
        <v>3896</v>
      </c>
      <c r="G576" s="11" t="s">
        <v>3907</v>
      </c>
      <c r="H576" s="11"/>
      <c r="I576" s="11" t="s">
        <v>3908</v>
      </c>
      <c r="J576" s="11" t="s">
        <v>3909</v>
      </c>
      <c r="K576" s="11" t="s">
        <v>3380</v>
      </c>
      <c r="L576" s="11" t="s">
        <v>3910</v>
      </c>
      <c r="M576" s="11"/>
      <c r="N576" s="14" t="n">
        <v>2</v>
      </c>
      <c r="O576" s="14" t="n">
        <v>3</v>
      </c>
      <c r="P576" s="14" t="n">
        <v>1</v>
      </c>
      <c r="Q576" s="14"/>
      <c r="R576" s="12" t="n">
        <f aca="false">IF(OR(N576="",P576=""),"",ROUND(N576*O576/P576,1))</f>
        <v>6</v>
      </c>
      <c r="S576" s="13" t="n">
        <f aca="false">IF(R576="","",IF(Q576="Y",1,IF(P576&gt;='Read me'!$B$16,3,IF(AND(R576&gt;='Read me'!$B$14,P576&lt;='Read me'!$B$15),1,2))))</f>
        <v>1</v>
      </c>
    </row>
    <row r="577" customFormat="false" ht="23.85" hidden="false" customHeight="false" outlineLevel="0" collapsed="false">
      <c r="A577" s="11" t="s">
        <v>3911</v>
      </c>
      <c r="B577" s="11" t="s">
        <v>36</v>
      </c>
      <c r="C577" s="11" t="s">
        <v>179</v>
      </c>
      <c r="D577" s="11" t="s">
        <v>180</v>
      </c>
      <c r="E577" s="11" t="s">
        <v>476</v>
      </c>
      <c r="F577" s="11" t="s">
        <v>3896</v>
      </c>
      <c r="G577" s="11" t="s">
        <v>3912</v>
      </c>
      <c r="H577" s="11"/>
      <c r="I577" s="11" t="s">
        <v>3913</v>
      </c>
      <c r="J577" s="11" t="s">
        <v>3914</v>
      </c>
      <c r="K577" s="11" t="s">
        <v>3606</v>
      </c>
      <c r="L577" s="11" t="s">
        <v>3915</v>
      </c>
      <c r="M577" s="11"/>
      <c r="N577" s="14" t="n">
        <v>2</v>
      </c>
      <c r="O577" s="14" t="n">
        <v>3</v>
      </c>
      <c r="P577" s="14" t="n">
        <v>4</v>
      </c>
      <c r="Q577" s="14"/>
      <c r="R577" s="12" t="n">
        <f aca="false">IF(OR(N577="",P577=""),"",ROUND(N577*O577/P577,1))</f>
        <v>1.5</v>
      </c>
      <c r="S577" s="13" t="n">
        <f aca="false">IF(R577="","",IF(Q577="Y",1,IF(P577&gt;='Read me'!$B$16,3,IF(AND(R577&gt;='Read me'!$B$14,P577&lt;='Read me'!$B$15),1,2))))</f>
        <v>3</v>
      </c>
    </row>
    <row r="578" customFormat="false" ht="23.85" hidden="false" customHeight="false" outlineLevel="0" collapsed="false">
      <c r="A578" s="11" t="s">
        <v>3916</v>
      </c>
      <c r="B578" s="11" t="s">
        <v>36</v>
      </c>
      <c r="C578" s="11" t="s">
        <v>179</v>
      </c>
      <c r="D578" s="11" t="s">
        <v>180</v>
      </c>
      <c r="E578" s="11" t="s">
        <v>476</v>
      </c>
      <c r="F578" s="11" t="s">
        <v>3896</v>
      </c>
      <c r="G578" s="11" t="s">
        <v>1013</v>
      </c>
      <c r="H578" s="11"/>
      <c r="I578" s="11" t="s">
        <v>3917</v>
      </c>
      <c r="J578" s="11" t="s">
        <v>3918</v>
      </c>
      <c r="K578" s="11" t="s">
        <v>3606</v>
      </c>
      <c r="L578" s="11" t="s">
        <v>3919</v>
      </c>
      <c r="M578" s="11"/>
      <c r="N578" s="14" t="n">
        <v>1</v>
      </c>
      <c r="O578" s="14" t="n">
        <v>2</v>
      </c>
      <c r="P578" s="14" t="n">
        <v>1</v>
      </c>
      <c r="Q578" s="14"/>
      <c r="R578" s="12" t="n">
        <f aca="false">IF(OR(N578="",P578=""),"",ROUND(N578*O578/P578,1))</f>
        <v>2</v>
      </c>
      <c r="S578" s="13" t="n">
        <f aca="false">IF(R578="","",IF(Q578="Y",1,IF(P578&gt;='Read me'!$B$16,3,IF(AND(R578&gt;='Read me'!$B$14,P578&lt;='Read me'!$B$15),1,2))))</f>
        <v>2</v>
      </c>
    </row>
    <row r="579" customFormat="false" ht="23.85" hidden="false" customHeight="false" outlineLevel="0" collapsed="false">
      <c r="A579" s="11" t="s">
        <v>3920</v>
      </c>
      <c r="B579" s="11" t="s">
        <v>36</v>
      </c>
      <c r="C579" s="11" t="s">
        <v>179</v>
      </c>
      <c r="D579" s="11" t="s">
        <v>180</v>
      </c>
      <c r="E579" s="11" t="s">
        <v>532</v>
      </c>
      <c r="F579" s="11" t="s">
        <v>3921</v>
      </c>
      <c r="G579" s="11" t="s">
        <v>3402</v>
      </c>
      <c r="H579" s="11"/>
      <c r="I579" s="11" t="s">
        <v>3922</v>
      </c>
      <c r="J579" s="11" t="s">
        <v>3923</v>
      </c>
      <c r="K579" s="11" t="s">
        <v>3405</v>
      </c>
      <c r="L579" s="11" t="s">
        <v>3924</v>
      </c>
      <c r="M579" s="11"/>
      <c r="N579" s="14" t="n">
        <v>3</v>
      </c>
      <c r="O579" s="14" t="n">
        <v>4</v>
      </c>
      <c r="P579" s="14" t="n">
        <v>2</v>
      </c>
      <c r="Q579" s="14"/>
      <c r="R579" s="12" t="n">
        <f aca="false">IF(OR(N579="",P579=""),"",ROUND(N579*O579/P579,1))</f>
        <v>6</v>
      </c>
      <c r="S579" s="13" t="n">
        <f aca="false">IF(R579="","",IF(Q579="Y",1,IF(P579&gt;='Read me'!$B$16,3,IF(AND(R579&gt;='Read me'!$B$14,P579&lt;='Read me'!$B$15),1,2))))</f>
        <v>1</v>
      </c>
    </row>
    <row r="580" customFormat="false" ht="23.85" hidden="false" customHeight="false" outlineLevel="0" collapsed="false">
      <c r="A580" s="11" t="s">
        <v>3925</v>
      </c>
      <c r="B580" s="11" t="s">
        <v>36</v>
      </c>
      <c r="C580" s="11" t="s">
        <v>179</v>
      </c>
      <c r="D580" s="11" t="s">
        <v>180</v>
      </c>
      <c r="E580" s="11" t="s">
        <v>532</v>
      </c>
      <c r="F580" s="11" t="s">
        <v>3926</v>
      </c>
      <c r="G580" s="11" t="s">
        <v>1479</v>
      </c>
      <c r="H580" s="11"/>
      <c r="I580" s="11" t="s">
        <v>3927</v>
      </c>
      <c r="J580" s="11" t="s">
        <v>3928</v>
      </c>
      <c r="K580" s="11" t="s">
        <v>2595</v>
      </c>
      <c r="L580" s="11" t="s">
        <v>3929</v>
      </c>
      <c r="M580" s="11"/>
      <c r="N580" s="14" t="n">
        <v>2</v>
      </c>
      <c r="O580" s="14" t="n">
        <v>4</v>
      </c>
      <c r="P580" s="14" t="n">
        <v>2</v>
      </c>
      <c r="Q580" s="14"/>
      <c r="R580" s="12" t="n">
        <f aca="false">IF(OR(N580="",P580=""),"",ROUND(N580*O580/P580,1))</f>
        <v>4</v>
      </c>
      <c r="S580" s="13" t="n">
        <f aca="false">IF(R580="","",IF(Q580="Y",1,IF(P580&gt;='Read me'!$B$16,3,IF(AND(R580&gt;='Read me'!$B$14,P580&lt;='Read me'!$B$15),1,2))))</f>
        <v>2</v>
      </c>
    </row>
    <row r="581" customFormat="false" ht="23.85" hidden="false" customHeight="false" outlineLevel="0" collapsed="false">
      <c r="A581" s="11" t="s">
        <v>3930</v>
      </c>
      <c r="B581" s="11" t="s">
        <v>36</v>
      </c>
      <c r="C581" s="11" t="s">
        <v>179</v>
      </c>
      <c r="D581" s="11" t="s">
        <v>180</v>
      </c>
      <c r="E581" s="11" t="s">
        <v>532</v>
      </c>
      <c r="F581" s="11" t="s">
        <v>3931</v>
      </c>
      <c r="G581" s="11" t="s">
        <v>3932</v>
      </c>
      <c r="H581" s="11"/>
      <c r="I581" s="11" t="s">
        <v>3933</v>
      </c>
      <c r="J581" s="11" t="s">
        <v>3934</v>
      </c>
      <c r="K581" s="11" t="s">
        <v>3935</v>
      </c>
      <c r="L581" s="11" t="s">
        <v>3936</v>
      </c>
      <c r="M581" s="11"/>
      <c r="N581" s="14" t="n">
        <v>2</v>
      </c>
      <c r="O581" s="14" t="n">
        <v>4</v>
      </c>
      <c r="P581" s="14" t="n">
        <v>2</v>
      </c>
      <c r="Q581" s="14"/>
      <c r="R581" s="12" t="n">
        <f aca="false">IF(OR(N581="",P581=""),"",ROUND(N581*O581/P581,1))</f>
        <v>4</v>
      </c>
      <c r="S581" s="13" t="n">
        <f aca="false">IF(R581="","",IF(Q581="Y",1,IF(P581&gt;='Read me'!$B$16,3,IF(AND(R581&gt;='Read me'!$B$14,P581&lt;='Read me'!$B$15),1,2))))</f>
        <v>2</v>
      </c>
    </row>
    <row r="582" customFormat="false" ht="46.25" hidden="false" customHeight="false" outlineLevel="0" collapsed="false">
      <c r="A582" s="11" t="s">
        <v>3937</v>
      </c>
      <c r="B582" s="11" t="s">
        <v>36</v>
      </c>
      <c r="C582" s="11" t="s">
        <v>179</v>
      </c>
      <c r="D582" s="11" t="s">
        <v>180</v>
      </c>
      <c r="E582" s="11" t="s">
        <v>532</v>
      </c>
      <c r="F582" s="11" t="s">
        <v>3938</v>
      </c>
      <c r="G582" s="11" t="s">
        <v>2301</v>
      </c>
      <c r="H582" s="11"/>
      <c r="I582" s="11" t="s">
        <v>3939</v>
      </c>
      <c r="J582" s="11" t="s">
        <v>3940</v>
      </c>
      <c r="K582" s="11" t="s">
        <v>717</v>
      </c>
      <c r="L582" s="11" t="s">
        <v>3941</v>
      </c>
      <c r="M582" s="11" t="s">
        <v>3942</v>
      </c>
      <c r="N582" s="14" t="n">
        <v>1</v>
      </c>
      <c r="O582" s="14" t="n">
        <v>4</v>
      </c>
      <c r="P582" s="14" t="n">
        <v>3</v>
      </c>
      <c r="Q582" s="14"/>
      <c r="R582" s="12" t="n">
        <f aca="false">IF(OR(N582="",P582=""),"",ROUND(N582*O582/P582,1))</f>
        <v>1.3</v>
      </c>
      <c r="S582" s="13" t="n">
        <f aca="false">IF(R582="","",IF(Q582="Y",1,IF(P582&gt;='Read me'!$B$16,3,IF(AND(R582&gt;='Read me'!$B$14,P582&lt;='Read me'!$B$15),1,2))))</f>
        <v>2</v>
      </c>
    </row>
    <row r="583" customFormat="false" ht="46.25" hidden="false" customHeight="false" outlineLevel="0" collapsed="false">
      <c r="A583" s="11" t="s">
        <v>3943</v>
      </c>
      <c r="B583" s="11" t="s">
        <v>36</v>
      </c>
      <c r="C583" s="11" t="s">
        <v>179</v>
      </c>
      <c r="D583" s="11" t="s">
        <v>180</v>
      </c>
      <c r="E583" s="11" t="s">
        <v>532</v>
      </c>
      <c r="F583" s="11" t="s">
        <v>3921</v>
      </c>
      <c r="G583" s="11" t="s">
        <v>867</v>
      </c>
      <c r="H583" s="11"/>
      <c r="I583" s="11" t="s">
        <v>3944</v>
      </c>
      <c r="J583" s="11" t="s">
        <v>3945</v>
      </c>
      <c r="K583" s="11" t="s">
        <v>3946</v>
      </c>
      <c r="L583" s="11" t="s">
        <v>3947</v>
      </c>
      <c r="M583" s="11" t="s">
        <v>3399</v>
      </c>
      <c r="N583" s="14" t="n">
        <v>2</v>
      </c>
      <c r="O583" s="14" t="n">
        <v>3</v>
      </c>
      <c r="P583" s="14" t="n">
        <v>5</v>
      </c>
      <c r="Q583" s="14"/>
      <c r="R583" s="12" t="n">
        <f aca="false">IF(OR(N583="",P583=""),"",ROUND(N583*O583/P583,1))</f>
        <v>1.2</v>
      </c>
      <c r="S583" s="13" t="n">
        <f aca="false">IF(R583="","",IF(Q583="Y",1,IF(P583&gt;='Read me'!$B$16,3,IF(AND(R583&gt;='Read me'!$B$14,P583&lt;='Read me'!$B$15),1,2))))</f>
        <v>3</v>
      </c>
    </row>
    <row r="584" customFormat="false" ht="23.85" hidden="false" customHeight="false" outlineLevel="0" collapsed="false">
      <c r="A584" s="11" t="s">
        <v>3948</v>
      </c>
      <c r="B584" s="11" t="s">
        <v>36</v>
      </c>
      <c r="C584" s="11" t="s">
        <v>179</v>
      </c>
      <c r="D584" s="11" t="s">
        <v>180</v>
      </c>
      <c r="E584" s="11" t="s">
        <v>532</v>
      </c>
      <c r="F584" s="11" t="s">
        <v>3921</v>
      </c>
      <c r="G584" s="11" t="s">
        <v>3402</v>
      </c>
      <c r="H584" s="11" t="s">
        <v>3949</v>
      </c>
      <c r="I584" s="11" t="s">
        <v>3950</v>
      </c>
      <c r="J584" s="11" t="s">
        <v>3951</v>
      </c>
      <c r="K584" s="11" t="s">
        <v>3952</v>
      </c>
      <c r="L584" s="11"/>
      <c r="M584" s="11"/>
      <c r="N584" s="14" t="n">
        <v>2</v>
      </c>
      <c r="O584" s="14" t="n">
        <v>2</v>
      </c>
      <c r="P584" s="14" t="n">
        <v>1</v>
      </c>
      <c r="Q584" s="14"/>
      <c r="R584" s="12" t="n">
        <f aca="false">IF(OR(N584="",P584=""),"",ROUND(N584*O584/P584,1))</f>
        <v>4</v>
      </c>
      <c r="S584" s="13" t="n">
        <f aca="false">IF(R584="","",IF(Q584="Y",1,IF(P584&gt;='Read me'!$B$16,3,IF(AND(R584&gt;='Read me'!$B$14,P584&lt;='Read me'!$B$15),1,2))))</f>
        <v>2</v>
      </c>
    </row>
    <row r="585" customFormat="false" ht="15" hidden="false" customHeight="false" outlineLevel="0" collapsed="false">
      <c r="A585" s="11" t="s">
        <v>3953</v>
      </c>
      <c r="B585" s="11" t="s">
        <v>36</v>
      </c>
      <c r="C585" s="11" t="s">
        <v>179</v>
      </c>
      <c r="D585" s="11" t="s">
        <v>180</v>
      </c>
      <c r="E585" s="11" t="s">
        <v>626</v>
      </c>
      <c r="F585" s="11" t="s">
        <v>3954</v>
      </c>
      <c r="G585" s="11"/>
      <c r="H585" s="11"/>
      <c r="I585" s="11" t="s">
        <v>3955</v>
      </c>
      <c r="J585" s="11" t="s">
        <v>3956</v>
      </c>
      <c r="K585" s="11" t="s">
        <v>1028</v>
      </c>
      <c r="L585" s="11" t="s">
        <v>3957</v>
      </c>
      <c r="M585" s="11"/>
      <c r="N585" s="14" t="n">
        <v>3</v>
      </c>
      <c r="O585" s="14" t="n">
        <v>2</v>
      </c>
      <c r="P585" s="14" t="n">
        <v>1</v>
      </c>
      <c r="Q585" s="14"/>
      <c r="R585" s="12" t="n">
        <f aca="false">IF(OR(N585="",P585=""),"",ROUND(N585*O585/P585,1))</f>
        <v>6</v>
      </c>
      <c r="S585" s="13" t="n">
        <f aca="false">IF(R585="","",IF(Q585="Y",1,IF(P585&gt;='Read me'!$B$16,3,IF(AND(R585&gt;='Read me'!$B$14,P585&lt;='Read me'!$B$15),1,2))))</f>
        <v>1</v>
      </c>
    </row>
    <row r="586" customFormat="false" ht="35.05" hidden="false" customHeight="false" outlineLevel="0" collapsed="false">
      <c r="A586" s="11" t="s">
        <v>3958</v>
      </c>
      <c r="B586" s="11" t="s">
        <v>36</v>
      </c>
      <c r="C586" s="11" t="s">
        <v>179</v>
      </c>
      <c r="D586" s="11" t="s">
        <v>180</v>
      </c>
      <c r="E586" s="11" t="s">
        <v>626</v>
      </c>
      <c r="F586" s="11" t="s">
        <v>3959</v>
      </c>
      <c r="G586" s="11" t="s">
        <v>3960</v>
      </c>
      <c r="H586" s="11"/>
      <c r="I586" s="11" t="s">
        <v>3961</v>
      </c>
      <c r="J586" s="11" t="s">
        <v>3962</v>
      </c>
      <c r="K586" s="11" t="s">
        <v>3963</v>
      </c>
      <c r="L586" s="11" t="s">
        <v>3964</v>
      </c>
      <c r="M586" s="11" t="s">
        <v>3399</v>
      </c>
      <c r="N586" s="14" t="n">
        <v>2</v>
      </c>
      <c r="O586" s="14" t="n">
        <v>3</v>
      </c>
      <c r="P586" s="14" t="n">
        <v>4</v>
      </c>
      <c r="Q586" s="14"/>
      <c r="R586" s="12" t="n">
        <f aca="false">IF(OR(N586="",P586=""),"",ROUND(N586*O586/P586,1))</f>
        <v>1.5</v>
      </c>
      <c r="S586" s="13" t="n">
        <f aca="false">IF(R586="","",IF(Q586="Y",1,IF(P586&gt;='Read me'!$B$16,3,IF(AND(R586&gt;='Read me'!$B$14,P586&lt;='Read me'!$B$15),1,2))))</f>
        <v>3</v>
      </c>
    </row>
    <row r="587" customFormat="false" ht="23.85" hidden="false" customHeight="false" outlineLevel="0" collapsed="false">
      <c r="A587" s="11" t="s">
        <v>3965</v>
      </c>
      <c r="B587" s="11" t="s">
        <v>36</v>
      </c>
      <c r="C587" s="11" t="s">
        <v>179</v>
      </c>
      <c r="D587" s="11" t="s">
        <v>180</v>
      </c>
      <c r="E587" s="11" t="s">
        <v>751</v>
      </c>
      <c r="F587" s="11" t="s">
        <v>1251</v>
      </c>
      <c r="G587" s="11" t="s">
        <v>1252</v>
      </c>
      <c r="H587" s="11"/>
      <c r="I587" s="11" t="s">
        <v>1251</v>
      </c>
      <c r="J587" s="11" t="s">
        <v>3966</v>
      </c>
      <c r="K587" s="11" t="s">
        <v>1254</v>
      </c>
      <c r="L587" s="11" t="s">
        <v>3967</v>
      </c>
      <c r="M587" s="11" t="s">
        <v>1577</v>
      </c>
      <c r="N587" s="14" t="n">
        <v>3</v>
      </c>
      <c r="O587" s="14" t="n">
        <v>4</v>
      </c>
      <c r="P587" s="14" t="n">
        <v>3</v>
      </c>
      <c r="Q587" s="14"/>
      <c r="R587" s="12" t="n">
        <f aca="false">IF(OR(N587="",P587=""),"",ROUND(N587*O587/P587,1))</f>
        <v>4</v>
      </c>
      <c r="S587" s="13" t="n">
        <f aca="false">IF(R587="","",IF(Q587="Y",1,IF(P587&gt;='Read me'!$B$16,3,IF(AND(R587&gt;='Read me'!$B$14,P587&lt;='Read me'!$B$15),1,2))))</f>
        <v>2</v>
      </c>
    </row>
    <row r="588" customFormat="false" ht="23.85" hidden="false" customHeight="false" outlineLevel="0" collapsed="false">
      <c r="A588" s="11" t="s">
        <v>3968</v>
      </c>
      <c r="B588" s="11" t="s">
        <v>36</v>
      </c>
      <c r="C588" s="11" t="s">
        <v>179</v>
      </c>
      <c r="D588" s="11" t="s">
        <v>180</v>
      </c>
      <c r="E588" s="11" t="s">
        <v>751</v>
      </c>
      <c r="F588" s="11" t="s">
        <v>1258</v>
      </c>
      <c r="G588" s="11" t="s">
        <v>1259</v>
      </c>
      <c r="H588" s="11"/>
      <c r="I588" s="11" t="s">
        <v>3969</v>
      </c>
      <c r="J588" s="11" t="s">
        <v>1579</v>
      </c>
      <c r="K588" s="11" t="s">
        <v>1262</v>
      </c>
      <c r="L588" s="11" t="s">
        <v>1263</v>
      </c>
      <c r="M588" s="11" t="s">
        <v>1577</v>
      </c>
      <c r="N588" s="14" t="n">
        <v>2</v>
      </c>
      <c r="O588" s="14" t="n">
        <v>4</v>
      </c>
      <c r="P588" s="14" t="n">
        <v>3</v>
      </c>
      <c r="Q588" s="14"/>
      <c r="R588" s="12" t="n">
        <f aca="false">IF(OR(N588="",P588=""),"",ROUND(N588*O588/P588,1))</f>
        <v>2.7</v>
      </c>
      <c r="S588" s="13" t="n">
        <f aca="false">IF(R588="","",IF(Q588="Y",1,IF(P588&gt;='Read me'!$B$16,3,IF(AND(R588&gt;='Read me'!$B$14,P588&lt;='Read me'!$B$15),1,2))))</f>
        <v>2</v>
      </c>
    </row>
    <row r="589" customFormat="false" ht="23.85" hidden="false" customHeight="false" outlineLevel="0" collapsed="false">
      <c r="A589" s="11" t="s">
        <v>3970</v>
      </c>
      <c r="B589" s="11" t="s">
        <v>36</v>
      </c>
      <c r="C589" s="11" t="s">
        <v>179</v>
      </c>
      <c r="D589" s="11" t="s">
        <v>180</v>
      </c>
      <c r="E589" s="11" t="s">
        <v>751</v>
      </c>
      <c r="F589" s="11" t="s">
        <v>3971</v>
      </c>
      <c r="G589" s="11"/>
      <c r="H589" s="11" t="s">
        <v>1284</v>
      </c>
      <c r="I589" s="11" t="s">
        <v>754</v>
      </c>
      <c r="J589" s="11" t="s">
        <v>3972</v>
      </c>
      <c r="K589" s="11" t="s">
        <v>616</v>
      </c>
      <c r="L589" s="11" t="s">
        <v>1288</v>
      </c>
      <c r="M589" s="11"/>
      <c r="N589" s="14" t="n">
        <v>1</v>
      </c>
      <c r="O589" s="14" t="n">
        <v>2</v>
      </c>
      <c r="P589" s="14" t="n">
        <v>3</v>
      </c>
      <c r="Q589" s="14"/>
      <c r="R589" s="12" t="n">
        <f aca="false">IF(OR(N589="",P589=""),"",ROUND(N589*O589/P589,1))</f>
        <v>0.7</v>
      </c>
      <c r="S589" s="13" t="n">
        <f aca="false">IF(R589="","",IF(Q589="Y",1,IF(P589&gt;='Read me'!$B$16,3,IF(AND(R589&gt;='Read me'!$B$14,P589&lt;='Read me'!$B$15),1,2))))</f>
        <v>2</v>
      </c>
    </row>
    <row r="590" customFormat="false" ht="35.05" hidden="false" customHeight="false" outlineLevel="0" collapsed="false">
      <c r="A590" s="11" t="s">
        <v>3973</v>
      </c>
      <c r="B590" s="11" t="s">
        <v>36</v>
      </c>
      <c r="C590" s="11" t="s">
        <v>179</v>
      </c>
      <c r="D590" s="11" t="s">
        <v>180</v>
      </c>
      <c r="E590" s="11" t="s">
        <v>751</v>
      </c>
      <c r="F590" s="11" t="s">
        <v>1303</v>
      </c>
      <c r="G590" s="11" t="s">
        <v>2301</v>
      </c>
      <c r="H590" s="11"/>
      <c r="I590" s="11" t="s">
        <v>3974</v>
      </c>
      <c r="J590" s="11" t="s">
        <v>3975</v>
      </c>
      <c r="K590" s="11" t="s">
        <v>1307</v>
      </c>
      <c r="L590" s="11" t="s">
        <v>3976</v>
      </c>
      <c r="M590" s="11" t="s">
        <v>3977</v>
      </c>
      <c r="N590" s="14" t="n">
        <v>1</v>
      </c>
      <c r="O590" s="14" t="n">
        <v>3</v>
      </c>
      <c r="P590" s="14" t="n">
        <v>2</v>
      </c>
      <c r="Q590" s="14"/>
      <c r="R590" s="12" t="n">
        <f aca="false">IF(OR(N590="",P590=""),"",ROUND(N590*O590/P590,1))</f>
        <v>1.5</v>
      </c>
      <c r="S590" s="13" t="n">
        <f aca="false">IF(R590="","",IF(Q590="Y",1,IF(P590&gt;='Read me'!$B$16,3,IF(AND(R590&gt;='Read me'!$B$14,P590&lt;='Read me'!$B$15),1,2))))</f>
        <v>2</v>
      </c>
    </row>
    <row r="591" customFormat="false" ht="23.85" hidden="false" customHeight="false" outlineLevel="0" collapsed="false">
      <c r="A591" s="11" t="s">
        <v>3978</v>
      </c>
      <c r="B591" s="11" t="s">
        <v>36</v>
      </c>
      <c r="C591" s="11" t="s">
        <v>179</v>
      </c>
      <c r="D591" s="11" t="s">
        <v>180</v>
      </c>
      <c r="E591" s="11" t="s">
        <v>765</v>
      </c>
      <c r="F591" s="11" t="s">
        <v>3979</v>
      </c>
      <c r="G591" s="11" t="s">
        <v>3867</v>
      </c>
      <c r="H591" s="11"/>
      <c r="I591" s="11" t="s">
        <v>3980</v>
      </c>
      <c r="J591" s="11" t="s">
        <v>3981</v>
      </c>
      <c r="K591" s="11" t="s">
        <v>3870</v>
      </c>
      <c r="L591" s="11" t="s">
        <v>3982</v>
      </c>
      <c r="M591" s="11"/>
      <c r="N591" s="14" t="n">
        <v>2</v>
      </c>
      <c r="O591" s="14" t="n">
        <v>3</v>
      </c>
      <c r="P591" s="14" t="n">
        <v>2</v>
      </c>
      <c r="Q591" s="14"/>
      <c r="R591" s="12" t="n">
        <f aca="false">IF(OR(N591="",P591=""),"",ROUND(N591*O591/P591,1))</f>
        <v>3</v>
      </c>
      <c r="S591" s="13" t="n">
        <f aca="false">IF(R591="","",IF(Q591="Y",1,IF(P591&gt;='Read me'!$B$16,3,IF(AND(R591&gt;='Read me'!$B$14,P591&lt;='Read me'!$B$15),1,2))))</f>
        <v>2</v>
      </c>
    </row>
    <row r="592" customFormat="false" ht="23.85" hidden="false" customHeight="false" outlineLevel="0" collapsed="false">
      <c r="A592" s="11" t="s">
        <v>3983</v>
      </c>
      <c r="B592" s="11" t="s">
        <v>36</v>
      </c>
      <c r="C592" s="11" t="s">
        <v>179</v>
      </c>
      <c r="D592" s="11" t="s">
        <v>180</v>
      </c>
      <c r="E592" s="11" t="s">
        <v>765</v>
      </c>
      <c r="F592" s="11" t="s">
        <v>3984</v>
      </c>
      <c r="G592" s="11" t="s">
        <v>822</v>
      </c>
      <c r="H592" s="11"/>
      <c r="I592" s="11" t="s">
        <v>3985</v>
      </c>
      <c r="J592" s="11" t="s">
        <v>3986</v>
      </c>
      <c r="K592" s="11" t="s">
        <v>3345</v>
      </c>
      <c r="L592" s="11" t="s">
        <v>3987</v>
      </c>
      <c r="M592" s="11"/>
      <c r="N592" s="14" t="n">
        <v>2</v>
      </c>
      <c r="O592" s="14" t="n">
        <v>3</v>
      </c>
      <c r="P592" s="14" t="n">
        <v>2</v>
      </c>
      <c r="Q592" s="14"/>
      <c r="R592" s="12" t="n">
        <f aca="false">IF(OR(N592="",P592=""),"",ROUND(N592*O592/P592,1))</f>
        <v>3</v>
      </c>
      <c r="S592" s="13" t="n">
        <f aca="false">IF(R592="","",IF(Q592="Y",1,IF(P592&gt;='Read me'!$B$16,3,IF(AND(R592&gt;='Read me'!$B$14,P592&lt;='Read me'!$B$15),1,2))))</f>
        <v>2</v>
      </c>
    </row>
    <row r="593" customFormat="false" ht="15" hidden="false" customHeight="false" outlineLevel="0" collapsed="false">
      <c r="A593" s="11" t="s">
        <v>3988</v>
      </c>
      <c r="B593" s="11" t="s">
        <v>36</v>
      </c>
      <c r="C593" s="11" t="s">
        <v>179</v>
      </c>
      <c r="D593" s="11" t="s">
        <v>180</v>
      </c>
      <c r="E593" s="11" t="s">
        <v>765</v>
      </c>
      <c r="F593" s="11" t="s">
        <v>3989</v>
      </c>
      <c r="G593" s="11" t="s">
        <v>822</v>
      </c>
      <c r="H593" s="11"/>
      <c r="I593" s="11" t="s">
        <v>3990</v>
      </c>
      <c r="J593" s="11" t="s">
        <v>3732</v>
      </c>
      <c r="K593" s="11" t="s">
        <v>1609</v>
      </c>
      <c r="L593" s="11" t="s">
        <v>3991</v>
      </c>
      <c r="M593" s="11"/>
      <c r="N593" s="14" t="n">
        <v>2</v>
      </c>
      <c r="O593" s="14" t="n">
        <v>3</v>
      </c>
      <c r="P593" s="14" t="n">
        <v>3</v>
      </c>
      <c r="Q593" s="14"/>
      <c r="R593" s="12" t="n">
        <f aca="false">IF(OR(N593="",P593=""),"",ROUND(N593*O593/P593,1))</f>
        <v>2</v>
      </c>
      <c r="S593" s="13" t="n">
        <f aca="false">IF(R593="","",IF(Q593="Y",1,IF(P593&gt;='Read me'!$B$16,3,IF(AND(R593&gt;='Read me'!$B$14,P593&lt;='Read me'!$B$15),1,2))))</f>
        <v>2</v>
      </c>
    </row>
    <row r="594" customFormat="false" ht="15" hidden="false" customHeight="false" outlineLevel="0" collapsed="false">
      <c r="A594" s="11" t="s">
        <v>3992</v>
      </c>
      <c r="B594" s="11" t="s">
        <v>36</v>
      </c>
      <c r="C594" s="11" t="s">
        <v>179</v>
      </c>
      <c r="D594" s="11" t="s">
        <v>180</v>
      </c>
      <c r="E594" s="11" t="s">
        <v>1081</v>
      </c>
      <c r="F594" s="11" t="s">
        <v>3993</v>
      </c>
      <c r="G594" s="11" t="s">
        <v>1013</v>
      </c>
      <c r="H594" s="11"/>
      <c r="I594" s="11" t="s">
        <v>3994</v>
      </c>
      <c r="J594" s="11" t="s">
        <v>3995</v>
      </c>
      <c r="K594" s="11" t="s">
        <v>3996</v>
      </c>
      <c r="L594" s="11" t="s">
        <v>3997</v>
      </c>
      <c r="M594" s="11"/>
      <c r="N594" s="14" t="n">
        <v>2</v>
      </c>
      <c r="O594" s="14" t="n">
        <v>2</v>
      </c>
      <c r="P594" s="14" t="n">
        <v>1</v>
      </c>
      <c r="Q594" s="14"/>
      <c r="R594" s="12" t="n">
        <f aca="false">IF(OR(N594="",P594=""),"",ROUND(N594*O594/P594,1))</f>
        <v>4</v>
      </c>
      <c r="S594" s="13" t="n">
        <f aca="false">IF(R594="","",IF(Q594="Y",1,IF(P594&gt;='Read me'!$B$16,3,IF(AND(R594&gt;='Read me'!$B$14,P594&lt;='Read me'!$B$15),1,2))))</f>
        <v>2</v>
      </c>
    </row>
    <row r="595" customFormat="false" ht="15" hidden="false" customHeight="false" outlineLevel="0" collapsed="false">
      <c r="A595" s="11" t="s">
        <v>3998</v>
      </c>
      <c r="B595" s="11" t="s">
        <v>36</v>
      </c>
      <c r="C595" s="11" t="s">
        <v>179</v>
      </c>
      <c r="D595" s="11" t="s">
        <v>180</v>
      </c>
      <c r="E595" s="11" t="s">
        <v>1081</v>
      </c>
      <c r="F595" s="11" t="s">
        <v>3999</v>
      </c>
      <c r="G595" s="11" t="s">
        <v>4000</v>
      </c>
      <c r="H595" s="11" t="s">
        <v>4001</v>
      </c>
      <c r="I595" s="11" t="s">
        <v>4002</v>
      </c>
      <c r="J595" s="11" t="s">
        <v>4003</v>
      </c>
      <c r="K595" s="11" t="s">
        <v>1028</v>
      </c>
      <c r="L595" s="11" t="s">
        <v>4004</v>
      </c>
      <c r="M595" s="11"/>
      <c r="N595" s="14" t="n">
        <v>1</v>
      </c>
      <c r="O595" s="14" t="n">
        <v>2</v>
      </c>
      <c r="P595" s="14" t="n">
        <v>1</v>
      </c>
      <c r="Q595" s="14"/>
      <c r="R595" s="12" t="n">
        <f aca="false">IF(OR(N595="",P595=""),"",ROUND(N595*O595/P595,1))</f>
        <v>2</v>
      </c>
      <c r="S595" s="13" t="n">
        <f aca="false">IF(R595="","",IF(Q595="Y",1,IF(P595&gt;='Read me'!$B$16,3,IF(AND(R595&gt;='Read me'!$B$14,P595&lt;='Read me'!$B$15),1,2))))</f>
        <v>2</v>
      </c>
    </row>
    <row r="596" customFormat="false" ht="23.85" hidden="false" customHeight="false" outlineLevel="0" collapsed="false">
      <c r="A596" s="11" t="s">
        <v>4005</v>
      </c>
      <c r="B596" s="11" t="s">
        <v>36</v>
      </c>
      <c r="C596" s="11" t="s">
        <v>179</v>
      </c>
      <c r="D596" s="11" t="s">
        <v>180</v>
      </c>
      <c r="E596" s="11" t="s">
        <v>1187</v>
      </c>
      <c r="F596" s="11" t="s">
        <v>4006</v>
      </c>
      <c r="G596" s="11" t="s">
        <v>4007</v>
      </c>
      <c r="H596" s="11" t="s">
        <v>1700</v>
      </c>
      <c r="I596" s="11" t="s">
        <v>512</v>
      </c>
      <c r="J596" s="11" t="s">
        <v>4008</v>
      </c>
      <c r="K596" s="11" t="s">
        <v>4009</v>
      </c>
      <c r="L596" s="11" t="s">
        <v>4010</v>
      </c>
      <c r="M596" s="11"/>
      <c r="N596" s="14" t="n">
        <v>1</v>
      </c>
      <c r="O596" s="14" t="n">
        <v>3</v>
      </c>
      <c r="P596" s="14" t="n">
        <v>3</v>
      </c>
      <c r="Q596" s="14"/>
      <c r="R596" s="12" t="n">
        <f aca="false">IF(OR(N596="",P596=""),"",ROUND(N596*O596/P596,1))</f>
        <v>1</v>
      </c>
      <c r="S596" s="13" t="n">
        <f aca="false">IF(R596="","",IF(Q596="Y",1,IF(P596&gt;='Read me'!$B$16,3,IF(AND(R596&gt;='Read me'!$B$14,P596&lt;='Read me'!$B$15),1,2))))</f>
        <v>2</v>
      </c>
    </row>
    <row r="597" customFormat="false" ht="23.85" hidden="false" customHeight="false" outlineLevel="0" collapsed="false">
      <c r="A597" s="11" t="s">
        <v>4011</v>
      </c>
      <c r="B597" s="11" t="s">
        <v>36</v>
      </c>
      <c r="C597" s="11" t="s">
        <v>179</v>
      </c>
      <c r="D597" s="11" t="s">
        <v>180</v>
      </c>
      <c r="E597" s="11" t="s">
        <v>1133</v>
      </c>
      <c r="F597" s="11" t="s">
        <v>1147</v>
      </c>
      <c r="G597" s="11" t="s">
        <v>1148</v>
      </c>
      <c r="H597" s="11"/>
      <c r="I597" s="11" t="s">
        <v>4012</v>
      </c>
      <c r="J597" s="11" t="s">
        <v>4013</v>
      </c>
      <c r="K597" s="11" t="s">
        <v>1151</v>
      </c>
      <c r="L597" s="11" t="s">
        <v>4014</v>
      </c>
      <c r="M597" s="11" t="s">
        <v>3592</v>
      </c>
      <c r="N597" s="14" t="n">
        <v>1</v>
      </c>
      <c r="O597" s="14" t="n">
        <v>3</v>
      </c>
      <c r="P597" s="14" t="n">
        <v>3</v>
      </c>
      <c r="Q597" s="14"/>
      <c r="R597" s="12" t="n">
        <f aca="false">IF(OR(N597="",P597=""),"",ROUND(N597*O597/P597,1))</f>
        <v>1</v>
      </c>
      <c r="S597" s="13" t="n">
        <f aca="false">IF(R597="","",IF(Q597="Y",1,IF(P597&gt;='Read me'!$B$16,3,IF(AND(R597&gt;='Read me'!$B$14,P597&lt;='Read me'!$B$15),1,2))))</f>
        <v>2</v>
      </c>
    </row>
    <row r="598" customFormat="false" ht="15" hidden="false" customHeight="false" outlineLevel="0" collapsed="false">
      <c r="A598" s="11" t="s">
        <v>4015</v>
      </c>
      <c r="B598" s="11" t="s">
        <v>36</v>
      </c>
      <c r="C598" s="11" t="s">
        <v>179</v>
      </c>
      <c r="D598" s="11" t="s">
        <v>180</v>
      </c>
      <c r="E598" s="11" t="s">
        <v>1133</v>
      </c>
      <c r="F598" s="11" t="s">
        <v>4016</v>
      </c>
      <c r="G598" s="11" t="s">
        <v>1142</v>
      </c>
      <c r="H598" s="11"/>
      <c r="I598" s="11" t="s">
        <v>4017</v>
      </c>
      <c r="J598" s="11" t="s">
        <v>4018</v>
      </c>
      <c r="K598" s="11" t="s">
        <v>4019</v>
      </c>
      <c r="L598" s="11"/>
      <c r="M598" s="11"/>
      <c r="N598" s="14" t="n">
        <v>1</v>
      </c>
      <c r="O598" s="14" t="n">
        <v>3</v>
      </c>
      <c r="P598" s="14" t="n">
        <v>1</v>
      </c>
      <c r="Q598" s="14"/>
      <c r="R598" s="12" t="n">
        <f aca="false">IF(OR(N598="",P598=""),"",ROUND(N598*O598/P598,1))</f>
        <v>3</v>
      </c>
      <c r="S598" s="13" t="n">
        <f aca="false">IF(R598="","",IF(Q598="Y",1,IF(P598&gt;='Read me'!$B$16,3,IF(AND(R598&gt;='Read me'!$B$14,P598&lt;='Read me'!$B$15),1,2))))</f>
        <v>2</v>
      </c>
    </row>
    <row r="599" customFormat="false" ht="23.85" hidden="false" customHeight="false" outlineLevel="0" collapsed="false">
      <c r="A599" s="11" t="s">
        <v>4020</v>
      </c>
      <c r="B599" s="11" t="s">
        <v>36</v>
      </c>
      <c r="C599" s="11" t="s">
        <v>183</v>
      </c>
      <c r="D599" s="11" t="s">
        <v>184</v>
      </c>
      <c r="E599" s="11" t="s">
        <v>476</v>
      </c>
      <c r="F599" s="11" t="s">
        <v>4021</v>
      </c>
      <c r="G599" s="11" t="s">
        <v>4022</v>
      </c>
      <c r="H599" s="11"/>
      <c r="I599" s="11" t="s">
        <v>4023</v>
      </c>
      <c r="J599" s="11" t="s">
        <v>4024</v>
      </c>
      <c r="K599" s="11" t="s">
        <v>4025</v>
      </c>
      <c r="L599" s="11" t="s">
        <v>4026</v>
      </c>
      <c r="M599" s="11"/>
      <c r="N599" s="14" t="n">
        <v>3</v>
      </c>
      <c r="O599" s="14" t="n">
        <v>3</v>
      </c>
      <c r="P599" s="14" t="n">
        <v>1</v>
      </c>
      <c r="Q599" s="14"/>
      <c r="R599" s="12" t="n">
        <f aca="false">IF(OR(N599="",P599=""),"",ROUND(N599*O599/P599,1))</f>
        <v>9</v>
      </c>
      <c r="S599" s="13" t="n">
        <f aca="false">IF(R599="","",IF(Q599="Y",1,IF(P599&gt;='Read me'!$B$16,3,IF(AND(R599&gt;='Read me'!$B$14,P599&lt;='Read me'!$B$15),1,2))))</f>
        <v>1</v>
      </c>
    </row>
    <row r="600" customFormat="false" ht="15" hidden="false" customHeight="false" outlineLevel="0" collapsed="false">
      <c r="A600" s="11" t="s">
        <v>4027</v>
      </c>
      <c r="B600" s="11" t="s">
        <v>36</v>
      </c>
      <c r="C600" s="11" t="s">
        <v>183</v>
      </c>
      <c r="D600" s="11" t="s">
        <v>184</v>
      </c>
      <c r="E600" s="11" t="s">
        <v>476</v>
      </c>
      <c r="F600" s="11" t="s">
        <v>4021</v>
      </c>
      <c r="G600" s="11" t="s">
        <v>511</v>
      </c>
      <c r="H600" s="11"/>
      <c r="I600" s="11" t="s">
        <v>4028</v>
      </c>
      <c r="J600" s="11" t="s">
        <v>4029</v>
      </c>
      <c r="K600" s="11" t="s">
        <v>4030</v>
      </c>
      <c r="L600" s="11" t="s">
        <v>4031</v>
      </c>
      <c r="M600" s="11"/>
      <c r="N600" s="14" t="n">
        <v>2</v>
      </c>
      <c r="O600" s="14" t="n">
        <v>3</v>
      </c>
      <c r="P600" s="14" t="n">
        <v>1</v>
      </c>
      <c r="Q600" s="14"/>
      <c r="R600" s="12" t="n">
        <f aca="false">IF(OR(N600="",P600=""),"",ROUND(N600*O600/P600,1))</f>
        <v>6</v>
      </c>
      <c r="S600" s="13" t="n">
        <f aca="false">IF(R600="","",IF(Q600="Y",1,IF(P600&gt;='Read me'!$B$16,3,IF(AND(R600&gt;='Read me'!$B$14,P600&lt;='Read me'!$B$15),1,2))))</f>
        <v>1</v>
      </c>
    </row>
    <row r="601" customFormat="false" ht="23.85" hidden="false" customHeight="false" outlineLevel="0" collapsed="false">
      <c r="A601" s="11" t="s">
        <v>4032</v>
      </c>
      <c r="B601" s="11" t="s">
        <v>36</v>
      </c>
      <c r="C601" s="11" t="s">
        <v>183</v>
      </c>
      <c r="D601" s="11" t="s">
        <v>184</v>
      </c>
      <c r="E601" s="11" t="s">
        <v>476</v>
      </c>
      <c r="F601" s="11" t="s">
        <v>4033</v>
      </c>
      <c r="G601" s="11" t="s">
        <v>1479</v>
      </c>
      <c r="H601" s="11"/>
      <c r="I601" s="11" t="s">
        <v>4034</v>
      </c>
      <c r="J601" s="11" t="s">
        <v>4035</v>
      </c>
      <c r="K601" s="11" t="s">
        <v>4036</v>
      </c>
      <c r="L601" s="11" t="s">
        <v>4037</v>
      </c>
      <c r="M601" s="11" t="s">
        <v>4038</v>
      </c>
      <c r="N601" s="14" t="n">
        <v>1</v>
      </c>
      <c r="O601" s="14" t="n">
        <v>5</v>
      </c>
      <c r="P601" s="14" t="n">
        <v>3</v>
      </c>
      <c r="Q601" s="14"/>
      <c r="R601" s="12" t="n">
        <f aca="false">IF(OR(N601="",P601=""),"",ROUND(N601*O601/P601,1))</f>
        <v>1.7</v>
      </c>
      <c r="S601" s="13" t="n">
        <f aca="false">IF(R601="","",IF(Q601="Y",1,IF(P601&gt;='Read me'!$B$16,3,IF(AND(R601&gt;='Read me'!$B$14,P601&lt;='Read me'!$B$15),1,2))))</f>
        <v>2</v>
      </c>
    </row>
    <row r="602" customFormat="false" ht="35.05" hidden="false" customHeight="false" outlineLevel="0" collapsed="false">
      <c r="A602" s="11" t="s">
        <v>4039</v>
      </c>
      <c r="B602" s="11" t="s">
        <v>36</v>
      </c>
      <c r="C602" s="11" t="s">
        <v>183</v>
      </c>
      <c r="D602" s="11" t="s">
        <v>184</v>
      </c>
      <c r="E602" s="11" t="s">
        <v>476</v>
      </c>
      <c r="F602" s="11" t="s">
        <v>4040</v>
      </c>
      <c r="G602" s="11" t="s">
        <v>4041</v>
      </c>
      <c r="H602" s="11"/>
      <c r="I602" s="11" t="s">
        <v>512</v>
      </c>
      <c r="J602" s="11" t="s">
        <v>4042</v>
      </c>
      <c r="K602" s="11" t="s">
        <v>3374</v>
      </c>
      <c r="L602" s="11" t="s">
        <v>4043</v>
      </c>
      <c r="M602" s="11" t="s">
        <v>3376</v>
      </c>
      <c r="N602" s="14" t="n">
        <v>2</v>
      </c>
      <c r="O602" s="14" t="n">
        <v>3</v>
      </c>
      <c r="P602" s="14" t="n">
        <v>2</v>
      </c>
      <c r="Q602" s="14"/>
      <c r="R602" s="12" t="n">
        <f aca="false">IF(OR(N602="",P602=""),"",ROUND(N602*O602/P602,1))</f>
        <v>3</v>
      </c>
      <c r="S602" s="13" t="n">
        <f aca="false">IF(R602="","",IF(Q602="Y",1,IF(P602&gt;='Read me'!$B$16,3,IF(AND(R602&gt;='Read me'!$B$14,P602&lt;='Read me'!$B$15),1,2))))</f>
        <v>2</v>
      </c>
    </row>
    <row r="603" customFormat="false" ht="23.85" hidden="false" customHeight="false" outlineLevel="0" collapsed="false">
      <c r="A603" s="11" t="s">
        <v>4044</v>
      </c>
      <c r="B603" s="11" t="s">
        <v>36</v>
      </c>
      <c r="C603" s="11" t="s">
        <v>183</v>
      </c>
      <c r="D603" s="11" t="s">
        <v>184</v>
      </c>
      <c r="E603" s="11" t="s">
        <v>532</v>
      </c>
      <c r="F603" s="11" t="s">
        <v>4045</v>
      </c>
      <c r="G603" s="11" t="s">
        <v>3402</v>
      </c>
      <c r="H603" s="11"/>
      <c r="I603" s="11" t="s">
        <v>4046</v>
      </c>
      <c r="J603" s="11" t="s">
        <v>4047</v>
      </c>
      <c r="K603" s="11" t="s">
        <v>1799</v>
      </c>
      <c r="L603" s="11" t="s">
        <v>4048</v>
      </c>
      <c r="M603" s="11"/>
      <c r="N603" s="14" t="n">
        <v>3</v>
      </c>
      <c r="O603" s="14" t="n">
        <v>4</v>
      </c>
      <c r="P603" s="14" t="n">
        <v>2</v>
      </c>
      <c r="Q603" s="14"/>
      <c r="R603" s="12" t="n">
        <f aca="false">IF(OR(N603="",P603=""),"",ROUND(N603*O603/P603,1))</f>
        <v>6</v>
      </c>
      <c r="S603" s="13" t="n">
        <f aca="false">IF(R603="","",IF(Q603="Y",1,IF(P603&gt;='Read me'!$B$16,3,IF(AND(R603&gt;='Read me'!$B$14,P603&lt;='Read me'!$B$15),1,2))))</f>
        <v>1</v>
      </c>
    </row>
    <row r="604" customFormat="false" ht="23.85" hidden="false" customHeight="false" outlineLevel="0" collapsed="false">
      <c r="A604" s="11" t="s">
        <v>4049</v>
      </c>
      <c r="B604" s="11" t="s">
        <v>36</v>
      </c>
      <c r="C604" s="11" t="s">
        <v>183</v>
      </c>
      <c r="D604" s="11" t="s">
        <v>184</v>
      </c>
      <c r="E604" s="11" t="s">
        <v>532</v>
      </c>
      <c r="F604" s="11" t="s">
        <v>4045</v>
      </c>
      <c r="G604" s="11" t="s">
        <v>4050</v>
      </c>
      <c r="H604" s="11"/>
      <c r="I604" s="11" t="s">
        <v>4051</v>
      </c>
      <c r="J604" s="11" t="s">
        <v>4052</v>
      </c>
      <c r="K604" s="11" t="s">
        <v>4053</v>
      </c>
      <c r="L604" s="11" t="s">
        <v>4054</v>
      </c>
      <c r="M604" s="11"/>
      <c r="N604" s="14" t="n">
        <v>2</v>
      </c>
      <c r="O604" s="14" t="n">
        <v>4</v>
      </c>
      <c r="P604" s="14" t="n">
        <v>2</v>
      </c>
      <c r="Q604" s="14"/>
      <c r="R604" s="12" t="n">
        <f aca="false">IF(OR(N604="",P604=""),"",ROUND(N604*O604/P604,1))</f>
        <v>4</v>
      </c>
      <c r="S604" s="13" t="n">
        <f aca="false">IF(R604="","",IF(Q604="Y",1,IF(P604&gt;='Read me'!$B$16,3,IF(AND(R604&gt;='Read me'!$B$14,P604&lt;='Read me'!$B$15),1,2))))</f>
        <v>2</v>
      </c>
    </row>
    <row r="605" customFormat="false" ht="23.85" hidden="false" customHeight="false" outlineLevel="0" collapsed="false">
      <c r="A605" s="11" t="s">
        <v>4055</v>
      </c>
      <c r="B605" s="11" t="s">
        <v>36</v>
      </c>
      <c r="C605" s="11" t="s">
        <v>183</v>
      </c>
      <c r="D605" s="11" t="s">
        <v>184</v>
      </c>
      <c r="E605" s="11" t="s">
        <v>532</v>
      </c>
      <c r="F605" s="11" t="s">
        <v>4045</v>
      </c>
      <c r="G605" s="11" t="s">
        <v>4056</v>
      </c>
      <c r="H605" s="11"/>
      <c r="I605" s="11" t="s">
        <v>4057</v>
      </c>
      <c r="J605" s="11" t="s">
        <v>4058</v>
      </c>
      <c r="K605" s="11" t="s">
        <v>4059</v>
      </c>
      <c r="L605" s="11" t="s">
        <v>4060</v>
      </c>
      <c r="M605" s="11" t="s">
        <v>4061</v>
      </c>
      <c r="N605" s="14" t="n">
        <v>2</v>
      </c>
      <c r="O605" s="14" t="n">
        <v>3</v>
      </c>
      <c r="P605" s="14" t="n">
        <v>3</v>
      </c>
      <c r="Q605" s="14"/>
      <c r="R605" s="12" t="n">
        <f aca="false">IF(OR(N605="",P605=""),"",ROUND(N605*O605/P605,1))</f>
        <v>2</v>
      </c>
      <c r="S605" s="13" t="n">
        <f aca="false">IF(R605="","",IF(Q605="Y",1,IF(P605&gt;='Read me'!$B$16,3,IF(AND(R605&gt;='Read me'!$B$14,P605&lt;='Read me'!$B$15),1,2))))</f>
        <v>2</v>
      </c>
    </row>
    <row r="606" customFormat="false" ht="35.05" hidden="false" customHeight="false" outlineLevel="0" collapsed="false">
      <c r="A606" s="11" t="s">
        <v>4062</v>
      </c>
      <c r="B606" s="11" t="s">
        <v>36</v>
      </c>
      <c r="C606" s="11" t="s">
        <v>183</v>
      </c>
      <c r="D606" s="11" t="s">
        <v>184</v>
      </c>
      <c r="E606" s="11" t="s">
        <v>532</v>
      </c>
      <c r="F606" s="11" t="s">
        <v>4045</v>
      </c>
      <c r="G606" s="11" t="s">
        <v>4063</v>
      </c>
      <c r="H606" s="11"/>
      <c r="I606" s="11" t="s">
        <v>4064</v>
      </c>
      <c r="J606" s="11" t="s">
        <v>4065</v>
      </c>
      <c r="K606" s="11" t="s">
        <v>4066</v>
      </c>
      <c r="L606" s="11" t="s">
        <v>4067</v>
      </c>
      <c r="M606" s="11" t="s">
        <v>3399</v>
      </c>
      <c r="N606" s="14" t="n">
        <v>1</v>
      </c>
      <c r="O606" s="14" t="n">
        <v>2</v>
      </c>
      <c r="P606" s="14" t="n">
        <v>5</v>
      </c>
      <c r="Q606" s="14"/>
      <c r="R606" s="12" t="n">
        <f aca="false">IF(OR(N606="",P606=""),"",ROUND(N606*O606/P606,1))</f>
        <v>0.4</v>
      </c>
      <c r="S606" s="13" t="n">
        <f aca="false">IF(R606="","",IF(Q606="Y",1,IF(P606&gt;='Read me'!$B$16,3,IF(AND(R606&gt;='Read me'!$B$14,P606&lt;='Read me'!$B$15),1,2))))</f>
        <v>3</v>
      </c>
    </row>
    <row r="607" customFormat="false" ht="15" hidden="false" customHeight="false" outlineLevel="0" collapsed="false">
      <c r="A607" s="11" t="s">
        <v>4068</v>
      </c>
      <c r="B607" s="11" t="s">
        <v>36</v>
      </c>
      <c r="C607" s="11" t="s">
        <v>183</v>
      </c>
      <c r="D607" s="11" t="s">
        <v>184</v>
      </c>
      <c r="E607" s="11" t="s">
        <v>532</v>
      </c>
      <c r="F607" s="11" t="s">
        <v>4069</v>
      </c>
      <c r="G607" s="11" t="s">
        <v>4070</v>
      </c>
      <c r="H607" s="11"/>
      <c r="I607" s="11" t="s">
        <v>4071</v>
      </c>
      <c r="J607" s="11" t="s">
        <v>4072</v>
      </c>
      <c r="K607" s="11" t="s">
        <v>3606</v>
      </c>
      <c r="L607" s="11" t="s">
        <v>4073</v>
      </c>
      <c r="M607" s="11"/>
      <c r="N607" s="14" t="n">
        <v>2</v>
      </c>
      <c r="O607" s="14" t="n">
        <v>2</v>
      </c>
      <c r="P607" s="14" t="n">
        <v>1</v>
      </c>
      <c r="Q607" s="14"/>
      <c r="R607" s="12" t="n">
        <f aca="false">IF(OR(N607="",P607=""),"",ROUND(N607*O607/P607,1))</f>
        <v>4</v>
      </c>
      <c r="S607" s="13" t="n">
        <f aca="false">IF(R607="","",IF(Q607="Y",1,IF(P607&gt;='Read me'!$B$16,3,IF(AND(R607&gt;='Read me'!$B$14,P607&lt;='Read me'!$B$15),1,2))))</f>
        <v>2</v>
      </c>
    </row>
    <row r="608" customFormat="false" ht="15" hidden="false" customHeight="false" outlineLevel="0" collapsed="false">
      <c r="A608" s="11" t="s">
        <v>4074</v>
      </c>
      <c r="B608" s="11" t="s">
        <v>36</v>
      </c>
      <c r="C608" s="11" t="s">
        <v>183</v>
      </c>
      <c r="D608" s="11" t="s">
        <v>184</v>
      </c>
      <c r="E608" s="11" t="s">
        <v>532</v>
      </c>
      <c r="F608" s="11" t="s">
        <v>4075</v>
      </c>
      <c r="G608" s="11" t="s">
        <v>3402</v>
      </c>
      <c r="H608" s="11"/>
      <c r="I608" s="11" t="s">
        <v>4076</v>
      </c>
      <c r="J608" s="11" t="s">
        <v>4077</v>
      </c>
      <c r="K608" s="11" t="s">
        <v>2595</v>
      </c>
      <c r="L608" s="11" t="s">
        <v>4078</v>
      </c>
      <c r="M608" s="11"/>
      <c r="N608" s="14" t="n">
        <v>2</v>
      </c>
      <c r="O608" s="14" t="n">
        <v>2</v>
      </c>
      <c r="P608" s="14" t="n">
        <v>1</v>
      </c>
      <c r="Q608" s="14"/>
      <c r="R608" s="12" t="n">
        <f aca="false">IF(OR(N608="",P608=""),"",ROUND(N608*O608/P608,1))</f>
        <v>4</v>
      </c>
      <c r="S608" s="13" t="n">
        <f aca="false">IF(R608="","",IF(Q608="Y",1,IF(P608&gt;='Read me'!$B$16,3,IF(AND(R608&gt;='Read me'!$B$14,P608&lt;='Read me'!$B$15),1,2))))</f>
        <v>2</v>
      </c>
    </row>
    <row r="609" customFormat="false" ht="23.85" hidden="false" customHeight="false" outlineLevel="0" collapsed="false">
      <c r="A609" s="11" t="s">
        <v>4079</v>
      </c>
      <c r="B609" s="11" t="s">
        <v>36</v>
      </c>
      <c r="C609" s="11" t="s">
        <v>183</v>
      </c>
      <c r="D609" s="11" t="s">
        <v>184</v>
      </c>
      <c r="E609" s="11" t="s">
        <v>532</v>
      </c>
      <c r="F609" s="11" t="s">
        <v>4045</v>
      </c>
      <c r="G609" s="11" t="s">
        <v>3402</v>
      </c>
      <c r="H609" s="11" t="s">
        <v>3046</v>
      </c>
      <c r="I609" s="11" t="s">
        <v>4080</v>
      </c>
      <c r="J609" s="11" t="s">
        <v>4081</v>
      </c>
      <c r="K609" s="11" t="s">
        <v>4082</v>
      </c>
      <c r="L609" s="11"/>
      <c r="M609" s="11"/>
      <c r="N609" s="14" t="n">
        <v>2</v>
      </c>
      <c r="O609" s="14" t="n">
        <v>2</v>
      </c>
      <c r="P609" s="14" t="n">
        <v>1</v>
      </c>
      <c r="Q609" s="14"/>
      <c r="R609" s="12" t="n">
        <f aca="false">IF(OR(N609="",P609=""),"",ROUND(N609*O609/P609,1))</f>
        <v>4</v>
      </c>
      <c r="S609" s="13" t="n">
        <f aca="false">IF(R609="","",IF(Q609="Y",1,IF(P609&gt;='Read me'!$B$16,3,IF(AND(R609&gt;='Read me'!$B$14,P609&lt;='Read me'!$B$15),1,2))))</f>
        <v>2</v>
      </c>
    </row>
    <row r="610" customFormat="false" ht="23.85" hidden="false" customHeight="false" outlineLevel="0" collapsed="false">
      <c r="A610" s="11" t="s">
        <v>4083</v>
      </c>
      <c r="B610" s="11" t="s">
        <v>36</v>
      </c>
      <c r="C610" s="11" t="s">
        <v>183</v>
      </c>
      <c r="D610" s="11" t="s">
        <v>184</v>
      </c>
      <c r="E610" s="11" t="s">
        <v>532</v>
      </c>
      <c r="F610" s="11" t="s">
        <v>4084</v>
      </c>
      <c r="G610" s="11" t="s">
        <v>4085</v>
      </c>
      <c r="H610" s="11"/>
      <c r="I610" s="11" t="s">
        <v>4086</v>
      </c>
      <c r="J610" s="11" t="s">
        <v>4087</v>
      </c>
      <c r="K610" s="11" t="s">
        <v>4088</v>
      </c>
      <c r="L610" s="11" t="s">
        <v>4089</v>
      </c>
      <c r="M610" s="11"/>
      <c r="N610" s="14" t="n">
        <v>2</v>
      </c>
      <c r="O610" s="14" t="n">
        <v>3</v>
      </c>
      <c r="P610" s="14" t="n">
        <v>2</v>
      </c>
      <c r="Q610" s="14"/>
      <c r="R610" s="12" t="n">
        <f aca="false">IF(OR(N610="",P610=""),"",ROUND(N610*O610/P610,1))</f>
        <v>3</v>
      </c>
      <c r="S610" s="13" t="n">
        <f aca="false">IF(R610="","",IF(Q610="Y",1,IF(P610&gt;='Read me'!$B$16,3,IF(AND(R610&gt;='Read me'!$B$14,P610&lt;='Read me'!$B$15),1,2))))</f>
        <v>2</v>
      </c>
    </row>
    <row r="611" customFormat="false" ht="35.05" hidden="false" customHeight="false" outlineLevel="0" collapsed="false">
      <c r="A611" s="11" t="s">
        <v>4090</v>
      </c>
      <c r="B611" s="11" t="s">
        <v>36</v>
      </c>
      <c r="C611" s="11" t="s">
        <v>183</v>
      </c>
      <c r="D611" s="11" t="s">
        <v>184</v>
      </c>
      <c r="E611" s="11" t="s">
        <v>626</v>
      </c>
      <c r="F611" s="11" t="s">
        <v>4091</v>
      </c>
      <c r="G611" s="11" t="s">
        <v>4092</v>
      </c>
      <c r="H611" s="11"/>
      <c r="I611" s="11" t="s">
        <v>4093</v>
      </c>
      <c r="J611" s="11" t="s">
        <v>4094</v>
      </c>
      <c r="K611" s="11" t="s">
        <v>3963</v>
      </c>
      <c r="L611" s="11" t="s">
        <v>4095</v>
      </c>
      <c r="M611" s="11" t="s">
        <v>3399</v>
      </c>
      <c r="N611" s="14" t="n">
        <v>2</v>
      </c>
      <c r="O611" s="14" t="n">
        <v>2</v>
      </c>
      <c r="P611" s="14" t="n">
        <v>4</v>
      </c>
      <c r="Q611" s="14"/>
      <c r="R611" s="12" t="n">
        <f aca="false">IF(OR(N611="",P611=""),"",ROUND(N611*O611/P611,1))</f>
        <v>1</v>
      </c>
      <c r="S611" s="13" t="n">
        <f aca="false">IF(R611="","",IF(Q611="Y",1,IF(P611&gt;='Read me'!$B$16,3,IF(AND(R611&gt;='Read me'!$B$14,P611&lt;='Read me'!$B$15),1,2))))</f>
        <v>3</v>
      </c>
    </row>
    <row r="612" customFormat="false" ht="23.85" hidden="false" customHeight="false" outlineLevel="0" collapsed="false">
      <c r="A612" s="11" t="s">
        <v>4096</v>
      </c>
      <c r="B612" s="11" t="s">
        <v>36</v>
      </c>
      <c r="C612" s="11" t="s">
        <v>183</v>
      </c>
      <c r="D612" s="11" t="s">
        <v>184</v>
      </c>
      <c r="E612" s="11" t="s">
        <v>751</v>
      </c>
      <c r="F612" s="11" t="s">
        <v>2239</v>
      </c>
      <c r="G612" s="11" t="s">
        <v>4097</v>
      </c>
      <c r="H612" s="11"/>
      <c r="I612" s="11" t="s">
        <v>4098</v>
      </c>
      <c r="J612" s="11" t="s">
        <v>4099</v>
      </c>
      <c r="K612" s="11" t="s">
        <v>4100</v>
      </c>
      <c r="L612" s="11" t="s">
        <v>4101</v>
      </c>
      <c r="M612" s="11"/>
      <c r="N612" s="14" t="n">
        <v>2</v>
      </c>
      <c r="O612" s="14" t="n">
        <v>4</v>
      </c>
      <c r="P612" s="14" t="n">
        <v>2</v>
      </c>
      <c r="Q612" s="14"/>
      <c r="R612" s="12" t="n">
        <f aca="false">IF(OR(N612="",P612=""),"",ROUND(N612*O612/P612,1))</f>
        <v>4</v>
      </c>
      <c r="S612" s="13" t="n">
        <f aca="false">IF(R612="","",IF(Q612="Y",1,IF(P612&gt;='Read me'!$B$16,3,IF(AND(R612&gt;='Read me'!$B$14,P612&lt;='Read me'!$B$15),1,2))))</f>
        <v>2</v>
      </c>
    </row>
    <row r="613" customFormat="false" ht="23.85" hidden="false" customHeight="false" outlineLevel="0" collapsed="false">
      <c r="A613" s="11" t="s">
        <v>4102</v>
      </c>
      <c r="B613" s="11" t="s">
        <v>36</v>
      </c>
      <c r="C613" s="11" t="s">
        <v>183</v>
      </c>
      <c r="D613" s="11" t="s">
        <v>184</v>
      </c>
      <c r="E613" s="11" t="s">
        <v>751</v>
      </c>
      <c r="F613" s="11" t="s">
        <v>1251</v>
      </c>
      <c r="G613" s="11" t="s">
        <v>1252</v>
      </c>
      <c r="H613" s="11"/>
      <c r="I613" s="11" t="s">
        <v>4103</v>
      </c>
      <c r="J613" s="11" t="s">
        <v>3966</v>
      </c>
      <c r="K613" s="11" t="s">
        <v>1254</v>
      </c>
      <c r="L613" s="11" t="s">
        <v>3967</v>
      </c>
      <c r="M613" s="11" t="s">
        <v>1577</v>
      </c>
      <c r="N613" s="14" t="n">
        <v>2</v>
      </c>
      <c r="O613" s="14" t="n">
        <v>4</v>
      </c>
      <c r="P613" s="14" t="n">
        <v>3</v>
      </c>
      <c r="Q613" s="14"/>
      <c r="R613" s="12" t="n">
        <f aca="false">IF(OR(N613="",P613=""),"",ROUND(N613*O613/P613,1))</f>
        <v>2.7</v>
      </c>
      <c r="S613" s="13" t="n">
        <f aca="false">IF(R613="","",IF(Q613="Y",1,IF(P613&gt;='Read me'!$B$16,3,IF(AND(R613&gt;='Read me'!$B$14,P613&lt;='Read me'!$B$15),1,2))))</f>
        <v>2</v>
      </c>
    </row>
    <row r="614" customFormat="false" ht="23.85" hidden="false" customHeight="false" outlineLevel="0" collapsed="false">
      <c r="A614" s="11" t="s">
        <v>4104</v>
      </c>
      <c r="B614" s="11" t="s">
        <v>36</v>
      </c>
      <c r="C614" s="11" t="s">
        <v>183</v>
      </c>
      <c r="D614" s="11" t="s">
        <v>184</v>
      </c>
      <c r="E614" s="11" t="s">
        <v>751</v>
      </c>
      <c r="F614" s="11" t="s">
        <v>4105</v>
      </c>
      <c r="G614" s="11" t="s">
        <v>4106</v>
      </c>
      <c r="H614" s="11"/>
      <c r="I614" s="11" t="s">
        <v>4107</v>
      </c>
      <c r="J614" s="11" t="s">
        <v>4108</v>
      </c>
      <c r="K614" s="11" t="s">
        <v>4109</v>
      </c>
      <c r="L614" s="11" t="s">
        <v>4110</v>
      </c>
      <c r="M614" s="11"/>
      <c r="N614" s="14" t="n">
        <v>2</v>
      </c>
      <c r="O614" s="14" t="n">
        <v>3</v>
      </c>
      <c r="P614" s="14" t="n">
        <v>3</v>
      </c>
      <c r="Q614" s="14"/>
      <c r="R614" s="12" t="n">
        <f aca="false">IF(OR(N614="",P614=""),"",ROUND(N614*O614/P614,1))</f>
        <v>2</v>
      </c>
      <c r="S614" s="13" t="n">
        <f aca="false">IF(R614="","",IF(Q614="Y",1,IF(P614&gt;='Read me'!$B$16,3,IF(AND(R614&gt;='Read me'!$B$14,P614&lt;='Read me'!$B$15),1,2))))</f>
        <v>2</v>
      </c>
    </row>
    <row r="615" customFormat="false" ht="23.85" hidden="false" customHeight="false" outlineLevel="0" collapsed="false">
      <c r="A615" s="11" t="s">
        <v>4111</v>
      </c>
      <c r="B615" s="11" t="s">
        <v>36</v>
      </c>
      <c r="C615" s="11" t="s">
        <v>183</v>
      </c>
      <c r="D615" s="11" t="s">
        <v>184</v>
      </c>
      <c r="E615" s="11" t="s">
        <v>751</v>
      </c>
      <c r="F615" s="11" t="s">
        <v>2239</v>
      </c>
      <c r="G615" s="11" t="s">
        <v>4112</v>
      </c>
      <c r="H615" s="11" t="s">
        <v>2118</v>
      </c>
      <c r="I615" s="11" t="s">
        <v>4098</v>
      </c>
      <c r="J615" s="11" t="s">
        <v>4113</v>
      </c>
      <c r="K615" s="11" t="s">
        <v>4114</v>
      </c>
      <c r="L615" s="11" t="s">
        <v>4115</v>
      </c>
      <c r="M615" s="11"/>
      <c r="N615" s="14" t="n">
        <v>1</v>
      </c>
      <c r="O615" s="14" t="n">
        <v>2</v>
      </c>
      <c r="P615" s="14" t="n">
        <v>2</v>
      </c>
      <c r="Q615" s="14"/>
      <c r="R615" s="12" t="n">
        <f aca="false">IF(OR(N615="",P615=""),"",ROUND(N615*O615/P615,1))</f>
        <v>1</v>
      </c>
      <c r="S615" s="13" t="n">
        <f aca="false">IF(R615="","",IF(Q615="Y",1,IF(P615&gt;='Read me'!$B$16,3,IF(AND(R615&gt;='Read me'!$B$14,P615&lt;='Read me'!$B$15),1,2))))</f>
        <v>2</v>
      </c>
    </row>
    <row r="616" customFormat="false" ht="23.85" hidden="false" customHeight="false" outlineLevel="0" collapsed="false">
      <c r="A616" s="11" t="s">
        <v>4116</v>
      </c>
      <c r="B616" s="11" t="s">
        <v>36</v>
      </c>
      <c r="C616" s="11" t="s">
        <v>183</v>
      </c>
      <c r="D616" s="11" t="s">
        <v>184</v>
      </c>
      <c r="E616" s="11" t="s">
        <v>765</v>
      </c>
      <c r="F616" s="11" t="s">
        <v>4117</v>
      </c>
      <c r="G616" s="11" t="s">
        <v>3867</v>
      </c>
      <c r="H616" s="11"/>
      <c r="I616" s="11" t="s">
        <v>4118</v>
      </c>
      <c r="J616" s="11" t="s">
        <v>3981</v>
      </c>
      <c r="K616" s="11" t="s">
        <v>3870</v>
      </c>
      <c r="L616" s="11" t="s">
        <v>3982</v>
      </c>
      <c r="M616" s="11"/>
      <c r="N616" s="14" t="n">
        <v>2</v>
      </c>
      <c r="O616" s="14" t="n">
        <v>4</v>
      </c>
      <c r="P616" s="14" t="n">
        <v>2</v>
      </c>
      <c r="Q616" s="14"/>
      <c r="R616" s="12" t="n">
        <f aca="false">IF(OR(N616="",P616=""),"",ROUND(N616*O616/P616,1))</f>
        <v>4</v>
      </c>
      <c r="S616" s="13" t="n">
        <f aca="false">IF(R616="","",IF(Q616="Y",1,IF(P616&gt;='Read me'!$B$16,3,IF(AND(R616&gt;='Read me'!$B$14,P616&lt;='Read me'!$B$15),1,2))))</f>
        <v>2</v>
      </c>
    </row>
    <row r="617" customFormat="false" ht="23.85" hidden="false" customHeight="false" outlineLevel="0" collapsed="false">
      <c r="A617" s="11" t="s">
        <v>4119</v>
      </c>
      <c r="B617" s="11" t="s">
        <v>36</v>
      </c>
      <c r="C617" s="11" t="s">
        <v>183</v>
      </c>
      <c r="D617" s="11" t="s">
        <v>184</v>
      </c>
      <c r="E617" s="11" t="s">
        <v>765</v>
      </c>
      <c r="F617" s="11" t="s">
        <v>976</v>
      </c>
      <c r="G617" s="11" t="s">
        <v>822</v>
      </c>
      <c r="H617" s="11"/>
      <c r="I617" s="11" t="s">
        <v>4120</v>
      </c>
      <c r="J617" s="11" t="s">
        <v>4121</v>
      </c>
      <c r="K617" s="11" t="s">
        <v>3345</v>
      </c>
      <c r="L617" s="11" t="s">
        <v>3987</v>
      </c>
      <c r="M617" s="11"/>
      <c r="N617" s="14" t="n">
        <v>2</v>
      </c>
      <c r="O617" s="14" t="n">
        <v>2</v>
      </c>
      <c r="P617" s="14" t="n">
        <v>2</v>
      </c>
      <c r="Q617" s="14"/>
      <c r="R617" s="12" t="n">
        <f aca="false">IF(OR(N617="",P617=""),"",ROUND(N617*O617/P617,1))</f>
        <v>2</v>
      </c>
      <c r="S617" s="13" t="n">
        <f aca="false">IF(R617="","",IF(Q617="Y",1,IF(P617&gt;='Read me'!$B$16,3,IF(AND(R617&gt;='Read me'!$B$14,P617&lt;='Read me'!$B$15),1,2))))</f>
        <v>2</v>
      </c>
    </row>
    <row r="618" customFormat="false" ht="23.85" hidden="false" customHeight="false" outlineLevel="0" collapsed="false">
      <c r="A618" s="11" t="s">
        <v>4122</v>
      </c>
      <c r="B618" s="11" t="s">
        <v>36</v>
      </c>
      <c r="C618" s="11" t="s">
        <v>183</v>
      </c>
      <c r="D618" s="11" t="s">
        <v>184</v>
      </c>
      <c r="E618" s="11" t="s">
        <v>765</v>
      </c>
      <c r="F618" s="11" t="s">
        <v>4123</v>
      </c>
      <c r="G618" s="11" t="s">
        <v>822</v>
      </c>
      <c r="H618" s="11"/>
      <c r="I618" s="11" t="s">
        <v>4124</v>
      </c>
      <c r="J618" s="11" t="s">
        <v>4125</v>
      </c>
      <c r="K618" s="11" t="s">
        <v>1609</v>
      </c>
      <c r="L618" s="11" t="s">
        <v>4126</v>
      </c>
      <c r="M618" s="11"/>
      <c r="N618" s="14" t="n">
        <v>2</v>
      </c>
      <c r="O618" s="14" t="n">
        <v>2</v>
      </c>
      <c r="P618" s="14" t="n">
        <v>3</v>
      </c>
      <c r="Q618" s="14"/>
      <c r="R618" s="12" t="n">
        <f aca="false">IF(OR(N618="",P618=""),"",ROUND(N618*O618/P618,1))</f>
        <v>1.3</v>
      </c>
      <c r="S618" s="13" t="n">
        <f aca="false">IF(R618="","",IF(Q618="Y",1,IF(P618&gt;='Read me'!$B$16,3,IF(AND(R618&gt;='Read me'!$B$14,P618&lt;='Read me'!$B$15),1,2))))</f>
        <v>2</v>
      </c>
    </row>
    <row r="619" customFormat="false" ht="23.85" hidden="false" customHeight="false" outlineLevel="0" collapsed="false">
      <c r="A619" s="11" t="s">
        <v>4127</v>
      </c>
      <c r="B619" s="11" t="s">
        <v>36</v>
      </c>
      <c r="C619" s="11" t="s">
        <v>183</v>
      </c>
      <c r="D619" s="11" t="s">
        <v>184</v>
      </c>
      <c r="E619" s="11" t="s">
        <v>1081</v>
      </c>
      <c r="F619" s="11" t="s">
        <v>2372</v>
      </c>
      <c r="G619" s="11" t="s">
        <v>3735</v>
      </c>
      <c r="H619" s="11"/>
      <c r="I619" s="11" t="s">
        <v>4128</v>
      </c>
      <c r="J619" s="11" t="s">
        <v>4129</v>
      </c>
      <c r="K619" s="11" t="s">
        <v>3738</v>
      </c>
      <c r="L619" s="11" t="s">
        <v>4130</v>
      </c>
      <c r="M619" s="11"/>
      <c r="N619" s="14" t="n">
        <v>2</v>
      </c>
      <c r="O619" s="14" t="n">
        <v>2</v>
      </c>
      <c r="P619" s="14" t="n">
        <v>2</v>
      </c>
      <c r="Q619" s="14"/>
      <c r="R619" s="12" t="n">
        <f aca="false">IF(OR(N619="",P619=""),"",ROUND(N619*O619/P619,1))</f>
        <v>2</v>
      </c>
      <c r="S619" s="13" t="n">
        <f aca="false">IF(R619="","",IF(Q619="Y",1,IF(P619&gt;='Read me'!$B$16,3,IF(AND(R619&gt;='Read me'!$B$14,P619&lt;='Read me'!$B$15),1,2))))</f>
        <v>2</v>
      </c>
    </row>
    <row r="620" customFormat="false" ht="23.85" hidden="false" customHeight="false" outlineLevel="0" collapsed="false">
      <c r="A620" s="11" t="s">
        <v>4131</v>
      </c>
      <c r="B620" s="11" t="s">
        <v>36</v>
      </c>
      <c r="C620" s="11" t="s">
        <v>183</v>
      </c>
      <c r="D620" s="11" t="s">
        <v>184</v>
      </c>
      <c r="E620" s="11" t="s">
        <v>1187</v>
      </c>
      <c r="F620" s="11" t="s">
        <v>4132</v>
      </c>
      <c r="G620" s="11" t="s">
        <v>4133</v>
      </c>
      <c r="H620" s="11" t="s">
        <v>1700</v>
      </c>
      <c r="I620" s="11" t="s">
        <v>512</v>
      </c>
      <c r="J620" s="11" t="s">
        <v>4134</v>
      </c>
      <c r="K620" s="11" t="s">
        <v>4009</v>
      </c>
      <c r="L620" s="11" t="s">
        <v>4135</v>
      </c>
      <c r="M620" s="11"/>
      <c r="N620" s="14" t="n">
        <v>1</v>
      </c>
      <c r="O620" s="14" t="n">
        <v>3</v>
      </c>
      <c r="P620" s="14" t="n">
        <v>3</v>
      </c>
      <c r="Q620" s="14"/>
      <c r="R620" s="12" t="n">
        <f aca="false">IF(OR(N620="",P620=""),"",ROUND(N620*O620/P620,1))</f>
        <v>1</v>
      </c>
      <c r="S620" s="13" t="n">
        <f aca="false">IF(R620="","",IF(Q620="Y",1,IF(P620&gt;='Read me'!$B$16,3,IF(AND(R620&gt;='Read me'!$B$14,P620&lt;='Read me'!$B$15),1,2))))</f>
        <v>2</v>
      </c>
    </row>
    <row r="621" customFormat="false" ht="35.05" hidden="false" customHeight="false" outlineLevel="0" collapsed="false">
      <c r="A621" s="11" t="s">
        <v>4136</v>
      </c>
      <c r="B621" s="11" t="s">
        <v>36</v>
      </c>
      <c r="C621" s="11" t="s">
        <v>183</v>
      </c>
      <c r="D621" s="11" t="s">
        <v>184</v>
      </c>
      <c r="E621" s="11" t="s">
        <v>1187</v>
      </c>
      <c r="F621" s="11" t="s">
        <v>4137</v>
      </c>
      <c r="G621" s="11" t="s">
        <v>4138</v>
      </c>
      <c r="H621" s="11" t="s">
        <v>4139</v>
      </c>
      <c r="I621" s="11" t="s">
        <v>4140</v>
      </c>
      <c r="J621" s="11" t="s">
        <v>4141</v>
      </c>
      <c r="K621" s="11" t="s">
        <v>1417</v>
      </c>
      <c r="L621" s="11" t="s">
        <v>4142</v>
      </c>
      <c r="M621" s="11" t="s">
        <v>3601</v>
      </c>
      <c r="N621" s="14" t="n">
        <v>1</v>
      </c>
      <c r="O621" s="14" t="n">
        <v>3</v>
      </c>
      <c r="P621" s="14" t="n">
        <v>4</v>
      </c>
      <c r="Q621" s="14"/>
      <c r="R621" s="12" t="n">
        <f aca="false">IF(OR(N621="",P621=""),"",ROUND(N621*O621/P621,1))</f>
        <v>0.8</v>
      </c>
      <c r="S621" s="13" t="n">
        <f aca="false">IF(R621="","",IF(Q621="Y",1,IF(P621&gt;='Read me'!$B$16,3,IF(AND(R621&gt;='Read me'!$B$14,P621&lt;='Read me'!$B$15),1,2))))</f>
        <v>3</v>
      </c>
    </row>
    <row r="622" customFormat="false" ht="35.05" hidden="false" customHeight="false" outlineLevel="0" collapsed="false">
      <c r="A622" s="11" t="s">
        <v>4143</v>
      </c>
      <c r="B622" s="11" t="s">
        <v>36</v>
      </c>
      <c r="C622" s="11" t="s">
        <v>183</v>
      </c>
      <c r="D622" s="11" t="s">
        <v>184</v>
      </c>
      <c r="E622" s="11" t="s">
        <v>1133</v>
      </c>
      <c r="F622" s="11" t="s">
        <v>4144</v>
      </c>
      <c r="G622" s="11" t="s">
        <v>2873</v>
      </c>
      <c r="H622" s="11" t="s">
        <v>4145</v>
      </c>
      <c r="I622" s="11" t="s">
        <v>4146</v>
      </c>
      <c r="J622" s="11" t="s">
        <v>4147</v>
      </c>
      <c r="K622" s="11" t="s">
        <v>1151</v>
      </c>
      <c r="L622" s="11" t="s">
        <v>4148</v>
      </c>
      <c r="M622" s="11" t="s">
        <v>3592</v>
      </c>
      <c r="N622" s="14" t="n">
        <v>1</v>
      </c>
      <c r="O622" s="14" t="n">
        <v>3</v>
      </c>
      <c r="P622" s="14" t="n">
        <v>5</v>
      </c>
      <c r="Q622" s="14"/>
      <c r="R622" s="12" t="n">
        <f aca="false">IF(OR(N622="",P622=""),"",ROUND(N622*O622/P622,1))</f>
        <v>0.6</v>
      </c>
      <c r="S622" s="13" t="n">
        <f aca="false">IF(R622="","",IF(Q622="Y",1,IF(P622&gt;='Read me'!$B$16,3,IF(AND(R622&gt;='Read me'!$B$14,P622&lt;='Read me'!$B$15),1,2))))</f>
        <v>3</v>
      </c>
    </row>
    <row r="623" customFormat="false" ht="15" hidden="false" customHeight="false" outlineLevel="0" collapsed="false">
      <c r="A623" s="11" t="s">
        <v>4149</v>
      </c>
      <c r="B623" s="11" t="s">
        <v>36</v>
      </c>
      <c r="C623" s="11" t="s">
        <v>183</v>
      </c>
      <c r="D623" s="11" t="s">
        <v>184</v>
      </c>
      <c r="E623" s="11" t="s">
        <v>1133</v>
      </c>
      <c r="F623" s="11" t="s">
        <v>4150</v>
      </c>
      <c r="G623" s="11" t="s">
        <v>1135</v>
      </c>
      <c r="H623" s="11"/>
      <c r="I623" s="11" t="s">
        <v>1136</v>
      </c>
      <c r="J623" s="11" t="s">
        <v>4151</v>
      </c>
      <c r="K623" s="11" t="s">
        <v>1138</v>
      </c>
      <c r="L623" s="11" t="s">
        <v>3775</v>
      </c>
      <c r="M623" s="11"/>
      <c r="N623" s="14" t="n">
        <v>2</v>
      </c>
      <c r="O623" s="14" t="n">
        <v>2</v>
      </c>
      <c r="P623" s="14" t="n">
        <v>1</v>
      </c>
      <c r="Q623" s="14"/>
      <c r="R623" s="12" t="n">
        <f aca="false">IF(OR(N623="",P623=""),"",ROUND(N623*O623/P623,1))</f>
        <v>4</v>
      </c>
      <c r="S623" s="13" t="n">
        <f aca="false">IF(R623="","",IF(Q623="Y",1,IF(P623&gt;='Read me'!$B$16,3,IF(AND(R623&gt;='Read me'!$B$14,P623&lt;='Read me'!$B$15),1,2))))</f>
        <v>2</v>
      </c>
    </row>
    <row r="624" customFormat="false" ht="23.85" hidden="false" customHeight="false" outlineLevel="0" collapsed="false">
      <c r="A624" s="11" t="s">
        <v>4152</v>
      </c>
      <c r="B624" s="11" t="s">
        <v>37</v>
      </c>
      <c r="C624" s="11" t="s">
        <v>186</v>
      </c>
      <c r="D624" s="11" t="s">
        <v>187</v>
      </c>
      <c r="E624" s="11" t="s">
        <v>476</v>
      </c>
      <c r="F624" s="11" t="s">
        <v>4153</v>
      </c>
      <c r="G624" s="11" t="s">
        <v>4022</v>
      </c>
      <c r="H624" s="11"/>
      <c r="I624" s="11" t="s">
        <v>4154</v>
      </c>
      <c r="J624" s="11" t="s">
        <v>4155</v>
      </c>
      <c r="K624" s="11" t="s">
        <v>4156</v>
      </c>
      <c r="L624" s="11" t="s">
        <v>4157</v>
      </c>
      <c r="M624" s="11"/>
      <c r="N624" s="14" t="n">
        <v>5</v>
      </c>
      <c r="O624" s="14" t="n">
        <v>4</v>
      </c>
      <c r="P624" s="14" t="n">
        <v>1</v>
      </c>
      <c r="Q624" s="14"/>
      <c r="R624" s="12" t="n">
        <f aca="false">IF(OR(N624="",P624=""),"",ROUND(N624*O624/P624,1))</f>
        <v>20</v>
      </c>
      <c r="S624" s="13" t="n">
        <f aca="false">IF(R624="","",IF(Q624="Y",1,IF(P624&gt;='Read me'!$B$16,3,IF(AND(R624&gt;='Read me'!$B$14,P624&lt;='Read me'!$B$15),1,2))))</f>
        <v>1</v>
      </c>
    </row>
    <row r="625" customFormat="false" ht="23.85" hidden="false" customHeight="false" outlineLevel="0" collapsed="false">
      <c r="A625" s="11" t="s">
        <v>4158</v>
      </c>
      <c r="B625" s="11" t="s">
        <v>37</v>
      </c>
      <c r="C625" s="11" t="s">
        <v>186</v>
      </c>
      <c r="D625" s="11" t="s">
        <v>187</v>
      </c>
      <c r="E625" s="11" t="s">
        <v>476</v>
      </c>
      <c r="F625" s="11" t="s">
        <v>4153</v>
      </c>
      <c r="G625" s="11" t="s">
        <v>3783</v>
      </c>
      <c r="H625" s="11"/>
      <c r="I625" s="11" t="s">
        <v>4159</v>
      </c>
      <c r="J625" s="11" t="s">
        <v>4160</v>
      </c>
      <c r="K625" s="11" t="s">
        <v>4161</v>
      </c>
      <c r="L625" s="11" t="s">
        <v>4162</v>
      </c>
      <c r="M625" s="11"/>
      <c r="N625" s="14" t="n">
        <v>4</v>
      </c>
      <c r="O625" s="14" t="n">
        <v>4</v>
      </c>
      <c r="P625" s="14" t="n">
        <v>1</v>
      </c>
      <c r="Q625" s="14"/>
      <c r="R625" s="12" t="n">
        <f aca="false">IF(OR(N625="",P625=""),"",ROUND(N625*O625/P625,1))</f>
        <v>16</v>
      </c>
      <c r="S625" s="13" t="n">
        <f aca="false">IF(R625="","",IF(Q625="Y",1,IF(P625&gt;='Read me'!$B$16,3,IF(AND(R625&gt;='Read me'!$B$14,P625&lt;='Read me'!$B$15),1,2))))</f>
        <v>1</v>
      </c>
    </row>
    <row r="626" customFormat="false" ht="23.85" hidden="false" customHeight="false" outlineLevel="0" collapsed="false">
      <c r="A626" s="11" t="s">
        <v>4163</v>
      </c>
      <c r="B626" s="11" t="s">
        <v>37</v>
      </c>
      <c r="C626" s="11" t="s">
        <v>186</v>
      </c>
      <c r="D626" s="11" t="s">
        <v>187</v>
      </c>
      <c r="E626" s="11" t="s">
        <v>476</v>
      </c>
      <c r="F626" s="11" t="s">
        <v>4153</v>
      </c>
      <c r="G626" s="11" t="s">
        <v>478</v>
      </c>
      <c r="H626" s="11"/>
      <c r="I626" s="11" t="s">
        <v>4164</v>
      </c>
      <c r="J626" s="11" t="s">
        <v>4165</v>
      </c>
      <c r="K626" s="11" t="s">
        <v>4166</v>
      </c>
      <c r="L626" s="11" t="s">
        <v>4167</v>
      </c>
      <c r="M626" s="11"/>
      <c r="N626" s="14" t="n">
        <v>3</v>
      </c>
      <c r="O626" s="14" t="n">
        <v>3</v>
      </c>
      <c r="P626" s="14" t="n">
        <v>1</v>
      </c>
      <c r="Q626" s="14"/>
      <c r="R626" s="12" t="n">
        <f aca="false">IF(OR(N626="",P626=""),"",ROUND(N626*O626/P626,1))</f>
        <v>9</v>
      </c>
      <c r="S626" s="13" t="n">
        <f aca="false">IF(R626="","",IF(Q626="Y",1,IF(P626&gt;='Read me'!$B$16,3,IF(AND(R626&gt;='Read me'!$B$14,P626&lt;='Read me'!$B$15),1,2))))</f>
        <v>1</v>
      </c>
    </row>
    <row r="627" customFormat="false" ht="35.05" hidden="false" customHeight="false" outlineLevel="0" collapsed="false">
      <c r="A627" s="11" t="s">
        <v>4168</v>
      </c>
      <c r="B627" s="11" t="s">
        <v>37</v>
      </c>
      <c r="C627" s="11" t="s">
        <v>186</v>
      </c>
      <c r="D627" s="11" t="s">
        <v>187</v>
      </c>
      <c r="E627" s="11" t="s">
        <v>476</v>
      </c>
      <c r="F627" s="11" t="s">
        <v>4153</v>
      </c>
      <c r="G627" s="11" t="s">
        <v>4169</v>
      </c>
      <c r="H627" s="11"/>
      <c r="I627" s="11" t="s">
        <v>4170</v>
      </c>
      <c r="J627" s="11" t="s">
        <v>4171</v>
      </c>
      <c r="K627" s="11" t="s">
        <v>4172</v>
      </c>
      <c r="L627" s="11" t="s">
        <v>4173</v>
      </c>
      <c r="M627" s="11" t="s">
        <v>3625</v>
      </c>
      <c r="N627" s="14" t="n">
        <v>3</v>
      </c>
      <c r="O627" s="14" t="n">
        <v>3</v>
      </c>
      <c r="P627" s="14" t="n">
        <v>3</v>
      </c>
      <c r="Q627" s="14"/>
      <c r="R627" s="12" t="n">
        <f aca="false">IF(OR(N627="",P627=""),"",ROUND(N627*O627/P627,1))</f>
        <v>3</v>
      </c>
      <c r="S627" s="13" t="n">
        <f aca="false">IF(R627="","",IF(Q627="Y",1,IF(P627&gt;='Read me'!$B$16,3,IF(AND(R627&gt;='Read me'!$B$14,P627&lt;='Read me'!$B$15),1,2))))</f>
        <v>2</v>
      </c>
    </row>
    <row r="628" customFormat="false" ht="23.85" hidden="false" customHeight="false" outlineLevel="0" collapsed="false">
      <c r="A628" s="11" t="s">
        <v>4174</v>
      </c>
      <c r="B628" s="11" t="s">
        <v>37</v>
      </c>
      <c r="C628" s="11" t="s">
        <v>186</v>
      </c>
      <c r="D628" s="11" t="s">
        <v>187</v>
      </c>
      <c r="E628" s="11" t="s">
        <v>476</v>
      </c>
      <c r="F628" s="11" t="s">
        <v>4153</v>
      </c>
      <c r="G628" s="11" t="s">
        <v>4175</v>
      </c>
      <c r="H628" s="11"/>
      <c r="I628" s="11" t="s">
        <v>4176</v>
      </c>
      <c r="J628" s="11" t="s">
        <v>4177</v>
      </c>
      <c r="K628" s="11" t="s">
        <v>4172</v>
      </c>
      <c r="L628" s="11" t="s">
        <v>4178</v>
      </c>
      <c r="M628" s="11" t="s">
        <v>3620</v>
      </c>
      <c r="N628" s="14" t="n">
        <v>3</v>
      </c>
      <c r="O628" s="14" t="n">
        <v>3</v>
      </c>
      <c r="P628" s="14" t="n">
        <v>2</v>
      </c>
      <c r="Q628" s="14"/>
      <c r="R628" s="12" t="n">
        <f aca="false">IF(OR(N628="",P628=""),"",ROUND(N628*O628/P628,1))</f>
        <v>4.5</v>
      </c>
      <c r="S628" s="13" t="n">
        <f aca="false">IF(R628="","",IF(Q628="Y",1,IF(P628&gt;='Read me'!$B$16,3,IF(AND(R628&gt;='Read me'!$B$14,P628&lt;='Read me'!$B$15),1,2))))</f>
        <v>2</v>
      </c>
    </row>
    <row r="629" customFormat="false" ht="23.85" hidden="false" customHeight="false" outlineLevel="0" collapsed="false">
      <c r="A629" s="11" t="s">
        <v>4179</v>
      </c>
      <c r="B629" s="11" t="s">
        <v>37</v>
      </c>
      <c r="C629" s="11" t="s">
        <v>186</v>
      </c>
      <c r="D629" s="11" t="s">
        <v>187</v>
      </c>
      <c r="E629" s="11" t="s">
        <v>476</v>
      </c>
      <c r="F629" s="11" t="s">
        <v>4153</v>
      </c>
      <c r="G629" s="11" t="s">
        <v>497</v>
      </c>
      <c r="H629" s="11"/>
      <c r="I629" s="11" t="s">
        <v>4180</v>
      </c>
      <c r="J629" s="11" t="s">
        <v>4181</v>
      </c>
      <c r="K629" s="11" t="s">
        <v>4161</v>
      </c>
      <c r="L629" s="11" t="s">
        <v>4182</v>
      </c>
      <c r="M629" s="11"/>
      <c r="N629" s="14" t="n">
        <v>2</v>
      </c>
      <c r="O629" s="14" t="n">
        <v>3</v>
      </c>
      <c r="P629" s="14" t="n">
        <v>1</v>
      </c>
      <c r="Q629" s="14"/>
      <c r="R629" s="12" t="n">
        <f aca="false">IF(OR(N629="",P629=""),"",ROUND(N629*O629/P629,1))</f>
        <v>6</v>
      </c>
      <c r="S629" s="13" t="n">
        <f aca="false">IF(R629="","",IF(Q629="Y",1,IF(P629&gt;='Read me'!$B$16,3,IF(AND(R629&gt;='Read me'!$B$14,P629&lt;='Read me'!$B$15),1,2))))</f>
        <v>1</v>
      </c>
    </row>
    <row r="630" customFormat="false" ht="23.85" hidden="false" customHeight="false" outlineLevel="0" collapsed="false">
      <c r="A630" s="11" t="s">
        <v>4183</v>
      </c>
      <c r="B630" s="11" t="s">
        <v>37</v>
      </c>
      <c r="C630" s="11" t="s">
        <v>186</v>
      </c>
      <c r="D630" s="11" t="s">
        <v>187</v>
      </c>
      <c r="E630" s="11" t="s">
        <v>476</v>
      </c>
      <c r="F630" s="11" t="s">
        <v>4153</v>
      </c>
      <c r="G630" s="11" t="s">
        <v>2301</v>
      </c>
      <c r="H630" s="11"/>
      <c r="I630" s="11" t="s">
        <v>4184</v>
      </c>
      <c r="J630" s="11" t="s">
        <v>4185</v>
      </c>
      <c r="K630" s="11" t="s">
        <v>4161</v>
      </c>
      <c r="L630" s="11" t="s">
        <v>4186</v>
      </c>
      <c r="M630" s="11"/>
      <c r="N630" s="14" t="n">
        <v>3</v>
      </c>
      <c r="O630" s="14" t="n">
        <v>4</v>
      </c>
      <c r="P630" s="14" t="n">
        <v>1</v>
      </c>
      <c r="Q630" s="14"/>
      <c r="R630" s="12" t="n">
        <f aca="false">IF(OR(N630="",P630=""),"",ROUND(N630*O630/P630,1))</f>
        <v>12</v>
      </c>
      <c r="S630" s="13" t="n">
        <f aca="false">IF(R630="","",IF(Q630="Y",1,IF(P630&gt;='Read me'!$B$16,3,IF(AND(R630&gt;='Read me'!$B$14,P630&lt;='Read me'!$B$15),1,2))))</f>
        <v>1</v>
      </c>
    </row>
    <row r="631" customFormat="false" ht="35.05" hidden="false" customHeight="false" outlineLevel="0" collapsed="false">
      <c r="A631" s="11" t="s">
        <v>4187</v>
      </c>
      <c r="B631" s="11" t="s">
        <v>37</v>
      </c>
      <c r="C631" s="11" t="s">
        <v>186</v>
      </c>
      <c r="D631" s="11" t="s">
        <v>187</v>
      </c>
      <c r="E631" s="11" t="s">
        <v>476</v>
      </c>
      <c r="F631" s="11" t="s">
        <v>4188</v>
      </c>
      <c r="G631" s="11" t="s">
        <v>4189</v>
      </c>
      <c r="H631" s="11"/>
      <c r="I631" s="11" t="s">
        <v>512</v>
      </c>
      <c r="J631" s="11" t="s">
        <v>4190</v>
      </c>
      <c r="K631" s="11" t="s">
        <v>4191</v>
      </c>
      <c r="L631" s="11" t="s">
        <v>4043</v>
      </c>
      <c r="M631" s="11" t="s">
        <v>3376</v>
      </c>
      <c r="N631" s="14" t="n">
        <v>3</v>
      </c>
      <c r="O631" s="14" t="n">
        <v>4</v>
      </c>
      <c r="P631" s="14" t="n">
        <v>2</v>
      </c>
      <c r="Q631" s="14"/>
      <c r="R631" s="12" t="n">
        <f aca="false">IF(OR(N631="",P631=""),"",ROUND(N631*O631/P631,1))</f>
        <v>6</v>
      </c>
      <c r="S631" s="13" t="n">
        <f aca="false">IF(R631="","",IF(Q631="Y",1,IF(P631&gt;='Read me'!$B$16,3,IF(AND(R631&gt;='Read me'!$B$14,P631&lt;='Read me'!$B$15),1,2))))</f>
        <v>1</v>
      </c>
    </row>
    <row r="632" customFormat="false" ht="23.85" hidden="false" customHeight="false" outlineLevel="0" collapsed="false">
      <c r="A632" s="11" t="s">
        <v>4192</v>
      </c>
      <c r="B632" s="11" t="s">
        <v>37</v>
      </c>
      <c r="C632" s="11" t="s">
        <v>186</v>
      </c>
      <c r="D632" s="11" t="s">
        <v>187</v>
      </c>
      <c r="E632" s="11" t="s">
        <v>476</v>
      </c>
      <c r="F632" s="11" t="s">
        <v>4153</v>
      </c>
      <c r="G632" s="11" t="s">
        <v>1071</v>
      </c>
      <c r="H632" s="11"/>
      <c r="I632" s="11" t="s">
        <v>4193</v>
      </c>
      <c r="J632" s="11" t="s">
        <v>4194</v>
      </c>
      <c r="K632" s="11" t="s">
        <v>4161</v>
      </c>
      <c r="L632" s="11" t="s">
        <v>4195</v>
      </c>
      <c r="M632" s="11" t="s">
        <v>4196</v>
      </c>
      <c r="N632" s="14" t="n">
        <v>2</v>
      </c>
      <c r="O632" s="14" t="n">
        <v>3</v>
      </c>
      <c r="P632" s="14" t="n">
        <v>2</v>
      </c>
      <c r="Q632" s="14"/>
      <c r="R632" s="12" t="n">
        <f aca="false">IF(OR(N632="",P632=""),"",ROUND(N632*O632/P632,1))</f>
        <v>3</v>
      </c>
      <c r="S632" s="13" t="n">
        <f aca="false">IF(R632="","",IF(Q632="Y",1,IF(P632&gt;='Read me'!$B$16,3,IF(AND(R632&gt;='Read me'!$B$14,P632&lt;='Read me'!$B$15),1,2))))</f>
        <v>2</v>
      </c>
    </row>
    <row r="633" customFormat="false" ht="23.85" hidden="false" customHeight="false" outlineLevel="0" collapsed="false">
      <c r="A633" s="11" t="s">
        <v>4197</v>
      </c>
      <c r="B633" s="11" t="s">
        <v>37</v>
      </c>
      <c r="C633" s="11" t="s">
        <v>186</v>
      </c>
      <c r="D633" s="11" t="s">
        <v>187</v>
      </c>
      <c r="E633" s="11" t="s">
        <v>476</v>
      </c>
      <c r="F633" s="11" t="s">
        <v>4153</v>
      </c>
      <c r="G633" s="11" t="s">
        <v>4198</v>
      </c>
      <c r="H633" s="11"/>
      <c r="I633" s="11" t="s">
        <v>4199</v>
      </c>
      <c r="J633" s="11" t="s">
        <v>4200</v>
      </c>
      <c r="K633" s="11" t="s">
        <v>4201</v>
      </c>
      <c r="L633" s="11" t="s">
        <v>4202</v>
      </c>
      <c r="M633" s="11" t="s">
        <v>4203</v>
      </c>
      <c r="N633" s="14" t="n">
        <v>2</v>
      </c>
      <c r="O633" s="14" t="n">
        <v>3</v>
      </c>
      <c r="P633" s="14" t="n">
        <v>2</v>
      </c>
      <c r="Q633" s="14"/>
      <c r="R633" s="12" t="n">
        <f aca="false">IF(OR(N633="",P633=""),"",ROUND(N633*O633/P633,1))</f>
        <v>3</v>
      </c>
      <c r="S633" s="13" t="n">
        <f aca="false">IF(R633="","",IF(Q633="Y",1,IF(P633&gt;='Read me'!$B$16,3,IF(AND(R633&gt;='Read me'!$B$14,P633&lt;='Read me'!$B$15),1,2))))</f>
        <v>2</v>
      </c>
    </row>
    <row r="634" customFormat="false" ht="23.85" hidden="false" customHeight="false" outlineLevel="0" collapsed="false">
      <c r="A634" s="11" t="s">
        <v>4204</v>
      </c>
      <c r="B634" s="11" t="s">
        <v>37</v>
      </c>
      <c r="C634" s="11" t="s">
        <v>186</v>
      </c>
      <c r="D634" s="11" t="s">
        <v>187</v>
      </c>
      <c r="E634" s="11" t="s">
        <v>532</v>
      </c>
      <c r="F634" s="11" t="s">
        <v>4205</v>
      </c>
      <c r="G634" s="11" t="s">
        <v>4206</v>
      </c>
      <c r="H634" s="11"/>
      <c r="I634" s="11" t="s">
        <v>4207</v>
      </c>
      <c r="J634" s="11" t="s">
        <v>4208</v>
      </c>
      <c r="K634" s="11" t="s">
        <v>4209</v>
      </c>
      <c r="L634" s="11" t="s">
        <v>4210</v>
      </c>
      <c r="M634" s="11"/>
      <c r="N634" s="14" t="n">
        <v>5</v>
      </c>
      <c r="O634" s="14" t="n">
        <v>4</v>
      </c>
      <c r="P634" s="14" t="n">
        <v>2</v>
      </c>
      <c r="Q634" s="14"/>
      <c r="R634" s="12" t="n">
        <f aca="false">IF(OR(N634="",P634=""),"",ROUND(N634*O634/P634,1))</f>
        <v>10</v>
      </c>
      <c r="S634" s="13" t="n">
        <f aca="false">IF(R634="","",IF(Q634="Y",1,IF(P634&gt;='Read me'!$B$16,3,IF(AND(R634&gt;='Read me'!$B$14,P634&lt;='Read me'!$B$15),1,2))))</f>
        <v>1</v>
      </c>
    </row>
    <row r="635" customFormat="false" ht="23.85" hidden="false" customHeight="false" outlineLevel="0" collapsed="false">
      <c r="A635" s="11" t="s">
        <v>4211</v>
      </c>
      <c r="B635" s="11" t="s">
        <v>37</v>
      </c>
      <c r="C635" s="11" t="s">
        <v>186</v>
      </c>
      <c r="D635" s="11" t="s">
        <v>187</v>
      </c>
      <c r="E635" s="11" t="s">
        <v>532</v>
      </c>
      <c r="F635" s="11" t="s">
        <v>4205</v>
      </c>
      <c r="G635" s="11" t="s">
        <v>4212</v>
      </c>
      <c r="H635" s="11"/>
      <c r="I635" s="11" t="s">
        <v>4213</v>
      </c>
      <c r="J635" s="11" t="s">
        <v>4214</v>
      </c>
      <c r="K635" s="11" t="s">
        <v>4215</v>
      </c>
      <c r="L635" s="11"/>
      <c r="M635" s="11"/>
      <c r="N635" s="14" t="n">
        <v>4</v>
      </c>
      <c r="O635" s="14" t="n">
        <v>3</v>
      </c>
      <c r="P635" s="14" t="n">
        <v>1</v>
      </c>
      <c r="Q635" s="14"/>
      <c r="R635" s="12" t="n">
        <f aca="false">IF(OR(N635="",P635=""),"",ROUND(N635*O635/P635,1))</f>
        <v>12</v>
      </c>
      <c r="S635" s="13" t="n">
        <f aca="false">IF(R635="","",IF(Q635="Y",1,IF(P635&gt;='Read me'!$B$16,3,IF(AND(R635&gt;='Read me'!$B$14,P635&lt;='Read me'!$B$15),1,2))))</f>
        <v>1</v>
      </c>
    </row>
    <row r="636" customFormat="false" ht="23.85" hidden="false" customHeight="false" outlineLevel="0" collapsed="false">
      <c r="A636" s="11" t="s">
        <v>4216</v>
      </c>
      <c r="B636" s="11" t="s">
        <v>37</v>
      </c>
      <c r="C636" s="11" t="s">
        <v>186</v>
      </c>
      <c r="D636" s="11" t="s">
        <v>187</v>
      </c>
      <c r="E636" s="11" t="s">
        <v>532</v>
      </c>
      <c r="F636" s="11" t="s">
        <v>4205</v>
      </c>
      <c r="G636" s="11" t="s">
        <v>4217</v>
      </c>
      <c r="H636" s="11"/>
      <c r="I636" s="11" t="s">
        <v>4218</v>
      </c>
      <c r="J636" s="11" t="s">
        <v>4219</v>
      </c>
      <c r="K636" s="11" t="s">
        <v>4220</v>
      </c>
      <c r="L636" s="11" t="s">
        <v>4221</v>
      </c>
      <c r="M636" s="11"/>
      <c r="N636" s="14" t="n">
        <v>3</v>
      </c>
      <c r="O636" s="14" t="n">
        <v>2</v>
      </c>
      <c r="P636" s="14" t="n">
        <v>1</v>
      </c>
      <c r="Q636" s="14"/>
      <c r="R636" s="12" t="n">
        <f aca="false">IF(OR(N636="",P636=""),"",ROUND(N636*O636/P636,1))</f>
        <v>6</v>
      </c>
      <c r="S636" s="13" t="n">
        <f aca="false">IF(R636="","",IF(Q636="Y",1,IF(P636&gt;='Read me'!$B$16,3,IF(AND(R636&gt;='Read me'!$B$14,P636&lt;='Read me'!$B$15),1,2))))</f>
        <v>1</v>
      </c>
    </row>
    <row r="637" customFormat="false" ht="23.85" hidden="false" customHeight="false" outlineLevel="0" collapsed="false">
      <c r="A637" s="11" t="s">
        <v>4222</v>
      </c>
      <c r="B637" s="11" t="s">
        <v>37</v>
      </c>
      <c r="C637" s="11" t="s">
        <v>186</v>
      </c>
      <c r="D637" s="11" t="s">
        <v>187</v>
      </c>
      <c r="E637" s="11" t="s">
        <v>532</v>
      </c>
      <c r="F637" s="11" t="s">
        <v>4205</v>
      </c>
      <c r="G637" s="11" t="s">
        <v>1473</v>
      </c>
      <c r="H637" s="11"/>
      <c r="I637" s="11" t="s">
        <v>4223</v>
      </c>
      <c r="J637" s="11" t="s">
        <v>4224</v>
      </c>
      <c r="K637" s="11" t="s">
        <v>4225</v>
      </c>
      <c r="L637" s="11" t="s">
        <v>4226</v>
      </c>
      <c r="M637" s="11"/>
      <c r="N637" s="14" t="n">
        <v>2</v>
      </c>
      <c r="O637" s="14" t="n">
        <v>3</v>
      </c>
      <c r="P637" s="14" t="n">
        <v>3</v>
      </c>
      <c r="Q637" s="14"/>
      <c r="R637" s="12" t="n">
        <f aca="false">IF(OR(N637="",P637=""),"",ROUND(N637*O637/P637,1))</f>
        <v>2</v>
      </c>
      <c r="S637" s="13" t="n">
        <f aca="false">IF(R637="","",IF(Q637="Y",1,IF(P637&gt;='Read me'!$B$16,3,IF(AND(R637&gt;='Read me'!$B$14,P637&lt;='Read me'!$B$15),1,2))))</f>
        <v>2</v>
      </c>
    </row>
    <row r="638" customFormat="false" ht="23.85" hidden="false" customHeight="false" outlineLevel="0" collapsed="false">
      <c r="A638" s="11" t="s">
        <v>4227</v>
      </c>
      <c r="B638" s="11" t="s">
        <v>37</v>
      </c>
      <c r="C638" s="11" t="s">
        <v>186</v>
      </c>
      <c r="D638" s="11" t="s">
        <v>187</v>
      </c>
      <c r="E638" s="11" t="s">
        <v>532</v>
      </c>
      <c r="F638" s="11" t="s">
        <v>4205</v>
      </c>
      <c r="G638" s="11" t="s">
        <v>1634</v>
      </c>
      <c r="H638" s="11"/>
      <c r="I638" s="11" t="s">
        <v>4228</v>
      </c>
      <c r="J638" s="11" t="s">
        <v>4229</v>
      </c>
      <c r="K638" s="11" t="s">
        <v>717</v>
      </c>
      <c r="L638" s="11" t="s">
        <v>4230</v>
      </c>
      <c r="M638" s="11"/>
      <c r="N638" s="14" t="n">
        <v>2</v>
      </c>
      <c r="O638" s="14" t="n">
        <v>4</v>
      </c>
      <c r="P638" s="14" t="n">
        <v>2</v>
      </c>
      <c r="Q638" s="14"/>
      <c r="R638" s="12" t="n">
        <f aca="false">IF(OR(N638="",P638=""),"",ROUND(N638*O638/P638,1))</f>
        <v>4</v>
      </c>
      <c r="S638" s="13" t="n">
        <f aca="false">IF(R638="","",IF(Q638="Y",1,IF(P638&gt;='Read me'!$B$16,3,IF(AND(R638&gt;='Read me'!$B$14,P638&lt;='Read me'!$B$15),1,2))))</f>
        <v>2</v>
      </c>
    </row>
    <row r="639" customFormat="false" ht="23.85" hidden="false" customHeight="false" outlineLevel="0" collapsed="false">
      <c r="A639" s="11" t="s">
        <v>4231</v>
      </c>
      <c r="B639" s="11" t="s">
        <v>37</v>
      </c>
      <c r="C639" s="11" t="s">
        <v>186</v>
      </c>
      <c r="D639" s="11" t="s">
        <v>187</v>
      </c>
      <c r="E639" s="11" t="s">
        <v>532</v>
      </c>
      <c r="F639" s="11" t="s">
        <v>4205</v>
      </c>
      <c r="G639" s="11" t="s">
        <v>4232</v>
      </c>
      <c r="H639" s="11"/>
      <c r="I639" s="11" t="s">
        <v>4233</v>
      </c>
      <c r="J639" s="11" t="s">
        <v>4234</v>
      </c>
      <c r="K639" s="11" t="s">
        <v>3738</v>
      </c>
      <c r="L639" s="11" t="s">
        <v>4235</v>
      </c>
      <c r="M639" s="11"/>
      <c r="N639" s="14" t="n">
        <v>3</v>
      </c>
      <c r="O639" s="14" t="n">
        <v>3</v>
      </c>
      <c r="P639" s="14" t="n">
        <v>1</v>
      </c>
      <c r="Q639" s="14"/>
      <c r="R639" s="12" t="n">
        <f aca="false">IF(OR(N639="",P639=""),"",ROUND(N639*O639/P639,1))</f>
        <v>9</v>
      </c>
      <c r="S639" s="13" t="n">
        <f aca="false">IF(R639="","",IF(Q639="Y",1,IF(P639&gt;='Read me'!$B$16,3,IF(AND(R639&gt;='Read me'!$B$14,P639&lt;='Read me'!$B$15),1,2))))</f>
        <v>1</v>
      </c>
    </row>
    <row r="640" customFormat="false" ht="35.05" hidden="false" customHeight="false" outlineLevel="0" collapsed="false">
      <c r="A640" s="11" t="s">
        <v>4236</v>
      </c>
      <c r="B640" s="11" t="s">
        <v>37</v>
      </c>
      <c r="C640" s="11" t="s">
        <v>186</v>
      </c>
      <c r="D640" s="11" t="s">
        <v>187</v>
      </c>
      <c r="E640" s="11" t="s">
        <v>532</v>
      </c>
      <c r="F640" s="11" t="s">
        <v>4205</v>
      </c>
      <c r="G640" s="11" t="s">
        <v>4237</v>
      </c>
      <c r="H640" s="11"/>
      <c r="I640" s="11" t="s">
        <v>4238</v>
      </c>
      <c r="J640" s="11" t="s">
        <v>4239</v>
      </c>
      <c r="K640" s="11" t="s">
        <v>4240</v>
      </c>
      <c r="L640" s="11" t="s">
        <v>4241</v>
      </c>
      <c r="M640" s="11" t="s">
        <v>3399</v>
      </c>
      <c r="N640" s="14" t="n">
        <v>2</v>
      </c>
      <c r="O640" s="14" t="n">
        <v>3</v>
      </c>
      <c r="P640" s="14" t="n">
        <v>5</v>
      </c>
      <c r="Q640" s="14"/>
      <c r="R640" s="12" t="n">
        <f aca="false">IF(OR(N640="",P640=""),"",ROUND(N640*O640/P640,1))</f>
        <v>1.2</v>
      </c>
      <c r="S640" s="13" t="n">
        <f aca="false">IF(R640="","",IF(Q640="Y",1,IF(P640&gt;='Read me'!$B$16,3,IF(AND(R640&gt;='Read me'!$B$14,P640&lt;='Read me'!$B$15),1,2))))</f>
        <v>3</v>
      </c>
    </row>
    <row r="641" customFormat="false" ht="23.85" hidden="false" customHeight="false" outlineLevel="0" collapsed="false">
      <c r="A641" s="11" t="s">
        <v>4242</v>
      </c>
      <c r="B641" s="11" t="s">
        <v>37</v>
      </c>
      <c r="C641" s="11" t="s">
        <v>186</v>
      </c>
      <c r="D641" s="11" t="s">
        <v>187</v>
      </c>
      <c r="E641" s="11" t="s">
        <v>532</v>
      </c>
      <c r="F641" s="11" t="s">
        <v>4205</v>
      </c>
      <c r="G641" s="11" t="s">
        <v>4206</v>
      </c>
      <c r="H641" s="11" t="s">
        <v>4243</v>
      </c>
      <c r="I641" s="11" t="s">
        <v>4244</v>
      </c>
      <c r="J641" s="11" t="s">
        <v>4245</v>
      </c>
      <c r="K641" s="11" t="s">
        <v>4246</v>
      </c>
      <c r="L641" s="11" t="s">
        <v>4247</v>
      </c>
      <c r="M641" s="11"/>
      <c r="N641" s="14" t="n">
        <v>4</v>
      </c>
      <c r="O641" s="14" t="n">
        <v>3</v>
      </c>
      <c r="P641" s="14" t="n">
        <v>1</v>
      </c>
      <c r="Q641" s="14"/>
      <c r="R641" s="12" t="n">
        <f aca="false">IF(OR(N641="",P641=""),"",ROUND(N641*O641/P641,1))</f>
        <v>12</v>
      </c>
      <c r="S641" s="13" t="n">
        <f aca="false">IF(R641="","",IF(Q641="Y",1,IF(P641&gt;='Read me'!$B$16,3,IF(AND(R641&gt;='Read me'!$B$14,P641&lt;='Read me'!$B$15),1,2))))</f>
        <v>1</v>
      </c>
    </row>
    <row r="642" customFormat="false" ht="23.85" hidden="false" customHeight="false" outlineLevel="0" collapsed="false">
      <c r="A642" s="11" t="s">
        <v>4248</v>
      </c>
      <c r="B642" s="11" t="s">
        <v>37</v>
      </c>
      <c r="C642" s="11" t="s">
        <v>186</v>
      </c>
      <c r="D642" s="11" t="s">
        <v>187</v>
      </c>
      <c r="E642" s="11" t="s">
        <v>532</v>
      </c>
      <c r="F642" s="11" t="s">
        <v>4205</v>
      </c>
      <c r="G642" s="11" t="s">
        <v>4206</v>
      </c>
      <c r="H642" s="11" t="s">
        <v>612</v>
      </c>
      <c r="I642" s="11" t="s">
        <v>4249</v>
      </c>
      <c r="J642" s="11" t="s">
        <v>4250</v>
      </c>
      <c r="K642" s="11" t="s">
        <v>616</v>
      </c>
      <c r="L642" s="11" t="s">
        <v>4251</v>
      </c>
      <c r="M642" s="11"/>
      <c r="N642" s="14" t="n">
        <v>2</v>
      </c>
      <c r="O642" s="14" t="n">
        <v>2</v>
      </c>
      <c r="P642" s="14" t="n">
        <v>2</v>
      </c>
      <c r="Q642" s="14"/>
      <c r="R642" s="12" t="n">
        <f aca="false">IF(OR(N642="",P642=""),"",ROUND(N642*O642/P642,1))</f>
        <v>2</v>
      </c>
      <c r="S642" s="13" t="n">
        <f aca="false">IF(R642="","",IF(Q642="Y",1,IF(P642&gt;='Read me'!$B$16,3,IF(AND(R642&gt;='Read me'!$B$14,P642&lt;='Read me'!$B$15),1,2))))</f>
        <v>2</v>
      </c>
    </row>
    <row r="643" customFormat="false" ht="23.85" hidden="false" customHeight="false" outlineLevel="0" collapsed="false">
      <c r="A643" s="11" t="s">
        <v>4252</v>
      </c>
      <c r="B643" s="11" t="s">
        <v>37</v>
      </c>
      <c r="C643" s="11" t="s">
        <v>186</v>
      </c>
      <c r="D643" s="11" t="s">
        <v>187</v>
      </c>
      <c r="E643" s="11" t="s">
        <v>532</v>
      </c>
      <c r="F643" s="11" t="s">
        <v>4205</v>
      </c>
      <c r="G643" s="11" t="s">
        <v>4253</v>
      </c>
      <c r="H643" s="11"/>
      <c r="I643" s="11" t="s">
        <v>4254</v>
      </c>
      <c r="J643" s="11" t="s">
        <v>4255</v>
      </c>
      <c r="K643" s="11" t="s">
        <v>4256</v>
      </c>
      <c r="L643" s="11" t="s">
        <v>4257</v>
      </c>
      <c r="M643" s="11" t="s">
        <v>4258</v>
      </c>
      <c r="N643" s="14" t="n">
        <v>2</v>
      </c>
      <c r="O643" s="14" t="n">
        <v>3</v>
      </c>
      <c r="P643" s="14" t="n">
        <v>2</v>
      </c>
      <c r="Q643" s="14"/>
      <c r="R643" s="12" t="n">
        <f aca="false">IF(OR(N643="",P643=""),"",ROUND(N643*O643/P643,1))</f>
        <v>3</v>
      </c>
      <c r="S643" s="13" t="n">
        <f aca="false">IF(R643="","",IF(Q643="Y",1,IF(P643&gt;='Read me'!$B$16,3,IF(AND(R643&gt;='Read me'!$B$14,P643&lt;='Read me'!$B$15),1,2))))</f>
        <v>2</v>
      </c>
    </row>
    <row r="644" customFormat="false" ht="23.85" hidden="false" customHeight="false" outlineLevel="0" collapsed="false">
      <c r="A644" s="11" t="s">
        <v>4259</v>
      </c>
      <c r="B644" s="11" t="s">
        <v>37</v>
      </c>
      <c r="C644" s="11" t="s">
        <v>186</v>
      </c>
      <c r="D644" s="11" t="s">
        <v>187</v>
      </c>
      <c r="E644" s="11" t="s">
        <v>626</v>
      </c>
      <c r="F644" s="11" t="s">
        <v>4260</v>
      </c>
      <c r="G644" s="11" t="s">
        <v>628</v>
      </c>
      <c r="H644" s="11"/>
      <c r="I644" s="11" t="s">
        <v>4261</v>
      </c>
      <c r="J644" s="11" t="s">
        <v>4262</v>
      </c>
      <c r="K644" s="11" t="s">
        <v>529</v>
      </c>
      <c r="L644" s="11" t="s">
        <v>4263</v>
      </c>
      <c r="M644" s="11"/>
      <c r="N644" s="14" t="n">
        <v>3</v>
      </c>
      <c r="O644" s="14" t="n">
        <v>3</v>
      </c>
      <c r="P644" s="14" t="n">
        <v>1</v>
      </c>
      <c r="Q644" s="14"/>
      <c r="R644" s="12" t="n">
        <f aca="false">IF(OR(N644="",P644=""),"",ROUND(N644*O644/P644,1))</f>
        <v>9</v>
      </c>
      <c r="S644" s="13" t="n">
        <f aca="false">IF(R644="","",IF(Q644="Y",1,IF(P644&gt;='Read me'!$B$16,3,IF(AND(R644&gt;='Read me'!$B$14,P644&lt;='Read me'!$B$15),1,2))))</f>
        <v>1</v>
      </c>
    </row>
    <row r="645" customFormat="false" ht="23.85" hidden="false" customHeight="false" outlineLevel="0" collapsed="false">
      <c r="A645" s="11" t="s">
        <v>4264</v>
      </c>
      <c r="B645" s="11" t="s">
        <v>37</v>
      </c>
      <c r="C645" s="11" t="s">
        <v>186</v>
      </c>
      <c r="D645" s="11" t="s">
        <v>187</v>
      </c>
      <c r="E645" s="11" t="s">
        <v>626</v>
      </c>
      <c r="F645" s="11" t="s">
        <v>4265</v>
      </c>
      <c r="G645" s="11"/>
      <c r="H645" s="11"/>
      <c r="I645" s="11" t="s">
        <v>4266</v>
      </c>
      <c r="J645" s="11" t="s">
        <v>4267</v>
      </c>
      <c r="K645" s="11" t="s">
        <v>4268</v>
      </c>
      <c r="L645" s="11" t="s">
        <v>4269</v>
      </c>
      <c r="M645" s="11"/>
      <c r="N645" s="14" t="n">
        <v>3</v>
      </c>
      <c r="O645" s="14" t="n">
        <v>2</v>
      </c>
      <c r="P645" s="14" t="n">
        <v>1</v>
      </c>
      <c r="Q645" s="14"/>
      <c r="R645" s="12" t="n">
        <f aca="false">IF(OR(N645="",P645=""),"",ROUND(N645*O645/P645,1))</f>
        <v>6</v>
      </c>
      <c r="S645" s="13" t="n">
        <f aca="false">IF(R645="","",IF(Q645="Y",1,IF(P645&gt;='Read me'!$B$16,3,IF(AND(R645&gt;='Read me'!$B$14,P645&lt;='Read me'!$B$15),1,2))))</f>
        <v>1</v>
      </c>
    </row>
    <row r="646" customFormat="false" ht="23.85" hidden="false" customHeight="false" outlineLevel="0" collapsed="false">
      <c r="A646" s="11" t="s">
        <v>4270</v>
      </c>
      <c r="B646" s="11" t="s">
        <v>37</v>
      </c>
      <c r="C646" s="11" t="s">
        <v>186</v>
      </c>
      <c r="D646" s="11" t="s">
        <v>187</v>
      </c>
      <c r="E646" s="11" t="s">
        <v>626</v>
      </c>
      <c r="F646" s="11" t="s">
        <v>4271</v>
      </c>
      <c r="G646" s="11" t="s">
        <v>4272</v>
      </c>
      <c r="H646" s="11"/>
      <c r="I646" s="11" t="s">
        <v>4273</v>
      </c>
      <c r="J646" s="11" t="s">
        <v>4274</v>
      </c>
      <c r="K646" s="11" t="s">
        <v>1028</v>
      </c>
      <c r="L646" s="11" t="s">
        <v>4275</v>
      </c>
      <c r="M646" s="11"/>
      <c r="N646" s="14" t="n">
        <v>2</v>
      </c>
      <c r="O646" s="14" t="n">
        <v>2</v>
      </c>
      <c r="P646" s="14" t="n">
        <v>1</v>
      </c>
      <c r="Q646" s="14"/>
      <c r="R646" s="12" t="n">
        <f aca="false">IF(OR(N646="",P646=""),"",ROUND(N646*O646/P646,1))</f>
        <v>4</v>
      </c>
      <c r="S646" s="13" t="n">
        <f aca="false">IF(R646="","",IF(Q646="Y",1,IF(P646&gt;='Read me'!$B$16,3,IF(AND(R646&gt;='Read me'!$B$14,P646&lt;='Read me'!$B$15),1,2))))</f>
        <v>2</v>
      </c>
    </row>
    <row r="647" customFormat="false" ht="23.85" hidden="false" customHeight="false" outlineLevel="0" collapsed="false">
      <c r="A647" s="11" t="s">
        <v>4276</v>
      </c>
      <c r="B647" s="11" t="s">
        <v>37</v>
      </c>
      <c r="C647" s="11" t="s">
        <v>186</v>
      </c>
      <c r="D647" s="11" t="s">
        <v>187</v>
      </c>
      <c r="E647" s="11" t="s">
        <v>751</v>
      </c>
      <c r="F647" s="11" t="s">
        <v>4277</v>
      </c>
      <c r="G647" s="11" t="s">
        <v>4278</v>
      </c>
      <c r="H647" s="11"/>
      <c r="I647" s="11" t="s">
        <v>4279</v>
      </c>
      <c r="J647" s="11" t="s">
        <v>4280</v>
      </c>
      <c r="K647" s="11" t="s">
        <v>4109</v>
      </c>
      <c r="L647" s="11" t="s">
        <v>4281</v>
      </c>
      <c r="M647" s="11" t="s">
        <v>1577</v>
      </c>
      <c r="N647" s="14" t="n">
        <v>3</v>
      </c>
      <c r="O647" s="14" t="n">
        <v>3</v>
      </c>
      <c r="P647" s="14" t="n">
        <v>3</v>
      </c>
      <c r="Q647" s="14"/>
      <c r="R647" s="12" t="n">
        <f aca="false">IF(OR(N647="",P647=""),"",ROUND(N647*O647/P647,1))</f>
        <v>3</v>
      </c>
      <c r="S647" s="13" t="n">
        <f aca="false">IF(R647="","",IF(Q647="Y",1,IF(P647&gt;='Read me'!$B$16,3,IF(AND(R647&gt;='Read me'!$B$14,P647&lt;='Read me'!$B$15),1,2))))</f>
        <v>2</v>
      </c>
    </row>
    <row r="648" customFormat="false" ht="23.85" hidden="false" customHeight="false" outlineLevel="0" collapsed="false">
      <c r="A648" s="11" t="s">
        <v>4282</v>
      </c>
      <c r="B648" s="11" t="s">
        <v>37</v>
      </c>
      <c r="C648" s="11" t="s">
        <v>186</v>
      </c>
      <c r="D648" s="11" t="s">
        <v>187</v>
      </c>
      <c r="E648" s="11" t="s">
        <v>751</v>
      </c>
      <c r="F648" s="11" t="s">
        <v>4283</v>
      </c>
      <c r="G648" s="11" t="s">
        <v>1671</v>
      </c>
      <c r="H648" s="11"/>
      <c r="I648" s="11" t="s">
        <v>4284</v>
      </c>
      <c r="J648" s="11" t="s">
        <v>4285</v>
      </c>
      <c r="K648" s="11" t="s">
        <v>1254</v>
      </c>
      <c r="L648" s="11" t="s">
        <v>4286</v>
      </c>
      <c r="M648" s="11" t="s">
        <v>1577</v>
      </c>
      <c r="N648" s="14" t="n">
        <v>1</v>
      </c>
      <c r="O648" s="14" t="n">
        <v>3</v>
      </c>
      <c r="P648" s="14" t="n">
        <v>3</v>
      </c>
      <c r="Q648" s="14"/>
      <c r="R648" s="12" t="n">
        <f aca="false">IF(OR(N648="",P648=""),"",ROUND(N648*O648/P648,1))</f>
        <v>1</v>
      </c>
      <c r="S648" s="13" t="n">
        <f aca="false">IF(R648="","",IF(Q648="Y",1,IF(P648&gt;='Read me'!$B$16,3,IF(AND(R648&gt;='Read me'!$B$14,P648&lt;='Read me'!$B$15),1,2))))</f>
        <v>2</v>
      </c>
    </row>
    <row r="649" customFormat="false" ht="15" hidden="false" customHeight="false" outlineLevel="0" collapsed="false">
      <c r="A649" s="11" t="s">
        <v>4287</v>
      </c>
      <c r="B649" s="11" t="s">
        <v>37</v>
      </c>
      <c r="C649" s="11" t="s">
        <v>186</v>
      </c>
      <c r="D649" s="11" t="s">
        <v>187</v>
      </c>
      <c r="E649" s="11" t="s">
        <v>751</v>
      </c>
      <c r="F649" s="11" t="s">
        <v>4277</v>
      </c>
      <c r="G649" s="11" t="s">
        <v>1671</v>
      </c>
      <c r="H649" s="11" t="s">
        <v>1284</v>
      </c>
      <c r="I649" s="11" t="s">
        <v>754</v>
      </c>
      <c r="J649" s="11" t="s">
        <v>4288</v>
      </c>
      <c r="K649" s="11" t="s">
        <v>616</v>
      </c>
      <c r="L649" s="11" t="s">
        <v>4289</v>
      </c>
      <c r="M649" s="11"/>
      <c r="N649" s="14" t="n">
        <v>1</v>
      </c>
      <c r="O649" s="14" t="n">
        <v>2</v>
      </c>
      <c r="P649" s="14" t="n">
        <v>3</v>
      </c>
      <c r="Q649" s="14"/>
      <c r="R649" s="12" t="n">
        <f aca="false">IF(OR(N649="",P649=""),"",ROUND(N649*O649/P649,1))</f>
        <v>0.7</v>
      </c>
      <c r="S649" s="13" t="n">
        <f aca="false">IF(R649="","",IF(Q649="Y",1,IF(P649&gt;='Read me'!$B$16,3,IF(AND(R649&gt;='Read me'!$B$14,P649&lt;='Read me'!$B$15),1,2))))</f>
        <v>2</v>
      </c>
    </row>
    <row r="650" customFormat="false" ht="23.85" hidden="false" customHeight="false" outlineLevel="0" collapsed="false">
      <c r="A650" s="11" t="s">
        <v>4290</v>
      </c>
      <c r="B650" s="11" t="s">
        <v>37</v>
      </c>
      <c r="C650" s="11" t="s">
        <v>186</v>
      </c>
      <c r="D650" s="11" t="s">
        <v>187</v>
      </c>
      <c r="E650" s="11" t="s">
        <v>765</v>
      </c>
      <c r="F650" s="11" t="s">
        <v>1046</v>
      </c>
      <c r="G650" s="11" t="s">
        <v>4291</v>
      </c>
      <c r="H650" s="11"/>
      <c r="I650" s="11" t="s">
        <v>512</v>
      </c>
      <c r="J650" s="11" t="s">
        <v>4292</v>
      </c>
      <c r="K650" s="11" t="s">
        <v>1049</v>
      </c>
      <c r="L650" s="11" t="s">
        <v>3724</v>
      </c>
      <c r="M650" s="11"/>
      <c r="N650" s="14" t="n">
        <v>4</v>
      </c>
      <c r="O650" s="14" t="n">
        <v>3</v>
      </c>
      <c r="P650" s="14" t="n">
        <v>1</v>
      </c>
      <c r="Q650" s="14"/>
      <c r="R650" s="12" t="n">
        <f aca="false">IF(OR(N650="",P650=""),"",ROUND(N650*O650/P650,1))</f>
        <v>12</v>
      </c>
      <c r="S650" s="13" t="n">
        <f aca="false">IF(R650="","",IF(Q650="Y",1,IF(P650&gt;='Read me'!$B$16,3,IF(AND(R650&gt;='Read me'!$B$14,P650&lt;='Read me'!$B$15),1,2))))</f>
        <v>1</v>
      </c>
    </row>
    <row r="651" customFormat="false" ht="23.85" hidden="false" customHeight="false" outlineLevel="0" collapsed="false">
      <c r="A651" s="11" t="s">
        <v>4293</v>
      </c>
      <c r="B651" s="11" t="s">
        <v>37</v>
      </c>
      <c r="C651" s="11" t="s">
        <v>186</v>
      </c>
      <c r="D651" s="11" t="s">
        <v>187</v>
      </c>
      <c r="E651" s="11" t="s">
        <v>765</v>
      </c>
      <c r="F651" s="11" t="s">
        <v>4294</v>
      </c>
      <c r="G651" s="11" t="s">
        <v>4295</v>
      </c>
      <c r="H651" s="11"/>
      <c r="I651" s="11" t="s">
        <v>512</v>
      </c>
      <c r="J651" s="11" t="s">
        <v>4296</v>
      </c>
      <c r="K651" s="11" t="s">
        <v>4297</v>
      </c>
      <c r="L651" s="11" t="s">
        <v>4298</v>
      </c>
      <c r="M651" s="11"/>
      <c r="N651" s="14" t="n">
        <v>3</v>
      </c>
      <c r="O651" s="14" t="n">
        <v>3</v>
      </c>
      <c r="P651" s="14" t="n">
        <v>2</v>
      </c>
      <c r="Q651" s="14"/>
      <c r="R651" s="12" t="n">
        <f aca="false">IF(OR(N651="",P651=""),"",ROUND(N651*O651/P651,1))</f>
        <v>4.5</v>
      </c>
      <c r="S651" s="13" t="n">
        <f aca="false">IF(R651="","",IF(Q651="Y",1,IF(P651&gt;='Read me'!$B$16,3,IF(AND(R651&gt;='Read me'!$B$14,P651&lt;='Read me'!$B$15),1,2))))</f>
        <v>2</v>
      </c>
    </row>
    <row r="652" customFormat="false" ht="23.85" hidden="false" customHeight="false" outlineLevel="0" collapsed="false">
      <c r="A652" s="11" t="s">
        <v>4299</v>
      </c>
      <c r="B652" s="11" t="s">
        <v>37</v>
      </c>
      <c r="C652" s="11" t="s">
        <v>186</v>
      </c>
      <c r="D652" s="11" t="s">
        <v>187</v>
      </c>
      <c r="E652" s="11" t="s">
        <v>765</v>
      </c>
      <c r="F652" s="11" t="s">
        <v>976</v>
      </c>
      <c r="G652" s="11" t="s">
        <v>822</v>
      </c>
      <c r="H652" s="11"/>
      <c r="I652" s="11" t="s">
        <v>4300</v>
      </c>
      <c r="J652" s="11" t="s">
        <v>4301</v>
      </c>
      <c r="K652" s="11" t="s">
        <v>2964</v>
      </c>
      <c r="L652" s="11" t="s">
        <v>4302</v>
      </c>
      <c r="M652" s="11"/>
      <c r="N652" s="14" t="n">
        <v>3</v>
      </c>
      <c r="O652" s="14" t="n">
        <v>3</v>
      </c>
      <c r="P652" s="14" t="n">
        <v>1</v>
      </c>
      <c r="Q652" s="14"/>
      <c r="R652" s="12" t="n">
        <f aca="false">IF(OR(N652="",P652=""),"",ROUND(N652*O652/P652,1))</f>
        <v>9</v>
      </c>
      <c r="S652" s="13" t="n">
        <f aca="false">IF(R652="","",IF(Q652="Y",1,IF(P652&gt;='Read me'!$B$16,3,IF(AND(R652&gt;='Read me'!$B$14,P652&lt;='Read me'!$B$15),1,2))))</f>
        <v>1</v>
      </c>
    </row>
    <row r="653" customFormat="false" ht="23.85" hidden="false" customHeight="false" outlineLevel="0" collapsed="false">
      <c r="A653" s="11" t="s">
        <v>4303</v>
      </c>
      <c r="B653" s="11" t="s">
        <v>37</v>
      </c>
      <c r="C653" s="11" t="s">
        <v>186</v>
      </c>
      <c r="D653" s="11" t="s">
        <v>187</v>
      </c>
      <c r="E653" s="11" t="s">
        <v>765</v>
      </c>
      <c r="F653" s="11" t="s">
        <v>4304</v>
      </c>
      <c r="G653" s="11" t="s">
        <v>822</v>
      </c>
      <c r="H653" s="11"/>
      <c r="I653" s="11" t="s">
        <v>4305</v>
      </c>
      <c r="J653" s="11" t="s">
        <v>4306</v>
      </c>
      <c r="K653" s="11" t="s">
        <v>4307</v>
      </c>
      <c r="L653" s="11" t="s">
        <v>4308</v>
      </c>
      <c r="M653" s="11"/>
      <c r="N653" s="14" t="n">
        <v>3</v>
      </c>
      <c r="O653" s="14" t="n">
        <v>3</v>
      </c>
      <c r="P653" s="14" t="n">
        <v>1</v>
      </c>
      <c r="Q653" s="14"/>
      <c r="R653" s="12" t="n">
        <f aca="false">IF(OR(N653="",P653=""),"",ROUND(N653*O653/P653,1))</f>
        <v>9</v>
      </c>
      <c r="S653" s="13" t="n">
        <f aca="false">IF(R653="","",IF(Q653="Y",1,IF(P653&gt;='Read me'!$B$16,3,IF(AND(R653&gt;='Read me'!$B$14,P653&lt;='Read me'!$B$15),1,2))))</f>
        <v>1</v>
      </c>
    </row>
    <row r="654" customFormat="false" ht="23.85" hidden="false" customHeight="false" outlineLevel="0" collapsed="false">
      <c r="A654" s="11" t="s">
        <v>4309</v>
      </c>
      <c r="B654" s="11" t="s">
        <v>37</v>
      </c>
      <c r="C654" s="11" t="s">
        <v>186</v>
      </c>
      <c r="D654" s="11" t="s">
        <v>187</v>
      </c>
      <c r="E654" s="11" t="s">
        <v>765</v>
      </c>
      <c r="F654" s="11" t="s">
        <v>4310</v>
      </c>
      <c r="G654" s="11" t="s">
        <v>822</v>
      </c>
      <c r="H654" s="11"/>
      <c r="I654" s="11" t="s">
        <v>4311</v>
      </c>
      <c r="J654" s="11" t="s">
        <v>4125</v>
      </c>
      <c r="K654" s="11" t="s">
        <v>1993</v>
      </c>
      <c r="L654" s="11" t="s">
        <v>4312</v>
      </c>
      <c r="M654" s="11"/>
      <c r="N654" s="14" t="n">
        <v>3</v>
      </c>
      <c r="O654" s="14" t="n">
        <v>3</v>
      </c>
      <c r="P654" s="14" t="n">
        <v>2</v>
      </c>
      <c r="Q654" s="14"/>
      <c r="R654" s="12" t="n">
        <f aca="false">IF(OR(N654="",P654=""),"",ROUND(N654*O654/P654,1))</f>
        <v>4.5</v>
      </c>
      <c r="S654" s="13" t="n">
        <f aca="false">IF(R654="","",IF(Q654="Y",1,IF(P654&gt;='Read me'!$B$16,3,IF(AND(R654&gt;='Read me'!$B$14,P654&lt;='Read me'!$B$15),1,2))))</f>
        <v>2</v>
      </c>
    </row>
    <row r="655" customFormat="false" ht="15" hidden="false" customHeight="false" outlineLevel="0" collapsed="false">
      <c r="A655" s="11" t="s">
        <v>4313</v>
      </c>
      <c r="B655" s="11" t="s">
        <v>37</v>
      </c>
      <c r="C655" s="11" t="s">
        <v>186</v>
      </c>
      <c r="D655" s="11" t="s">
        <v>187</v>
      </c>
      <c r="E655" s="11" t="s">
        <v>765</v>
      </c>
      <c r="F655" s="11" t="s">
        <v>4314</v>
      </c>
      <c r="G655" s="11" t="s">
        <v>3508</v>
      </c>
      <c r="H655" s="11"/>
      <c r="I655" s="11" t="s">
        <v>4315</v>
      </c>
      <c r="J655" s="11" t="s">
        <v>4316</v>
      </c>
      <c r="K655" s="11" t="s">
        <v>4317</v>
      </c>
      <c r="L655" s="11" t="s">
        <v>1044</v>
      </c>
      <c r="M655" s="11"/>
      <c r="N655" s="14" t="n">
        <v>3</v>
      </c>
      <c r="O655" s="14" t="n">
        <v>2</v>
      </c>
      <c r="P655" s="14" t="n">
        <v>1</v>
      </c>
      <c r="Q655" s="14"/>
      <c r="R655" s="12" t="n">
        <f aca="false">IF(OR(N655="",P655=""),"",ROUND(N655*O655/P655,1))</f>
        <v>6</v>
      </c>
      <c r="S655" s="13" t="n">
        <f aca="false">IF(R655="","",IF(Q655="Y",1,IF(P655&gt;='Read me'!$B$16,3,IF(AND(R655&gt;='Read me'!$B$14,P655&lt;='Read me'!$B$15),1,2))))</f>
        <v>1</v>
      </c>
    </row>
    <row r="656" customFormat="false" ht="23.85" hidden="false" customHeight="false" outlineLevel="0" collapsed="false">
      <c r="A656" s="11" t="s">
        <v>4318</v>
      </c>
      <c r="B656" s="11" t="s">
        <v>37</v>
      </c>
      <c r="C656" s="11" t="s">
        <v>186</v>
      </c>
      <c r="D656" s="11" t="s">
        <v>187</v>
      </c>
      <c r="E656" s="11" t="s">
        <v>1081</v>
      </c>
      <c r="F656" s="11" t="s">
        <v>2372</v>
      </c>
      <c r="G656" s="11" t="s">
        <v>3735</v>
      </c>
      <c r="H656" s="11"/>
      <c r="I656" s="11" t="s">
        <v>4319</v>
      </c>
      <c r="J656" s="11" t="s">
        <v>4320</v>
      </c>
      <c r="K656" s="11" t="s">
        <v>3738</v>
      </c>
      <c r="L656" s="11" t="s">
        <v>4321</v>
      </c>
      <c r="M656" s="11"/>
      <c r="N656" s="14" t="n">
        <v>3</v>
      </c>
      <c r="O656" s="14" t="n">
        <v>3</v>
      </c>
      <c r="P656" s="14" t="n">
        <v>2</v>
      </c>
      <c r="Q656" s="14"/>
      <c r="R656" s="12" t="n">
        <f aca="false">IF(OR(N656="",P656=""),"",ROUND(N656*O656/P656,1))</f>
        <v>4.5</v>
      </c>
      <c r="S656" s="13" t="n">
        <f aca="false">IF(R656="","",IF(Q656="Y",1,IF(P656&gt;='Read me'!$B$16,3,IF(AND(R656&gt;='Read me'!$B$14,P656&lt;='Read me'!$B$15),1,2))))</f>
        <v>2</v>
      </c>
    </row>
    <row r="657" customFormat="false" ht="23.85" hidden="false" customHeight="false" outlineLevel="0" collapsed="false">
      <c r="A657" s="11" t="s">
        <v>4322</v>
      </c>
      <c r="B657" s="11" t="s">
        <v>37</v>
      </c>
      <c r="C657" s="11" t="s">
        <v>186</v>
      </c>
      <c r="D657" s="11" t="s">
        <v>187</v>
      </c>
      <c r="E657" s="11" t="s">
        <v>1081</v>
      </c>
      <c r="F657" s="11" t="s">
        <v>2012</v>
      </c>
      <c r="G657" s="11" t="s">
        <v>2456</v>
      </c>
      <c r="H657" s="11" t="s">
        <v>4323</v>
      </c>
      <c r="I657" s="11" t="s">
        <v>4324</v>
      </c>
      <c r="J657" s="11" t="s">
        <v>4325</v>
      </c>
      <c r="K657" s="11" t="s">
        <v>4326</v>
      </c>
      <c r="L657" s="11" t="s">
        <v>4327</v>
      </c>
      <c r="M657" s="11"/>
      <c r="N657" s="14" t="n">
        <v>1</v>
      </c>
      <c r="O657" s="14" t="n">
        <v>4</v>
      </c>
      <c r="P657" s="14" t="n">
        <v>3</v>
      </c>
      <c r="Q657" s="14"/>
      <c r="R657" s="12" t="n">
        <f aca="false">IF(OR(N657="",P657=""),"",ROUND(N657*O657/P657,1))</f>
        <v>1.3</v>
      </c>
      <c r="S657" s="13" t="n">
        <f aca="false">IF(R657="","",IF(Q657="Y",1,IF(P657&gt;='Read me'!$B$16,3,IF(AND(R657&gt;='Read me'!$B$14,P657&lt;='Read me'!$B$15),1,2))))</f>
        <v>2</v>
      </c>
    </row>
    <row r="658" customFormat="false" ht="15" hidden="false" customHeight="false" outlineLevel="0" collapsed="false">
      <c r="A658" s="11" t="s">
        <v>4328</v>
      </c>
      <c r="B658" s="11" t="s">
        <v>37</v>
      </c>
      <c r="C658" s="11" t="s">
        <v>186</v>
      </c>
      <c r="D658" s="11" t="s">
        <v>187</v>
      </c>
      <c r="E658" s="11" t="s">
        <v>1081</v>
      </c>
      <c r="F658" s="11" t="s">
        <v>4329</v>
      </c>
      <c r="G658" s="11" t="s">
        <v>4330</v>
      </c>
      <c r="H658" s="11"/>
      <c r="I658" s="11" t="s">
        <v>4331</v>
      </c>
      <c r="J658" s="11" t="s">
        <v>4332</v>
      </c>
      <c r="K658" s="11" t="s">
        <v>4333</v>
      </c>
      <c r="L658" s="11"/>
      <c r="M658" s="11"/>
      <c r="N658" s="14" t="n">
        <v>3</v>
      </c>
      <c r="O658" s="14" t="n">
        <v>2</v>
      </c>
      <c r="P658" s="14" t="n">
        <v>1</v>
      </c>
      <c r="Q658" s="14"/>
      <c r="R658" s="12" t="n">
        <f aca="false">IF(OR(N658="",P658=""),"",ROUND(N658*O658/P658,1))</f>
        <v>6</v>
      </c>
      <c r="S658" s="13" t="n">
        <f aca="false">IF(R658="","",IF(Q658="Y",1,IF(P658&gt;='Read me'!$B$16,3,IF(AND(R658&gt;='Read me'!$B$14,P658&lt;='Read me'!$B$15),1,2))))</f>
        <v>1</v>
      </c>
    </row>
    <row r="659" customFormat="false" ht="23.85" hidden="false" customHeight="false" outlineLevel="0" collapsed="false">
      <c r="A659" s="11" t="s">
        <v>4334</v>
      </c>
      <c r="B659" s="11" t="s">
        <v>37</v>
      </c>
      <c r="C659" s="11" t="s">
        <v>186</v>
      </c>
      <c r="D659" s="11" t="s">
        <v>187</v>
      </c>
      <c r="E659" s="11" t="s">
        <v>1187</v>
      </c>
      <c r="F659" s="11" t="s">
        <v>4335</v>
      </c>
      <c r="G659" s="11" t="s">
        <v>4336</v>
      </c>
      <c r="H659" s="11" t="s">
        <v>1700</v>
      </c>
      <c r="I659" s="11" t="s">
        <v>512</v>
      </c>
      <c r="J659" s="11" t="s">
        <v>4337</v>
      </c>
      <c r="K659" s="11" t="s">
        <v>4338</v>
      </c>
      <c r="L659" s="11" t="s">
        <v>4339</v>
      </c>
      <c r="M659" s="11"/>
      <c r="N659" s="14" t="n">
        <v>1</v>
      </c>
      <c r="O659" s="14" t="n">
        <v>4</v>
      </c>
      <c r="P659" s="14" t="n">
        <v>3</v>
      </c>
      <c r="Q659" s="14"/>
      <c r="R659" s="12" t="n">
        <f aca="false">IF(OR(N659="",P659=""),"",ROUND(N659*O659/P659,1))</f>
        <v>1.3</v>
      </c>
      <c r="S659" s="13" t="n">
        <f aca="false">IF(R659="","",IF(Q659="Y",1,IF(P659&gt;='Read me'!$B$16,3,IF(AND(R659&gt;='Read me'!$B$14,P659&lt;='Read me'!$B$15),1,2))))</f>
        <v>2</v>
      </c>
    </row>
    <row r="660" customFormat="false" ht="35.05" hidden="false" customHeight="false" outlineLevel="0" collapsed="false">
      <c r="A660" s="11" t="s">
        <v>4340</v>
      </c>
      <c r="B660" s="11" t="s">
        <v>37</v>
      </c>
      <c r="C660" s="11" t="s">
        <v>186</v>
      </c>
      <c r="D660" s="11" t="s">
        <v>187</v>
      </c>
      <c r="E660" s="11" t="s">
        <v>1187</v>
      </c>
      <c r="F660" s="11" t="s">
        <v>4341</v>
      </c>
      <c r="G660" s="11" t="s">
        <v>4138</v>
      </c>
      <c r="H660" s="11" t="s">
        <v>4139</v>
      </c>
      <c r="I660" s="11" t="s">
        <v>4342</v>
      </c>
      <c r="J660" s="11" t="s">
        <v>4343</v>
      </c>
      <c r="K660" s="11" t="s">
        <v>4344</v>
      </c>
      <c r="L660" s="11" t="s">
        <v>4345</v>
      </c>
      <c r="M660" s="11" t="s">
        <v>3601</v>
      </c>
      <c r="N660" s="14" t="n">
        <v>1</v>
      </c>
      <c r="O660" s="14" t="n">
        <v>3</v>
      </c>
      <c r="P660" s="14" t="n">
        <v>4</v>
      </c>
      <c r="Q660" s="14"/>
      <c r="R660" s="12" t="n">
        <f aca="false">IF(OR(N660="",P660=""),"",ROUND(N660*O660/P660,1))</f>
        <v>0.8</v>
      </c>
      <c r="S660" s="13" t="n">
        <f aca="false">IF(R660="","",IF(Q660="Y",1,IF(P660&gt;='Read me'!$B$16,3,IF(AND(R660&gt;='Read me'!$B$14,P660&lt;='Read me'!$B$15),1,2))))</f>
        <v>3</v>
      </c>
    </row>
    <row r="661" customFormat="false" ht="23.85" hidden="false" customHeight="false" outlineLevel="0" collapsed="false">
      <c r="A661" s="11" t="s">
        <v>4346</v>
      </c>
      <c r="B661" s="11" t="s">
        <v>37</v>
      </c>
      <c r="C661" s="11" t="s">
        <v>186</v>
      </c>
      <c r="D661" s="11" t="s">
        <v>187</v>
      </c>
      <c r="E661" s="11" t="s">
        <v>1133</v>
      </c>
      <c r="F661" s="11" t="s">
        <v>4347</v>
      </c>
      <c r="G661" s="11" t="s">
        <v>4348</v>
      </c>
      <c r="H661" s="11"/>
      <c r="I661" s="11" t="s">
        <v>4349</v>
      </c>
      <c r="J661" s="11" t="s">
        <v>4350</v>
      </c>
      <c r="K661" s="11" t="s">
        <v>2571</v>
      </c>
      <c r="L661" s="11" t="s">
        <v>4351</v>
      </c>
      <c r="M661" s="11" t="s">
        <v>4352</v>
      </c>
      <c r="N661" s="14" t="n">
        <v>2</v>
      </c>
      <c r="O661" s="14" t="n">
        <v>3</v>
      </c>
      <c r="P661" s="14" t="n">
        <v>3</v>
      </c>
      <c r="Q661" s="14"/>
      <c r="R661" s="12" t="n">
        <f aca="false">IF(OR(N661="",P661=""),"",ROUND(N661*O661/P661,1))</f>
        <v>2</v>
      </c>
      <c r="S661" s="13" t="n">
        <f aca="false">IF(R661="","",IF(Q661="Y",1,IF(P661&gt;='Read me'!$B$16,3,IF(AND(R661&gt;='Read me'!$B$14,P661&lt;='Read me'!$B$15),1,2))))</f>
        <v>2</v>
      </c>
    </row>
    <row r="662" customFormat="false" ht="15" hidden="false" customHeight="false" outlineLevel="0" collapsed="false">
      <c r="A662" s="11" t="s">
        <v>4353</v>
      </c>
      <c r="B662" s="11" t="s">
        <v>37</v>
      </c>
      <c r="C662" s="11" t="s">
        <v>186</v>
      </c>
      <c r="D662" s="11" t="s">
        <v>187</v>
      </c>
      <c r="E662" s="11" t="s">
        <v>1133</v>
      </c>
      <c r="F662" s="11" t="s">
        <v>4354</v>
      </c>
      <c r="G662" s="11" t="s">
        <v>1135</v>
      </c>
      <c r="H662" s="11"/>
      <c r="I662" s="11" t="s">
        <v>1136</v>
      </c>
      <c r="J662" s="11" t="s">
        <v>3889</v>
      </c>
      <c r="K662" s="11" t="s">
        <v>1138</v>
      </c>
      <c r="L662" s="11" t="s">
        <v>3775</v>
      </c>
      <c r="M662" s="11"/>
      <c r="N662" s="14" t="n">
        <v>3</v>
      </c>
      <c r="O662" s="14" t="n">
        <v>2</v>
      </c>
      <c r="P662" s="14" t="n">
        <v>1</v>
      </c>
      <c r="Q662" s="14"/>
      <c r="R662" s="12" t="n">
        <f aca="false">IF(OR(N662="",P662=""),"",ROUND(N662*O662/P662,1))</f>
        <v>6</v>
      </c>
      <c r="S662" s="13" t="n">
        <f aca="false">IF(R662="","",IF(Q662="Y",1,IF(P662&gt;='Read me'!$B$16,3,IF(AND(R662&gt;='Read me'!$B$14,P662&lt;='Read me'!$B$15),1,2))))</f>
        <v>1</v>
      </c>
    </row>
    <row r="663" customFormat="false" ht="15" hidden="false" customHeight="false" outlineLevel="0" collapsed="false">
      <c r="A663" s="11" t="s">
        <v>4355</v>
      </c>
      <c r="B663" s="11" t="s">
        <v>37</v>
      </c>
      <c r="C663" s="11" t="s">
        <v>186</v>
      </c>
      <c r="D663" s="11" t="s">
        <v>187</v>
      </c>
      <c r="E663" s="11" t="s">
        <v>1133</v>
      </c>
      <c r="F663" s="11" t="s">
        <v>4356</v>
      </c>
      <c r="G663" s="11" t="s">
        <v>1142</v>
      </c>
      <c r="H663" s="11"/>
      <c r="I663" s="11" t="s">
        <v>4357</v>
      </c>
      <c r="J663" s="11" t="s">
        <v>4358</v>
      </c>
      <c r="K663" s="11" t="s">
        <v>2964</v>
      </c>
      <c r="L663" s="11"/>
      <c r="M663" s="11"/>
      <c r="N663" s="14" t="n">
        <v>2</v>
      </c>
      <c r="O663" s="14" t="n">
        <v>3</v>
      </c>
      <c r="P663" s="14" t="n">
        <v>1</v>
      </c>
      <c r="Q663" s="14"/>
      <c r="R663" s="12" t="n">
        <f aca="false">IF(OR(N663="",P663=""),"",ROUND(N663*O663/P663,1))</f>
        <v>6</v>
      </c>
      <c r="S663" s="13" t="n">
        <f aca="false">IF(R663="","",IF(Q663="Y",1,IF(P663&gt;='Read me'!$B$16,3,IF(AND(R663&gt;='Read me'!$B$14,P663&lt;='Read me'!$B$15),1,2))))</f>
        <v>1</v>
      </c>
    </row>
    <row r="664" customFormat="false" ht="23.85" hidden="false" customHeight="false" outlineLevel="0" collapsed="false">
      <c r="A664" s="11" t="s">
        <v>4359</v>
      </c>
      <c r="B664" s="11" t="s">
        <v>37</v>
      </c>
      <c r="C664" s="11" t="s">
        <v>186</v>
      </c>
      <c r="D664" s="11" t="s">
        <v>187</v>
      </c>
      <c r="E664" s="11" t="s">
        <v>1133</v>
      </c>
      <c r="F664" s="11" t="s">
        <v>1147</v>
      </c>
      <c r="G664" s="11" t="s">
        <v>1148</v>
      </c>
      <c r="H664" s="11"/>
      <c r="I664" s="11" t="s">
        <v>4360</v>
      </c>
      <c r="J664" s="11" t="s">
        <v>4361</v>
      </c>
      <c r="K664" s="11" t="s">
        <v>4362</v>
      </c>
      <c r="L664" s="11" t="s">
        <v>4363</v>
      </c>
      <c r="M664" s="11" t="s">
        <v>3592</v>
      </c>
      <c r="N664" s="14" t="n">
        <v>1</v>
      </c>
      <c r="O664" s="14" t="n">
        <v>3</v>
      </c>
      <c r="P664" s="14" t="n">
        <v>3</v>
      </c>
      <c r="Q664" s="14"/>
      <c r="R664" s="12" t="n">
        <f aca="false">IF(OR(N664="",P664=""),"",ROUND(N664*O664/P664,1))</f>
        <v>1</v>
      </c>
      <c r="S664" s="13" t="n">
        <f aca="false">IF(R664="","",IF(Q664="Y",1,IF(P664&gt;='Read me'!$B$16,3,IF(AND(R664&gt;='Read me'!$B$14,P664&lt;='Read me'!$B$15),1,2))))</f>
        <v>2</v>
      </c>
    </row>
    <row r="665" customFormat="false" ht="35.05" hidden="false" customHeight="false" outlineLevel="0" collapsed="false">
      <c r="A665" s="11" t="s">
        <v>4364</v>
      </c>
      <c r="B665" s="11" t="s">
        <v>37</v>
      </c>
      <c r="C665" s="11" t="s">
        <v>186</v>
      </c>
      <c r="D665" s="11" t="s">
        <v>187</v>
      </c>
      <c r="E665" s="11" t="s">
        <v>1372</v>
      </c>
      <c r="F665" s="11" t="s">
        <v>4365</v>
      </c>
      <c r="G665" s="11" t="s">
        <v>4366</v>
      </c>
      <c r="H665" s="11"/>
      <c r="I665" s="11" t="s">
        <v>4367</v>
      </c>
      <c r="J665" s="11" t="s">
        <v>4368</v>
      </c>
      <c r="K665" s="11" t="s">
        <v>4369</v>
      </c>
      <c r="L665" s="11" t="s">
        <v>4370</v>
      </c>
      <c r="M665" s="11" t="s">
        <v>3399</v>
      </c>
      <c r="N665" s="14" t="n">
        <v>2</v>
      </c>
      <c r="O665" s="14" t="n">
        <v>3</v>
      </c>
      <c r="P665" s="14" t="n">
        <v>2</v>
      </c>
      <c r="Q665" s="14"/>
      <c r="R665" s="12" t="n">
        <f aca="false">IF(OR(N665="",P665=""),"",ROUND(N665*O665/P665,1))</f>
        <v>3</v>
      </c>
      <c r="S665" s="13" t="n">
        <f aca="false">IF(R665="","",IF(Q665="Y",1,IF(P665&gt;='Read me'!$B$16,3,IF(AND(R665&gt;='Read me'!$B$14,P665&lt;='Read me'!$B$15),1,2))))</f>
        <v>2</v>
      </c>
    </row>
    <row r="666" customFormat="false" ht="15" hidden="false" customHeight="false" outlineLevel="0" collapsed="false">
      <c r="A666" s="11" t="s">
        <v>4371</v>
      </c>
      <c r="B666" s="11" t="s">
        <v>37</v>
      </c>
      <c r="C666" s="11" t="s">
        <v>186</v>
      </c>
      <c r="D666" s="11" t="s">
        <v>187</v>
      </c>
      <c r="E666" s="11" t="s">
        <v>1372</v>
      </c>
      <c r="F666" s="11" t="s">
        <v>4372</v>
      </c>
      <c r="G666" s="11" t="s">
        <v>4373</v>
      </c>
      <c r="H666" s="11"/>
      <c r="I666" s="11" t="s">
        <v>4374</v>
      </c>
      <c r="J666" s="11" t="s">
        <v>4375</v>
      </c>
      <c r="K666" s="11" t="s">
        <v>4376</v>
      </c>
      <c r="L666" s="11"/>
      <c r="M666" s="11"/>
      <c r="N666" s="14" t="n">
        <v>2</v>
      </c>
      <c r="O666" s="14" t="n">
        <v>2</v>
      </c>
      <c r="P666" s="14" t="n">
        <v>1</v>
      </c>
      <c r="Q666" s="14"/>
      <c r="R666" s="12" t="n">
        <f aca="false">IF(OR(N666="",P666=""),"",ROUND(N666*O666/P666,1))</f>
        <v>4</v>
      </c>
      <c r="S666" s="13" t="n">
        <f aca="false">IF(R666="","",IF(Q666="Y",1,IF(P666&gt;='Read me'!$B$16,3,IF(AND(R666&gt;='Read me'!$B$14,P666&lt;='Read me'!$B$15),1,2))))</f>
        <v>2</v>
      </c>
    </row>
    <row r="667" customFormat="false" ht="23.85" hidden="false" customHeight="false" outlineLevel="0" collapsed="false">
      <c r="A667" s="11" t="s">
        <v>4377</v>
      </c>
      <c r="B667" s="11" t="s">
        <v>37</v>
      </c>
      <c r="C667" s="11" t="s">
        <v>190</v>
      </c>
      <c r="D667" s="11" t="s">
        <v>191</v>
      </c>
      <c r="E667" s="11" t="s">
        <v>476</v>
      </c>
      <c r="F667" s="11" t="s">
        <v>4378</v>
      </c>
      <c r="G667" s="11" t="s">
        <v>3783</v>
      </c>
      <c r="H667" s="11"/>
      <c r="I667" s="11" t="s">
        <v>4379</v>
      </c>
      <c r="J667" s="11" t="s">
        <v>4380</v>
      </c>
      <c r="K667" s="11" t="s">
        <v>4381</v>
      </c>
      <c r="L667" s="11" t="s">
        <v>4382</v>
      </c>
      <c r="M667" s="11"/>
      <c r="N667" s="14" t="n">
        <v>3</v>
      </c>
      <c r="O667" s="14" t="n">
        <v>5</v>
      </c>
      <c r="P667" s="14" t="n">
        <v>1</v>
      </c>
      <c r="Q667" s="14"/>
      <c r="R667" s="12" t="n">
        <f aca="false">IF(OR(N667="",P667=""),"",ROUND(N667*O667/P667,1))</f>
        <v>15</v>
      </c>
      <c r="S667" s="13" t="n">
        <f aca="false">IF(R667="","",IF(Q667="Y",1,IF(P667&gt;='Read me'!$B$16,3,IF(AND(R667&gt;='Read me'!$B$14,P667&lt;='Read me'!$B$15),1,2))))</f>
        <v>1</v>
      </c>
    </row>
    <row r="668" customFormat="false" ht="23.85" hidden="false" customHeight="false" outlineLevel="0" collapsed="false">
      <c r="A668" s="11" t="s">
        <v>4383</v>
      </c>
      <c r="B668" s="11" t="s">
        <v>37</v>
      </c>
      <c r="C668" s="11" t="s">
        <v>190</v>
      </c>
      <c r="D668" s="11" t="s">
        <v>191</v>
      </c>
      <c r="E668" s="11" t="s">
        <v>476</v>
      </c>
      <c r="F668" s="11" t="s">
        <v>4384</v>
      </c>
      <c r="G668" s="11" t="s">
        <v>1479</v>
      </c>
      <c r="H668" s="11"/>
      <c r="I668" s="11" t="s">
        <v>4385</v>
      </c>
      <c r="J668" s="11" t="s">
        <v>4386</v>
      </c>
      <c r="K668" s="11" t="s">
        <v>4387</v>
      </c>
      <c r="L668" s="11" t="s">
        <v>4388</v>
      </c>
      <c r="M668" s="11"/>
      <c r="N668" s="14" t="n">
        <v>2</v>
      </c>
      <c r="O668" s="14" t="n">
        <v>5</v>
      </c>
      <c r="P668" s="14" t="n">
        <v>1</v>
      </c>
      <c r="Q668" s="14"/>
      <c r="R668" s="12" t="n">
        <f aca="false">IF(OR(N668="",P668=""),"",ROUND(N668*O668/P668,1))</f>
        <v>10</v>
      </c>
      <c r="S668" s="13" t="n">
        <f aca="false">IF(R668="","",IF(Q668="Y",1,IF(P668&gt;='Read me'!$B$16,3,IF(AND(R668&gt;='Read me'!$B$14,P668&lt;='Read me'!$B$15),1,2))))</f>
        <v>1</v>
      </c>
    </row>
    <row r="669" customFormat="false" ht="35.05" hidden="false" customHeight="false" outlineLevel="0" collapsed="false">
      <c r="A669" s="11" t="s">
        <v>4389</v>
      </c>
      <c r="B669" s="11" t="s">
        <v>37</v>
      </c>
      <c r="C669" s="11" t="s">
        <v>190</v>
      </c>
      <c r="D669" s="11" t="s">
        <v>191</v>
      </c>
      <c r="E669" s="11" t="s">
        <v>476</v>
      </c>
      <c r="F669" s="11" t="s">
        <v>4390</v>
      </c>
      <c r="G669" s="11" t="s">
        <v>4391</v>
      </c>
      <c r="H669" s="11"/>
      <c r="I669" s="11" t="s">
        <v>512</v>
      </c>
      <c r="J669" s="11" t="s">
        <v>4392</v>
      </c>
      <c r="K669" s="11" t="s">
        <v>4393</v>
      </c>
      <c r="L669" s="11" t="s">
        <v>4394</v>
      </c>
      <c r="M669" s="11" t="s">
        <v>3376</v>
      </c>
      <c r="N669" s="14" t="n">
        <v>2</v>
      </c>
      <c r="O669" s="14" t="n">
        <v>4</v>
      </c>
      <c r="P669" s="14" t="n">
        <v>2</v>
      </c>
      <c r="Q669" s="14"/>
      <c r="R669" s="12" t="n">
        <f aca="false">IF(OR(N669="",P669=""),"",ROUND(N669*O669/P669,1))</f>
        <v>4</v>
      </c>
      <c r="S669" s="13" t="n">
        <f aca="false">IF(R669="","",IF(Q669="Y",1,IF(P669&gt;='Read me'!$B$16,3,IF(AND(R669&gt;='Read me'!$B$14,P669&lt;='Read me'!$B$15),1,2))))</f>
        <v>2</v>
      </c>
    </row>
    <row r="670" customFormat="false" ht="23.85" hidden="false" customHeight="false" outlineLevel="0" collapsed="false">
      <c r="A670" s="11" t="s">
        <v>4395</v>
      </c>
      <c r="B670" s="11" t="s">
        <v>37</v>
      </c>
      <c r="C670" s="11" t="s">
        <v>190</v>
      </c>
      <c r="D670" s="11" t="s">
        <v>191</v>
      </c>
      <c r="E670" s="11" t="s">
        <v>532</v>
      </c>
      <c r="F670" s="11" t="s">
        <v>4396</v>
      </c>
      <c r="G670" s="11" t="s">
        <v>3402</v>
      </c>
      <c r="H670" s="11"/>
      <c r="I670" s="11" t="s">
        <v>4397</v>
      </c>
      <c r="J670" s="11" t="s">
        <v>4398</v>
      </c>
      <c r="K670" s="11" t="s">
        <v>4399</v>
      </c>
      <c r="L670" s="11" t="s">
        <v>4400</v>
      </c>
      <c r="M670" s="11" t="s">
        <v>4401</v>
      </c>
      <c r="N670" s="14" t="n">
        <v>3</v>
      </c>
      <c r="O670" s="14" t="n">
        <v>5</v>
      </c>
      <c r="P670" s="14" t="n">
        <v>2</v>
      </c>
      <c r="Q670" s="14"/>
      <c r="R670" s="12" t="n">
        <f aca="false">IF(OR(N670="",P670=""),"",ROUND(N670*O670/P670,1))</f>
        <v>7.5</v>
      </c>
      <c r="S670" s="13" t="n">
        <f aca="false">IF(R670="","",IF(Q670="Y",1,IF(P670&gt;='Read me'!$B$16,3,IF(AND(R670&gt;='Read me'!$B$14,P670&lt;='Read me'!$B$15),1,2))))</f>
        <v>1</v>
      </c>
    </row>
    <row r="671" customFormat="false" ht="46.25" hidden="false" customHeight="false" outlineLevel="0" collapsed="false">
      <c r="A671" s="11" t="s">
        <v>4402</v>
      </c>
      <c r="B671" s="11" t="s">
        <v>37</v>
      </c>
      <c r="C671" s="11" t="s">
        <v>190</v>
      </c>
      <c r="D671" s="11" t="s">
        <v>191</v>
      </c>
      <c r="E671" s="11" t="s">
        <v>532</v>
      </c>
      <c r="F671" s="11" t="s">
        <v>4403</v>
      </c>
      <c r="G671" s="11" t="s">
        <v>4404</v>
      </c>
      <c r="H671" s="11"/>
      <c r="I671" s="11" t="s">
        <v>4405</v>
      </c>
      <c r="J671" s="11" t="s">
        <v>4406</v>
      </c>
      <c r="K671" s="11" t="s">
        <v>3713</v>
      </c>
      <c r="L671" s="11" t="s">
        <v>4407</v>
      </c>
      <c r="M671" s="11" t="s">
        <v>3942</v>
      </c>
      <c r="N671" s="14" t="n">
        <v>2</v>
      </c>
      <c r="O671" s="14" t="n">
        <v>4</v>
      </c>
      <c r="P671" s="14" t="n">
        <v>3</v>
      </c>
      <c r="Q671" s="14"/>
      <c r="R671" s="12" t="n">
        <f aca="false">IF(OR(N671="",P671=""),"",ROUND(N671*O671/P671,1))</f>
        <v>2.7</v>
      </c>
      <c r="S671" s="13" t="n">
        <f aca="false">IF(R671="","",IF(Q671="Y",1,IF(P671&gt;='Read me'!$B$16,3,IF(AND(R671&gt;='Read me'!$B$14,P671&lt;='Read me'!$B$15),1,2))))</f>
        <v>2</v>
      </c>
    </row>
    <row r="672" customFormat="false" ht="23.85" hidden="false" customHeight="false" outlineLevel="0" collapsed="false">
      <c r="A672" s="11" t="s">
        <v>4408</v>
      </c>
      <c r="B672" s="11" t="s">
        <v>37</v>
      </c>
      <c r="C672" s="11" t="s">
        <v>190</v>
      </c>
      <c r="D672" s="11" t="s">
        <v>191</v>
      </c>
      <c r="E672" s="11" t="s">
        <v>532</v>
      </c>
      <c r="F672" s="11" t="s">
        <v>4396</v>
      </c>
      <c r="G672" s="11" t="s">
        <v>867</v>
      </c>
      <c r="H672" s="11"/>
      <c r="I672" s="11" t="s">
        <v>4409</v>
      </c>
      <c r="J672" s="11" t="s">
        <v>4410</v>
      </c>
      <c r="K672" s="11" t="s">
        <v>675</v>
      </c>
      <c r="L672" s="11" t="s">
        <v>4411</v>
      </c>
      <c r="M672" s="11" t="s">
        <v>3620</v>
      </c>
      <c r="N672" s="14" t="n">
        <v>2</v>
      </c>
      <c r="O672" s="14" t="n">
        <v>4</v>
      </c>
      <c r="P672" s="14" t="n">
        <v>3</v>
      </c>
      <c r="Q672" s="14"/>
      <c r="R672" s="12" t="n">
        <f aca="false">IF(OR(N672="",P672=""),"",ROUND(N672*O672/P672,1))</f>
        <v>2.7</v>
      </c>
      <c r="S672" s="13" t="n">
        <f aca="false">IF(R672="","",IF(Q672="Y",1,IF(P672&gt;='Read me'!$B$16,3,IF(AND(R672&gt;='Read me'!$B$14,P672&lt;='Read me'!$B$15),1,2))))</f>
        <v>2</v>
      </c>
    </row>
    <row r="673" customFormat="false" ht="23.85" hidden="false" customHeight="false" outlineLevel="0" collapsed="false">
      <c r="A673" s="11" t="s">
        <v>4412</v>
      </c>
      <c r="B673" s="11" t="s">
        <v>37</v>
      </c>
      <c r="C673" s="11" t="s">
        <v>190</v>
      </c>
      <c r="D673" s="11" t="s">
        <v>191</v>
      </c>
      <c r="E673" s="11" t="s">
        <v>532</v>
      </c>
      <c r="F673" s="11" t="s">
        <v>4413</v>
      </c>
      <c r="G673" s="11" t="s">
        <v>1634</v>
      </c>
      <c r="H673" s="11"/>
      <c r="I673" s="11" t="s">
        <v>4414</v>
      </c>
      <c r="J673" s="11" t="s">
        <v>4415</v>
      </c>
      <c r="K673" s="11" t="s">
        <v>717</v>
      </c>
      <c r="L673" s="11" t="s">
        <v>4416</v>
      </c>
      <c r="M673" s="11"/>
      <c r="N673" s="14" t="n">
        <v>1</v>
      </c>
      <c r="O673" s="14" t="n">
        <v>5</v>
      </c>
      <c r="P673" s="14" t="n">
        <v>3</v>
      </c>
      <c r="Q673" s="14"/>
      <c r="R673" s="12" t="n">
        <f aca="false">IF(OR(N673="",P673=""),"",ROUND(N673*O673/P673,1))</f>
        <v>1.7</v>
      </c>
      <c r="S673" s="13" t="n">
        <f aca="false">IF(R673="","",IF(Q673="Y",1,IF(P673&gt;='Read me'!$B$16,3,IF(AND(R673&gt;='Read me'!$B$14,P673&lt;='Read me'!$B$15),1,2))))</f>
        <v>2</v>
      </c>
    </row>
    <row r="674" customFormat="false" ht="23.85" hidden="false" customHeight="false" outlineLevel="0" collapsed="false">
      <c r="A674" s="11" t="s">
        <v>4417</v>
      </c>
      <c r="B674" s="11" t="s">
        <v>37</v>
      </c>
      <c r="C674" s="11" t="s">
        <v>190</v>
      </c>
      <c r="D674" s="11" t="s">
        <v>191</v>
      </c>
      <c r="E674" s="11" t="s">
        <v>532</v>
      </c>
      <c r="F674" s="11" t="s">
        <v>4396</v>
      </c>
      <c r="G674" s="11" t="s">
        <v>3402</v>
      </c>
      <c r="H674" s="11" t="s">
        <v>686</v>
      </c>
      <c r="I674" s="11" t="s">
        <v>4418</v>
      </c>
      <c r="J674" s="11" t="s">
        <v>4419</v>
      </c>
      <c r="K674" s="11" t="s">
        <v>3952</v>
      </c>
      <c r="L674" s="11"/>
      <c r="M674" s="11"/>
      <c r="N674" s="14" t="n">
        <v>2</v>
      </c>
      <c r="O674" s="14" t="n">
        <v>3</v>
      </c>
      <c r="P674" s="14" t="n">
        <v>1</v>
      </c>
      <c r="Q674" s="14"/>
      <c r="R674" s="12" t="n">
        <f aca="false">IF(OR(N674="",P674=""),"",ROUND(N674*O674/P674,1))</f>
        <v>6</v>
      </c>
      <c r="S674" s="13" t="n">
        <f aca="false">IF(R674="","",IF(Q674="Y",1,IF(P674&gt;='Read me'!$B$16,3,IF(AND(R674&gt;='Read me'!$B$14,P674&lt;='Read me'!$B$15),1,2))))</f>
        <v>1</v>
      </c>
    </row>
    <row r="675" customFormat="false" ht="23.85" hidden="false" customHeight="false" outlineLevel="0" collapsed="false">
      <c r="A675" s="11" t="s">
        <v>4420</v>
      </c>
      <c r="B675" s="11" t="s">
        <v>37</v>
      </c>
      <c r="C675" s="11" t="s">
        <v>190</v>
      </c>
      <c r="D675" s="11" t="s">
        <v>191</v>
      </c>
      <c r="E675" s="11" t="s">
        <v>626</v>
      </c>
      <c r="F675" s="11" t="s">
        <v>4421</v>
      </c>
      <c r="G675" s="11" t="s">
        <v>4422</v>
      </c>
      <c r="H675" s="11"/>
      <c r="I675" s="11" t="s">
        <v>4423</v>
      </c>
      <c r="J675" s="11" t="s">
        <v>4424</v>
      </c>
      <c r="K675" s="11" t="s">
        <v>1554</v>
      </c>
      <c r="L675" s="11" t="s">
        <v>4425</v>
      </c>
      <c r="M675" s="11"/>
      <c r="N675" s="14" t="n">
        <v>3</v>
      </c>
      <c r="O675" s="14" t="n">
        <v>3</v>
      </c>
      <c r="P675" s="14" t="n">
        <v>3</v>
      </c>
      <c r="Q675" s="14"/>
      <c r="R675" s="12" t="n">
        <f aca="false">IF(OR(N675="",P675=""),"",ROUND(N675*O675/P675,1))</f>
        <v>3</v>
      </c>
      <c r="S675" s="13" t="n">
        <f aca="false">IF(R675="","",IF(Q675="Y",1,IF(P675&gt;='Read me'!$B$16,3,IF(AND(R675&gt;='Read me'!$B$14,P675&lt;='Read me'!$B$15),1,2))))</f>
        <v>2</v>
      </c>
    </row>
    <row r="676" customFormat="false" ht="23.85" hidden="false" customHeight="false" outlineLevel="0" collapsed="false">
      <c r="A676" s="11" t="s">
        <v>4426</v>
      </c>
      <c r="B676" s="11" t="s">
        <v>37</v>
      </c>
      <c r="C676" s="11" t="s">
        <v>190</v>
      </c>
      <c r="D676" s="11" t="s">
        <v>191</v>
      </c>
      <c r="E676" s="11" t="s">
        <v>751</v>
      </c>
      <c r="F676" s="11" t="s">
        <v>4427</v>
      </c>
      <c r="G676" s="11" t="s">
        <v>1252</v>
      </c>
      <c r="H676" s="11"/>
      <c r="I676" s="11" t="s">
        <v>4428</v>
      </c>
      <c r="J676" s="11" t="s">
        <v>4429</v>
      </c>
      <c r="K676" s="11" t="s">
        <v>1575</v>
      </c>
      <c r="L676" s="11" t="s">
        <v>3967</v>
      </c>
      <c r="M676" s="11" t="s">
        <v>1577</v>
      </c>
      <c r="N676" s="14" t="n">
        <v>3</v>
      </c>
      <c r="O676" s="14" t="n">
        <v>5</v>
      </c>
      <c r="P676" s="14" t="n">
        <v>3</v>
      </c>
      <c r="Q676" s="14"/>
      <c r="R676" s="12" t="n">
        <f aca="false">IF(OR(N676="",P676=""),"",ROUND(N676*O676/P676,1))</f>
        <v>5</v>
      </c>
      <c r="S676" s="13" t="n">
        <f aca="false">IF(R676="","",IF(Q676="Y",1,IF(P676&gt;='Read me'!$B$16,3,IF(AND(R676&gt;='Read me'!$B$14,P676&lt;='Read me'!$B$15),1,2))))</f>
        <v>2</v>
      </c>
    </row>
    <row r="677" customFormat="false" ht="23.85" hidden="false" customHeight="false" outlineLevel="0" collapsed="false">
      <c r="A677" s="11" t="s">
        <v>4430</v>
      </c>
      <c r="B677" s="11" t="s">
        <v>37</v>
      </c>
      <c r="C677" s="11" t="s">
        <v>190</v>
      </c>
      <c r="D677" s="11" t="s">
        <v>191</v>
      </c>
      <c r="E677" s="11" t="s">
        <v>751</v>
      </c>
      <c r="F677" s="11" t="s">
        <v>4431</v>
      </c>
      <c r="G677" s="11" t="s">
        <v>1259</v>
      </c>
      <c r="H677" s="11"/>
      <c r="I677" s="11" t="s">
        <v>4432</v>
      </c>
      <c r="J677" s="11" t="s">
        <v>1579</v>
      </c>
      <c r="K677" s="11" t="s">
        <v>1262</v>
      </c>
      <c r="L677" s="11" t="s">
        <v>1263</v>
      </c>
      <c r="M677" s="11" t="s">
        <v>1577</v>
      </c>
      <c r="N677" s="14" t="n">
        <v>2</v>
      </c>
      <c r="O677" s="14" t="n">
        <v>5</v>
      </c>
      <c r="P677" s="14" t="n">
        <v>3</v>
      </c>
      <c r="Q677" s="14"/>
      <c r="R677" s="12" t="n">
        <f aca="false">IF(OR(N677="",P677=""),"",ROUND(N677*O677/P677,1))</f>
        <v>3.3</v>
      </c>
      <c r="S677" s="13" t="n">
        <f aca="false">IF(R677="","",IF(Q677="Y",1,IF(P677&gt;='Read me'!$B$16,3,IF(AND(R677&gt;='Read me'!$B$14,P677&lt;='Read me'!$B$15),1,2))))</f>
        <v>2</v>
      </c>
    </row>
    <row r="678" customFormat="false" ht="23.85" hidden="false" customHeight="false" outlineLevel="0" collapsed="false">
      <c r="A678" s="11" t="s">
        <v>4433</v>
      </c>
      <c r="B678" s="11" t="s">
        <v>37</v>
      </c>
      <c r="C678" s="11" t="s">
        <v>190</v>
      </c>
      <c r="D678" s="11" t="s">
        <v>191</v>
      </c>
      <c r="E678" s="11" t="s">
        <v>751</v>
      </c>
      <c r="F678" s="11" t="s">
        <v>4105</v>
      </c>
      <c r="G678" s="11" t="s">
        <v>4434</v>
      </c>
      <c r="H678" s="11"/>
      <c r="I678" s="11" t="s">
        <v>4435</v>
      </c>
      <c r="J678" s="11" t="s">
        <v>4436</v>
      </c>
      <c r="K678" s="11" t="s">
        <v>4437</v>
      </c>
      <c r="L678" s="11" t="s">
        <v>4438</v>
      </c>
      <c r="M678" s="11" t="s">
        <v>1577</v>
      </c>
      <c r="N678" s="14" t="n">
        <v>1</v>
      </c>
      <c r="O678" s="14" t="n">
        <v>4</v>
      </c>
      <c r="P678" s="14" t="n">
        <v>3</v>
      </c>
      <c r="Q678" s="14"/>
      <c r="R678" s="12" t="n">
        <f aca="false">IF(OR(N678="",P678=""),"",ROUND(N678*O678/P678,1))</f>
        <v>1.3</v>
      </c>
      <c r="S678" s="13" t="n">
        <f aca="false">IF(R678="","",IF(Q678="Y",1,IF(P678&gt;='Read me'!$B$16,3,IF(AND(R678&gt;='Read me'!$B$14,P678&lt;='Read me'!$B$15),1,2))))</f>
        <v>2</v>
      </c>
    </row>
    <row r="679" customFormat="false" ht="15" hidden="false" customHeight="false" outlineLevel="0" collapsed="false">
      <c r="A679" s="11" t="s">
        <v>4439</v>
      </c>
      <c r="B679" s="11" t="s">
        <v>37</v>
      </c>
      <c r="C679" s="11" t="s">
        <v>190</v>
      </c>
      <c r="D679" s="11" t="s">
        <v>191</v>
      </c>
      <c r="E679" s="11" t="s">
        <v>751</v>
      </c>
      <c r="F679" s="11" t="s">
        <v>4440</v>
      </c>
      <c r="G679" s="11"/>
      <c r="H679" s="11" t="s">
        <v>1564</v>
      </c>
      <c r="I679" s="11" t="s">
        <v>754</v>
      </c>
      <c r="J679" s="11" t="s">
        <v>4441</v>
      </c>
      <c r="K679" s="11" t="s">
        <v>683</v>
      </c>
      <c r="L679" s="11" t="s">
        <v>1301</v>
      </c>
      <c r="M679" s="11"/>
      <c r="N679" s="14" t="n">
        <v>1</v>
      </c>
      <c r="O679" s="14" t="n">
        <v>3</v>
      </c>
      <c r="P679" s="14" t="n">
        <v>3</v>
      </c>
      <c r="Q679" s="14"/>
      <c r="R679" s="12" t="n">
        <f aca="false">IF(OR(N679="",P679=""),"",ROUND(N679*O679/P679,1))</f>
        <v>1</v>
      </c>
      <c r="S679" s="13" t="n">
        <f aca="false">IF(R679="","",IF(Q679="Y",1,IF(P679&gt;='Read me'!$B$16,3,IF(AND(R679&gt;='Read me'!$B$14,P679&lt;='Read me'!$B$15),1,2))))</f>
        <v>2</v>
      </c>
    </row>
    <row r="680" customFormat="false" ht="35.05" hidden="false" customHeight="false" outlineLevel="0" collapsed="false">
      <c r="A680" s="11" t="s">
        <v>4442</v>
      </c>
      <c r="B680" s="11" t="s">
        <v>37</v>
      </c>
      <c r="C680" s="11" t="s">
        <v>190</v>
      </c>
      <c r="D680" s="11" t="s">
        <v>191</v>
      </c>
      <c r="E680" s="11" t="s">
        <v>751</v>
      </c>
      <c r="F680" s="11" t="s">
        <v>1303</v>
      </c>
      <c r="G680" s="11" t="s">
        <v>4443</v>
      </c>
      <c r="H680" s="11"/>
      <c r="I680" s="11" t="s">
        <v>4444</v>
      </c>
      <c r="J680" s="11" t="s">
        <v>4445</v>
      </c>
      <c r="K680" s="11" t="s">
        <v>4446</v>
      </c>
      <c r="L680" s="11" t="s">
        <v>4447</v>
      </c>
      <c r="M680" s="11" t="s">
        <v>3977</v>
      </c>
      <c r="N680" s="14" t="n">
        <v>2</v>
      </c>
      <c r="O680" s="14" t="n">
        <v>3</v>
      </c>
      <c r="P680" s="14" t="n">
        <v>2</v>
      </c>
      <c r="Q680" s="14"/>
      <c r="R680" s="12" t="n">
        <f aca="false">IF(OR(N680="",P680=""),"",ROUND(N680*O680/P680,1))</f>
        <v>3</v>
      </c>
      <c r="S680" s="13" t="n">
        <f aca="false">IF(R680="","",IF(Q680="Y",1,IF(P680&gt;='Read me'!$B$16,3,IF(AND(R680&gt;='Read me'!$B$14,P680&lt;='Read me'!$B$15),1,2))))</f>
        <v>2</v>
      </c>
    </row>
    <row r="681" customFormat="false" ht="23.85" hidden="false" customHeight="false" outlineLevel="0" collapsed="false">
      <c r="A681" s="11" t="s">
        <v>4448</v>
      </c>
      <c r="B681" s="11" t="s">
        <v>37</v>
      </c>
      <c r="C681" s="11" t="s">
        <v>190</v>
      </c>
      <c r="D681" s="11" t="s">
        <v>191</v>
      </c>
      <c r="E681" s="11" t="s">
        <v>765</v>
      </c>
      <c r="F681" s="11" t="s">
        <v>4449</v>
      </c>
      <c r="G681" s="11" t="s">
        <v>4450</v>
      </c>
      <c r="H681" s="11"/>
      <c r="I681" s="11" t="s">
        <v>4451</v>
      </c>
      <c r="J681" s="11" t="s">
        <v>4452</v>
      </c>
      <c r="K681" s="11" t="s">
        <v>3545</v>
      </c>
      <c r="L681" s="11" t="s">
        <v>4453</v>
      </c>
      <c r="M681" s="11"/>
      <c r="N681" s="14" t="n">
        <v>1</v>
      </c>
      <c r="O681" s="14" t="n">
        <v>3</v>
      </c>
      <c r="P681" s="14" t="n">
        <v>2</v>
      </c>
      <c r="Q681" s="14"/>
      <c r="R681" s="12" t="n">
        <f aca="false">IF(OR(N681="",P681=""),"",ROUND(N681*O681/P681,1))</f>
        <v>1.5</v>
      </c>
      <c r="S681" s="13" t="n">
        <f aca="false">IF(R681="","",IF(Q681="Y",1,IF(P681&gt;='Read me'!$B$16,3,IF(AND(R681&gt;='Read me'!$B$14,P681&lt;='Read me'!$B$15),1,2))))</f>
        <v>2</v>
      </c>
    </row>
    <row r="682" customFormat="false" ht="23.85" hidden="false" customHeight="false" outlineLevel="0" collapsed="false">
      <c r="A682" s="11" t="s">
        <v>4454</v>
      </c>
      <c r="B682" s="11" t="s">
        <v>37</v>
      </c>
      <c r="C682" s="11" t="s">
        <v>190</v>
      </c>
      <c r="D682" s="11" t="s">
        <v>191</v>
      </c>
      <c r="E682" s="11" t="s">
        <v>765</v>
      </c>
      <c r="F682" s="11" t="s">
        <v>945</v>
      </c>
      <c r="G682" s="11" t="s">
        <v>822</v>
      </c>
      <c r="H682" s="11"/>
      <c r="I682" s="11" t="s">
        <v>4455</v>
      </c>
      <c r="J682" s="11" t="s">
        <v>4456</v>
      </c>
      <c r="K682" s="11" t="s">
        <v>3345</v>
      </c>
      <c r="L682" s="11" t="s">
        <v>3987</v>
      </c>
      <c r="M682" s="11"/>
      <c r="N682" s="14" t="n">
        <v>2</v>
      </c>
      <c r="O682" s="14" t="n">
        <v>3</v>
      </c>
      <c r="P682" s="14" t="n">
        <v>3</v>
      </c>
      <c r="Q682" s="14"/>
      <c r="R682" s="12" t="n">
        <f aca="false">IF(OR(N682="",P682=""),"",ROUND(N682*O682/P682,1))</f>
        <v>2</v>
      </c>
      <c r="S682" s="13" t="n">
        <f aca="false">IF(R682="","",IF(Q682="Y",1,IF(P682&gt;='Read me'!$B$16,3,IF(AND(R682&gt;='Read me'!$B$14,P682&lt;='Read me'!$B$15),1,2))))</f>
        <v>2</v>
      </c>
    </row>
    <row r="683" customFormat="false" ht="23.85" hidden="false" customHeight="false" outlineLevel="0" collapsed="false">
      <c r="A683" s="11" t="s">
        <v>4457</v>
      </c>
      <c r="B683" s="11" t="s">
        <v>37</v>
      </c>
      <c r="C683" s="11" t="s">
        <v>190</v>
      </c>
      <c r="D683" s="11" t="s">
        <v>191</v>
      </c>
      <c r="E683" s="11" t="s">
        <v>765</v>
      </c>
      <c r="F683" s="11" t="s">
        <v>4458</v>
      </c>
      <c r="G683" s="11" t="s">
        <v>822</v>
      </c>
      <c r="H683" s="11"/>
      <c r="I683" s="11" t="s">
        <v>4459</v>
      </c>
      <c r="J683" s="11" t="s">
        <v>4460</v>
      </c>
      <c r="K683" s="11" t="s">
        <v>1609</v>
      </c>
      <c r="L683" s="11" t="s">
        <v>4461</v>
      </c>
      <c r="M683" s="11"/>
      <c r="N683" s="14" t="n">
        <v>2</v>
      </c>
      <c r="O683" s="14" t="n">
        <v>3</v>
      </c>
      <c r="P683" s="14" t="n">
        <v>4</v>
      </c>
      <c r="Q683" s="14"/>
      <c r="R683" s="12" t="n">
        <f aca="false">IF(OR(N683="",P683=""),"",ROUND(N683*O683/P683,1))</f>
        <v>1.5</v>
      </c>
      <c r="S683" s="13" t="n">
        <f aca="false">IF(R683="","",IF(Q683="Y",1,IF(P683&gt;='Read me'!$B$16,3,IF(AND(R683&gt;='Read me'!$B$14,P683&lt;='Read me'!$B$15),1,2))))</f>
        <v>3</v>
      </c>
    </row>
    <row r="684" customFormat="false" ht="23.85" hidden="false" customHeight="false" outlineLevel="0" collapsed="false">
      <c r="A684" s="11" t="s">
        <v>4462</v>
      </c>
      <c r="B684" s="11" t="s">
        <v>37</v>
      </c>
      <c r="C684" s="11" t="s">
        <v>190</v>
      </c>
      <c r="D684" s="11" t="s">
        <v>191</v>
      </c>
      <c r="E684" s="11" t="s">
        <v>1081</v>
      </c>
      <c r="F684" s="11" t="s">
        <v>4463</v>
      </c>
      <c r="G684" s="11" t="s">
        <v>4464</v>
      </c>
      <c r="H684" s="11" t="s">
        <v>3569</v>
      </c>
      <c r="I684" s="11" t="s">
        <v>4465</v>
      </c>
      <c r="J684" s="11" t="s">
        <v>4466</v>
      </c>
      <c r="K684" s="11" t="s">
        <v>1151</v>
      </c>
      <c r="L684" s="11" t="s">
        <v>4467</v>
      </c>
      <c r="M684" s="11"/>
      <c r="N684" s="14" t="n">
        <v>1</v>
      </c>
      <c r="O684" s="14" t="n">
        <v>3</v>
      </c>
      <c r="P684" s="14" t="n">
        <v>3</v>
      </c>
      <c r="Q684" s="14"/>
      <c r="R684" s="12" t="n">
        <f aca="false">IF(OR(N684="",P684=""),"",ROUND(N684*O684/P684,1))</f>
        <v>1</v>
      </c>
      <c r="S684" s="13" t="n">
        <f aca="false">IF(R684="","",IF(Q684="Y",1,IF(P684&gt;='Read me'!$B$16,3,IF(AND(R684&gt;='Read me'!$B$14,P684&lt;='Read me'!$B$15),1,2))))</f>
        <v>2</v>
      </c>
    </row>
    <row r="685" customFormat="false" ht="23.85" hidden="false" customHeight="false" outlineLevel="0" collapsed="false">
      <c r="A685" s="11" t="s">
        <v>4468</v>
      </c>
      <c r="B685" s="11" t="s">
        <v>37</v>
      </c>
      <c r="C685" s="11" t="s">
        <v>190</v>
      </c>
      <c r="D685" s="11" t="s">
        <v>191</v>
      </c>
      <c r="E685" s="11" t="s">
        <v>1187</v>
      </c>
      <c r="F685" s="11" t="s">
        <v>4469</v>
      </c>
      <c r="G685" s="11" t="s">
        <v>4470</v>
      </c>
      <c r="H685" s="11" t="s">
        <v>1700</v>
      </c>
      <c r="I685" s="11" t="s">
        <v>512</v>
      </c>
      <c r="J685" s="11" t="s">
        <v>4471</v>
      </c>
      <c r="K685" s="11" t="s">
        <v>4472</v>
      </c>
      <c r="L685" s="11" t="s">
        <v>4135</v>
      </c>
      <c r="M685" s="11"/>
      <c r="N685" s="14" t="n">
        <v>1</v>
      </c>
      <c r="O685" s="14" t="n">
        <v>4</v>
      </c>
      <c r="P685" s="14" t="n">
        <v>3</v>
      </c>
      <c r="Q685" s="14"/>
      <c r="R685" s="12" t="n">
        <f aca="false">IF(OR(N685="",P685=""),"",ROUND(N685*O685/P685,1))</f>
        <v>1.3</v>
      </c>
      <c r="S685" s="13" t="n">
        <f aca="false">IF(R685="","",IF(Q685="Y",1,IF(P685&gt;='Read me'!$B$16,3,IF(AND(R685&gt;='Read me'!$B$14,P685&lt;='Read me'!$B$15),1,2))))</f>
        <v>2</v>
      </c>
    </row>
    <row r="686" customFormat="false" ht="15" hidden="false" customHeight="false" outlineLevel="0" collapsed="false">
      <c r="A686" s="11" t="s">
        <v>4473</v>
      </c>
      <c r="B686" s="11" t="s">
        <v>37</v>
      </c>
      <c r="C686" s="11" t="s">
        <v>190</v>
      </c>
      <c r="D686" s="11" t="s">
        <v>191</v>
      </c>
      <c r="E686" s="11" t="s">
        <v>1133</v>
      </c>
      <c r="F686" s="11" t="s">
        <v>1147</v>
      </c>
      <c r="G686" s="11" t="s">
        <v>1148</v>
      </c>
      <c r="H686" s="11"/>
      <c r="I686" s="11" t="s">
        <v>4474</v>
      </c>
      <c r="J686" s="11" t="s">
        <v>4475</v>
      </c>
      <c r="K686" s="11" t="s">
        <v>1151</v>
      </c>
      <c r="L686" s="11" t="s">
        <v>4363</v>
      </c>
      <c r="M686" s="11" t="s">
        <v>3592</v>
      </c>
      <c r="N686" s="14" t="n">
        <v>1</v>
      </c>
      <c r="O686" s="14" t="n">
        <v>3</v>
      </c>
      <c r="P686" s="14" t="n">
        <v>3</v>
      </c>
      <c r="Q686" s="14"/>
      <c r="R686" s="12" t="n">
        <f aca="false">IF(OR(N686="",P686=""),"",ROUND(N686*O686/P686,1))</f>
        <v>1</v>
      </c>
      <c r="S686" s="13" t="n">
        <f aca="false">IF(R686="","",IF(Q686="Y",1,IF(P686&gt;='Read me'!$B$16,3,IF(AND(R686&gt;='Read me'!$B$14,P686&lt;='Read me'!$B$15),1,2))))</f>
        <v>2</v>
      </c>
    </row>
    <row r="687" customFormat="false" ht="15" hidden="false" customHeight="false" outlineLevel="0" collapsed="false">
      <c r="A687" s="11" t="s">
        <v>4476</v>
      </c>
      <c r="B687" s="11" t="s">
        <v>37</v>
      </c>
      <c r="C687" s="11" t="s">
        <v>190</v>
      </c>
      <c r="D687" s="11" t="s">
        <v>191</v>
      </c>
      <c r="E687" s="11" t="s">
        <v>1133</v>
      </c>
      <c r="F687" s="11" t="s">
        <v>4477</v>
      </c>
      <c r="G687" s="11" t="s">
        <v>1135</v>
      </c>
      <c r="H687" s="11"/>
      <c r="I687" s="11" t="s">
        <v>1136</v>
      </c>
      <c r="J687" s="11" t="s">
        <v>4151</v>
      </c>
      <c r="K687" s="11" t="s">
        <v>1138</v>
      </c>
      <c r="L687" s="11" t="s">
        <v>3775</v>
      </c>
      <c r="M687" s="11"/>
      <c r="N687" s="14" t="n">
        <v>2</v>
      </c>
      <c r="O687" s="14" t="n">
        <v>2</v>
      </c>
      <c r="P687" s="14" t="n">
        <v>1</v>
      </c>
      <c r="Q687" s="14"/>
      <c r="R687" s="12" t="n">
        <f aca="false">IF(OR(N687="",P687=""),"",ROUND(N687*O687/P687,1))</f>
        <v>4</v>
      </c>
      <c r="S687" s="13" t="n">
        <f aca="false">IF(R687="","",IF(Q687="Y",1,IF(P687&gt;='Read me'!$B$16,3,IF(AND(R687&gt;='Read me'!$B$14,P687&lt;='Read me'!$B$15),1,2))))</f>
        <v>2</v>
      </c>
    </row>
    <row r="688" customFormat="false" ht="23.85" hidden="false" customHeight="false" outlineLevel="0" collapsed="false">
      <c r="A688" s="11" t="s">
        <v>4478</v>
      </c>
      <c r="B688" s="11" t="s">
        <v>37</v>
      </c>
      <c r="C688" s="11" t="s">
        <v>193</v>
      </c>
      <c r="D688" s="11" t="s">
        <v>194</v>
      </c>
      <c r="E688" s="11" t="s">
        <v>476</v>
      </c>
      <c r="F688" s="11" t="s">
        <v>4479</v>
      </c>
      <c r="G688" s="11" t="s">
        <v>511</v>
      </c>
      <c r="H688" s="11"/>
      <c r="I688" s="11" t="s">
        <v>4480</v>
      </c>
      <c r="J688" s="11" t="s">
        <v>4481</v>
      </c>
      <c r="K688" s="11" t="s">
        <v>4482</v>
      </c>
      <c r="L688" s="11" t="s">
        <v>4483</v>
      </c>
      <c r="M688" s="11"/>
      <c r="N688" s="14" t="n">
        <v>4</v>
      </c>
      <c r="O688" s="14" t="n">
        <v>4</v>
      </c>
      <c r="P688" s="14" t="n">
        <v>1</v>
      </c>
      <c r="Q688" s="14"/>
      <c r="R688" s="12" t="n">
        <f aca="false">IF(OR(N688="",P688=""),"",ROUND(N688*O688/P688,1))</f>
        <v>16</v>
      </c>
      <c r="S688" s="13" t="n">
        <f aca="false">IF(R688="","",IF(Q688="Y",1,IF(P688&gt;='Read me'!$B$16,3,IF(AND(R688&gt;='Read me'!$B$14,P688&lt;='Read me'!$B$15),1,2))))</f>
        <v>1</v>
      </c>
    </row>
    <row r="689" customFormat="false" ht="35.05" hidden="false" customHeight="false" outlineLevel="0" collapsed="false">
      <c r="A689" s="11" t="s">
        <v>4484</v>
      </c>
      <c r="B689" s="11" t="s">
        <v>37</v>
      </c>
      <c r="C689" s="11" t="s">
        <v>193</v>
      </c>
      <c r="D689" s="11" t="s">
        <v>194</v>
      </c>
      <c r="E689" s="11" t="s">
        <v>476</v>
      </c>
      <c r="F689" s="11" t="s">
        <v>4479</v>
      </c>
      <c r="G689" s="11" t="s">
        <v>4022</v>
      </c>
      <c r="H689" s="11"/>
      <c r="I689" s="11" t="s">
        <v>4485</v>
      </c>
      <c r="J689" s="11" t="s">
        <v>4486</v>
      </c>
      <c r="K689" s="11" t="s">
        <v>4487</v>
      </c>
      <c r="L689" s="11" t="s">
        <v>4488</v>
      </c>
      <c r="M689" s="11" t="s">
        <v>3399</v>
      </c>
      <c r="N689" s="14" t="n">
        <v>3</v>
      </c>
      <c r="O689" s="14" t="n">
        <v>4</v>
      </c>
      <c r="P689" s="14" t="n">
        <v>1</v>
      </c>
      <c r="Q689" s="14"/>
      <c r="R689" s="12" t="n">
        <f aca="false">IF(OR(N689="",P689=""),"",ROUND(N689*O689/P689,1))</f>
        <v>12</v>
      </c>
      <c r="S689" s="13" t="n">
        <f aca="false">IF(R689="","",IF(Q689="Y",1,IF(P689&gt;='Read me'!$B$16,3,IF(AND(R689&gt;='Read me'!$B$14,P689&lt;='Read me'!$B$15),1,2))))</f>
        <v>1</v>
      </c>
    </row>
    <row r="690" customFormat="false" ht="23.85" hidden="false" customHeight="false" outlineLevel="0" collapsed="false">
      <c r="A690" s="11" t="s">
        <v>4489</v>
      </c>
      <c r="B690" s="11" t="s">
        <v>37</v>
      </c>
      <c r="C690" s="11" t="s">
        <v>193</v>
      </c>
      <c r="D690" s="11" t="s">
        <v>194</v>
      </c>
      <c r="E690" s="11" t="s">
        <v>476</v>
      </c>
      <c r="F690" s="11" t="s">
        <v>4490</v>
      </c>
      <c r="G690" s="11" t="s">
        <v>4491</v>
      </c>
      <c r="H690" s="11"/>
      <c r="I690" s="11" t="s">
        <v>4492</v>
      </c>
      <c r="J690" s="11" t="s">
        <v>4493</v>
      </c>
      <c r="K690" s="11" t="s">
        <v>4494</v>
      </c>
      <c r="L690" s="11" t="s">
        <v>4495</v>
      </c>
      <c r="M690" s="11"/>
      <c r="N690" s="14" t="n">
        <v>3</v>
      </c>
      <c r="O690" s="14" t="n">
        <v>3</v>
      </c>
      <c r="P690" s="14" t="n">
        <v>2</v>
      </c>
      <c r="Q690" s="14"/>
      <c r="R690" s="12" t="n">
        <f aca="false">IF(OR(N690="",P690=""),"",ROUND(N690*O690/P690,1))</f>
        <v>4.5</v>
      </c>
      <c r="S690" s="13" t="n">
        <f aca="false">IF(R690="","",IF(Q690="Y",1,IF(P690&gt;='Read me'!$B$16,3,IF(AND(R690&gt;='Read me'!$B$14,P690&lt;='Read me'!$B$15),1,2))))</f>
        <v>2</v>
      </c>
    </row>
    <row r="691" customFormat="false" ht="35.05" hidden="false" customHeight="false" outlineLevel="0" collapsed="false">
      <c r="A691" s="11" t="s">
        <v>4496</v>
      </c>
      <c r="B691" s="11" t="s">
        <v>37</v>
      </c>
      <c r="C691" s="11" t="s">
        <v>193</v>
      </c>
      <c r="D691" s="11" t="s">
        <v>194</v>
      </c>
      <c r="E691" s="11" t="s">
        <v>476</v>
      </c>
      <c r="F691" s="11" t="s">
        <v>4497</v>
      </c>
      <c r="G691" s="11" t="s">
        <v>511</v>
      </c>
      <c r="H691" s="11"/>
      <c r="I691" s="11" t="s">
        <v>512</v>
      </c>
      <c r="J691" s="11" t="s">
        <v>4498</v>
      </c>
      <c r="K691" s="11" t="s">
        <v>514</v>
      </c>
      <c r="L691" s="11" t="s">
        <v>4499</v>
      </c>
      <c r="M691" s="11" t="s">
        <v>3376</v>
      </c>
      <c r="N691" s="14" t="n">
        <v>3</v>
      </c>
      <c r="O691" s="14" t="n">
        <v>4</v>
      </c>
      <c r="P691" s="14" t="n">
        <v>2</v>
      </c>
      <c r="Q691" s="14"/>
      <c r="R691" s="12" t="n">
        <f aca="false">IF(OR(N691="",P691=""),"",ROUND(N691*O691/P691,1))</f>
        <v>6</v>
      </c>
      <c r="S691" s="13" t="n">
        <f aca="false">IF(R691="","",IF(Q691="Y",1,IF(P691&gt;='Read me'!$B$16,3,IF(AND(R691&gt;='Read me'!$B$14,P691&lt;='Read me'!$B$15),1,2))))</f>
        <v>1</v>
      </c>
    </row>
    <row r="692" customFormat="false" ht="23.85" hidden="false" customHeight="false" outlineLevel="0" collapsed="false">
      <c r="A692" s="11" t="s">
        <v>4500</v>
      </c>
      <c r="B692" s="11" t="s">
        <v>37</v>
      </c>
      <c r="C692" s="11" t="s">
        <v>193</v>
      </c>
      <c r="D692" s="11" t="s">
        <v>194</v>
      </c>
      <c r="E692" s="11" t="s">
        <v>476</v>
      </c>
      <c r="F692" s="11" t="s">
        <v>4497</v>
      </c>
      <c r="G692" s="11" t="s">
        <v>1071</v>
      </c>
      <c r="H692" s="11"/>
      <c r="I692" s="11" t="s">
        <v>512</v>
      </c>
      <c r="J692" s="11" t="s">
        <v>4501</v>
      </c>
      <c r="K692" s="11" t="s">
        <v>4502</v>
      </c>
      <c r="L692" s="11" t="s">
        <v>4503</v>
      </c>
      <c r="M692" s="11" t="s">
        <v>4196</v>
      </c>
      <c r="N692" s="14" t="n">
        <v>2</v>
      </c>
      <c r="O692" s="14" t="n">
        <v>3</v>
      </c>
      <c r="P692" s="14" t="n">
        <v>2</v>
      </c>
      <c r="Q692" s="14"/>
      <c r="R692" s="12" t="n">
        <f aca="false">IF(OR(N692="",P692=""),"",ROUND(N692*O692/P692,1))</f>
        <v>3</v>
      </c>
      <c r="S692" s="13" t="n">
        <f aca="false">IF(R692="","",IF(Q692="Y",1,IF(P692&gt;='Read me'!$B$16,3,IF(AND(R692&gt;='Read me'!$B$14,P692&lt;='Read me'!$B$15),1,2))))</f>
        <v>2</v>
      </c>
    </row>
    <row r="693" customFormat="false" ht="23.85" hidden="false" customHeight="false" outlineLevel="0" collapsed="false">
      <c r="A693" s="11" t="s">
        <v>4504</v>
      </c>
      <c r="B693" s="11" t="s">
        <v>37</v>
      </c>
      <c r="C693" s="11" t="s">
        <v>193</v>
      </c>
      <c r="D693" s="11" t="s">
        <v>194</v>
      </c>
      <c r="E693" s="11" t="s">
        <v>476</v>
      </c>
      <c r="F693" s="11" t="s">
        <v>4479</v>
      </c>
      <c r="G693" s="11" t="s">
        <v>3515</v>
      </c>
      <c r="H693" s="11"/>
      <c r="I693" s="11" t="s">
        <v>4505</v>
      </c>
      <c r="J693" s="11" t="s">
        <v>4506</v>
      </c>
      <c r="K693" s="11" t="s">
        <v>4507</v>
      </c>
      <c r="L693" s="11" t="s">
        <v>4508</v>
      </c>
      <c r="M693" s="11"/>
      <c r="N693" s="14" t="n">
        <v>2</v>
      </c>
      <c r="O693" s="14" t="n">
        <v>3</v>
      </c>
      <c r="P693" s="14" t="n">
        <v>2</v>
      </c>
      <c r="Q693" s="14"/>
      <c r="R693" s="12" t="n">
        <f aca="false">IF(OR(N693="",P693=""),"",ROUND(N693*O693/P693,1))</f>
        <v>3</v>
      </c>
      <c r="S693" s="13" t="n">
        <f aca="false">IF(R693="","",IF(Q693="Y",1,IF(P693&gt;='Read me'!$B$16,3,IF(AND(R693&gt;='Read me'!$B$14,P693&lt;='Read me'!$B$15),1,2))))</f>
        <v>2</v>
      </c>
    </row>
    <row r="694" customFormat="false" ht="23.85" hidden="false" customHeight="false" outlineLevel="0" collapsed="false">
      <c r="A694" s="11" t="s">
        <v>4509</v>
      </c>
      <c r="B694" s="11" t="s">
        <v>37</v>
      </c>
      <c r="C694" s="11" t="s">
        <v>193</v>
      </c>
      <c r="D694" s="11" t="s">
        <v>194</v>
      </c>
      <c r="E694" s="11" t="s">
        <v>626</v>
      </c>
      <c r="F694" s="11" t="s">
        <v>4510</v>
      </c>
      <c r="G694" s="11" t="s">
        <v>1399</v>
      </c>
      <c r="H694" s="11"/>
      <c r="I694" s="11" t="s">
        <v>4511</v>
      </c>
      <c r="J694" s="11" t="s">
        <v>4512</v>
      </c>
      <c r="K694" s="11" t="s">
        <v>4494</v>
      </c>
      <c r="L694" s="11" t="s">
        <v>4513</v>
      </c>
      <c r="M694" s="11" t="s">
        <v>4514</v>
      </c>
      <c r="N694" s="14" t="n">
        <v>3</v>
      </c>
      <c r="O694" s="14" t="n">
        <v>3</v>
      </c>
      <c r="P694" s="14" t="n">
        <v>2</v>
      </c>
      <c r="Q694" s="14"/>
      <c r="R694" s="12" t="n">
        <f aca="false">IF(OR(N694="",P694=""),"",ROUND(N694*O694/P694,1))</f>
        <v>4.5</v>
      </c>
      <c r="S694" s="13" t="n">
        <f aca="false">IF(R694="","",IF(Q694="Y",1,IF(P694&gt;='Read me'!$B$16,3,IF(AND(R694&gt;='Read me'!$B$14,P694&lt;='Read me'!$B$15),1,2))))</f>
        <v>2</v>
      </c>
    </row>
    <row r="695" customFormat="false" ht="23.85" hidden="false" customHeight="false" outlineLevel="0" collapsed="false">
      <c r="A695" s="11" t="s">
        <v>4515</v>
      </c>
      <c r="B695" s="11" t="s">
        <v>37</v>
      </c>
      <c r="C695" s="11" t="s">
        <v>193</v>
      </c>
      <c r="D695" s="11" t="s">
        <v>194</v>
      </c>
      <c r="E695" s="11" t="s">
        <v>626</v>
      </c>
      <c r="F695" s="11" t="s">
        <v>4516</v>
      </c>
      <c r="G695" s="11" t="s">
        <v>4517</v>
      </c>
      <c r="H695" s="11"/>
      <c r="I695" s="11" t="s">
        <v>4518</v>
      </c>
      <c r="J695" s="11" t="s">
        <v>4519</v>
      </c>
      <c r="K695" s="11" t="s">
        <v>4520</v>
      </c>
      <c r="L695" s="11" t="s">
        <v>4521</v>
      </c>
      <c r="M695" s="11"/>
      <c r="N695" s="14" t="n">
        <v>3</v>
      </c>
      <c r="O695" s="14" t="n">
        <v>3</v>
      </c>
      <c r="P695" s="14" t="n">
        <v>1</v>
      </c>
      <c r="Q695" s="14"/>
      <c r="R695" s="12" t="n">
        <f aca="false">IF(OR(N695="",P695=""),"",ROUND(N695*O695/P695,1))</f>
        <v>9</v>
      </c>
      <c r="S695" s="13" t="n">
        <f aca="false">IF(R695="","",IF(Q695="Y",1,IF(P695&gt;='Read me'!$B$16,3,IF(AND(R695&gt;='Read me'!$B$14,P695&lt;='Read me'!$B$15),1,2))))</f>
        <v>1</v>
      </c>
    </row>
    <row r="696" customFormat="false" ht="35.05" hidden="false" customHeight="false" outlineLevel="0" collapsed="false">
      <c r="A696" s="11" t="s">
        <v>4522</v>
      </c>
      <c r="B696" s="11" t="s">
        <v>37</v>
      </c>
      <c r="C696" s="11" t="s">
        <v>193</v>
      </c>
      <c r="D696" s="11" t="s">
        <v>194</v>
      </c>
      <c r="E696" s="11" t="s">
        <v>626</v>
      </c>
      <c r="F696" s="11" t="s">
        <v>4523</v>
      </c>
      <c r="G696" s="11" t="s">
        <v>4524</v>
      </c>
      <c r="H696" s="11"/>
      <c r="I696" s="11" t="s">
        <v>4525</v>
      </c>
      <c r="J696" s="11" t="s">
        <v>4526</v>
      </c>
      <c r="K696" s="11" t="s">
        <v>4527</v>
      </c>
      <c r="L696" s="11" t="s">
        <v>4528</v>
      </c>
      <c r="M696" s="11" t="s">
        <v>3399</v>
      </c>
      <c r="N696" s="14" t="n">
        <v>2</v>
      </c>
      <c r="O696" s="14" t="n">
        <v>4</v>
      </c>
      <c r="P696" s="14" t="n">
        <v>2</v>
      </c>
      <c r="Q696" s="14"/>
      <c r="R696" s="12" t="n">
        <f aca="false">IF(OR(N696="",P696=""),"",ROUND(N696*O696/P696,1))</f>
        <v>4</v>
      </c>
      <c r="S696" s="13" t="n">
        <f aca="false">IF(R696="","",IF(Q696="Y",1,IF(P696&gt;='Read me'!$B$16,3,IF(AND(R696&gt;='Read me'!$B$14,P696&lt;='Read me'!$B$15),1,2))))</f>
        <v>2</v>
      </c>
    </row>
    <row r="697" customFormat="false" ht="23.85" hidden="false" customHeight="false" outlineLevel="0" collapsed="false">
      <c r="A697" s="11" t="s">
        <v>4529</v>
      </c>
      <c r="B697" s="11" t="s">
        <v>37</v>
      </c>
      <c r="C697" s="11" t="s">
        <v>193</v>
      </c>
      <c r="D697" s="11" t="s">
        <v>194</v>
      </c>
      <c r="E697" s="11" t="s">
        <v>626</v>
      </c>
      <c r="F697" s="11" t="s">
        <v>4530</v>
      </c>
      <c r="G697" s="11" t="s">
        <v>4531</v>
      </c>
      <c r="H697" s="11" t="s">
        <v>2118</v>
      </c>
      <c r="I697" s="11" t="s">
        <v>4532</v>
      </c>
      <c r="J697" s="11" t="s">
        <v>4533</v>
      </c>
      <c r="K697" s="11" t="s">
        <v>4534</v>
      </c>
      <c r="L697" s="11" t="s">
        <v>4535</v>
      </c>
      <c r="M697" s="11"/>
      <c r="N697" s="14" t="n">
        <v>2</v>
      </c>
      <c r="O697" s="14" t="n">
        <v>2</v>
      </c>
      <c r="P697" s="14" t="n">
        <v>1</v>
      </c>
      <c r="Q697" s="14"/>
      <c r="R697" s="12" t="n">
        <f aca="false">IF(OR(N697="",P697=""),"",ROUND(N697*O697/P697,1))</f>
        <v>4</v>
      </c>
      <c r="S697" s="13" t="n">
        <f aca="false">IF(R697="","",IF(Q697="Y",1,IF(P697&gt;='Read me'!$B$16,3,IF(AND(R697&gt;='Read me'!$B$14,P697&lt;='Read me'!$B$15),1,2))))</f>
        <v>2</v>
      </c>
    </row>
    <row r="698" customFormat="false" ht="23.85" hidden="false" customHeight="false" outlineLevel="0" collapsed="false">
      <c r="A698" s="11" t="s">
        <v>4536</v>
      </c>
      <c r="B698" s="11" t="s">
        <v>37</v>
      </c>
      <c r="C698" s="11" t="s">
        <v>193</v>
      </c>
      <c r="D698" s="11" t="s">
        <v>194</v>
      </c>
      <c r="E698" s="11" t="s">
        <v>626</v>
      </c>
      <c r="F698" s="11" t="s">
        <v>4530</v>
      </c>
      <c r="G698" s="11" t="s">
        <v>4537</v>
      </c>
      <c r="H698" s="11" t="s">
        <v>4538</v>
      </c>
      <c r="I698" s="11" t="s">
        <v>4539</v>
      </c>
      <c r="J698" s="11" t="s">
        <v>4540</v>
      </c>
      <c r="K698" s="11" t="s">
        <v>4114</v>
      </c>
      <c r="L698" s="11" t="s">
        <v>4541</v>
      </c>
      <c r="M698" s="11"/>
      <c r="N698" s="14" t="n">
        <v>2</v>
      </c>
      <c r="O698" s="14" t="n">
        <v>2</v>
      </c>
      <c r="P698" s="14" t="n">
        <v>1</v>
      </c>
      <c r="Q698" s="14"/>
      <c r="R698" s="12" t="n">
        <f aca="false">IF(OR(N698="",P698=""),"",ROUND(N698*O698/P698,1))</f>
        <v>4</v>
      </c>
      <c r="S698" s="13" t="n">
        <f aca="false">IF(R698="","",IF(Q698="Y",1,IF(P698&gt;='Read me'!$B$16,3,IF(AND(R698&gt;='Read me'!$B$14,P698&lt;='Read me'!$B$15),1,2))))</f>
        <v>2</v>
      </c>
    </row>
    <row r="699" customFormat="false" ht="23.85" hidden="false" customHeight="false" outlineLevel="0" collapsed="false">
      <c r="A699" s="11" t="s">
        <v>4542</v>
      </c>
      <c r="B699" s="11" t="s">
        <v>37</v>
      </c>
      <c r="C699" s="11" t="s">
        <v>193</v>
      </c>
      <c r="D699" s="11" t="s">
        <v>194</v>
      </c>
      <c r="E699" s="11" t="s">
        <v>751</v>
      </c>
      <c r="F699" s="11" t="s">
        <v>4543</v>
      </c>
      <c r="G699" s="11" t="s">
        <v>4544</v>
      </c>
      <c r="H699" s="11"/>
      <c r="I699" s="11" t="s">
        <v>4545</v>
      </c>
      <c r="J699" s="11" t="s">
        <v>4546</v>
      </c>
      <c r="K699" s="11" t="s">
        <v>4494</v>
      </c>
      <c r="L699" s="11" t="s">
        <v>4547</v>
      </c>
      <c r="M699" s="11"/>
      <c r="N699" s="14" t="n">
        <v>3</v>
      </c>
      <c r="O699" s="14" t="n">
        <v>3</v>
      </c>
      <c r="P699" s="14" t="n">
        <v>2</v>
      </c>
      <c r="Q699" s="14"/>
      <c r="R699" s="12" t="n">
        <f aca="false">IF(OR(N699="",P699=""),"",ROUND(N699*O699/P699,1))</f>
        <v>4.5</v>
      </c>
      <c r="S699" s="13" t="n">
        <f aca="false">IF(R699="","",IF(Q699="Y",1,IF(P699&gt;='Read me'!$B$16,3,IF(AND(R699&gt;='Read me'!$B$14,P699&lt;='Read me'!$B$15),1,2))))</f>
        <v>2</v>
      </c>
    </row>
    <row r="700" customFormat="false" ht="23.85" hidden="false" customHeight="false" outlineLevel="0" collapsed="false">
      <c r="A700" s="11" t="s">
        <v>4548</v>
      </c>
      <c r="B700" s="11" t="s">
        <v>37</v>
      </c>
      <c r="C700" s="11" t="s">
        <v>193</v>
      </c>
      <c r="D700" s="11" t="s">
        <v>194</v>
      </c>
      <c r="E700" s="11" t="s">
        <v>751</v>
      </c>
      <c r="F700" s="11" t="s">
        <v>4549</v>
      </c>
      <c r="G700" s="11" t="s">
        <v>4544</v>
      </c>
      <c r="H700" s="11"/>
      <c r="I700" s="11" t="s">
        <v>4550</v>
      </c>
      <c r="J700" s="11" t="s">
        <v>4551</v>
      </c>
      <c r="K700" s="11" t="s">
        <v>4552</v>
      </c>
      <c r="L700" s="11" t="s">
        <v>4553</v>
      </c>
      <c r="M700" s="11" t="s">
        <v>1577</v>
      </c>
      <c r="N700" s="14" t="n">
        <v>2</v>
      </c>
      <c r="O700" s="14" t="n">
        <v>4</v>
      </c>
      <c r="P700" s="14" t="n">
        <v>3</v>
      </c>
      <c r="Q700" s="14"/>
      <c r="R700" s="12" t="n">
        <f aca="false">IF(OR(N700="",P700=""),"",ROUND(N700*O700/P700,1))</f>
        <v>2.7</v>
      </c>
      <c r="S700" s="13" t="n">
        <f aca="false">IF(R700="","",IF(Q700="Y",1,IF(P700&gt;='Read me'!$B$16,3,IF(AND(R700&gt;='Read me'!$B$14,P700&lt;='Read me'!$B$15),1,2))))</f>
        <v>2</v>
      </c>
    </row>
    <row r="701" customFormat="false" ht="23.85" hidden="false" customHeight="false" outlineLevel="0" collapsed="false">
      <c r="A701" s="11" t="s">
        <v>4554</v>
      </c>
      <c r="B701" s="11" t="s">
        <v>37</v>
      </c>
      <c r="C701" s="11" t="s">
        <v>193</v>
      </c>
      <c r="D701" s="11" t="s">
        <v>194</v>
      </c>
      <c r="E701" s="11" t="s">
        <v>751</v>
      </c>
      <c r="F701" s="11" t="s">
        <v>4555</v>
      </c>
      <c r="G701" s="11" t="s">
        <v>4556</v>
      </c>
      <c r="H701" s="11"/>
      <c r="I701" s="11" t="s">
        <v>4557</v>
      </c>
      <c r="J701" s="11" t="s">
        <v>4558</v>
      </c>
      <c r="K701" s="11" t="s">
        <v>4559</v>
      </c>
      <c r="L701" s="11" t="s">
        <v>3843</v>
      </c>
      <c r="M701" s="11"/>
      <c r="N701" s="14" t="n">
        <v>2</v>
      </c>
      <c r="O701" s="14" t="n">
        <v>3</v>
      </c>
      <c r="P701" s="14" t="n">
        <v>1</v>
      </c>
      <c r="Q701" s="14"/>
      <c r="R701" s="12" t="n">
        <f aca="false">IF(OR(N701="",P701=""),"",ROUND(N701*O701/P701,1))</f>
        <v>6</v>
      </c>
      <c r="S701" s="13" t="n">
        <f aca="false">IF(R701="","",IF(Q701="Y",1,IF(P701&gt;='Read me'!$B$16,3,IF(AND(R701&gt;='Read me'!$B$14,P701&lt;='Read me'!$B$15),1,2))))</f>
        <v>1</v>
      </c>
    </row>
    <row r="702" customFormat="false" ht="23.85" hidden="false" customHeight="false" outlineLevel="0" collapsed="false">
      <c r="A702" s="11" t="s">
        <v>4560</v>
      </c>
      <c r="B702" s="11" t="s">
        <v>37</v>
      </c>
      <c r="C702" s="11" t="s">
        <v>193</v>
      </c>
      <c r="D702" s="11" t="s">
        <v>194</v>
      </c>
      <c r="E702" s="11" t="s">
        <v>1187</v>
      </c>
      <c r="F702" s="11" t="s">
        <v>4561</v>
      </c>
      <c r="G702" s="11" t="s">
        <v>4562</v>
      </c>
      <c r="H702" s="11" t="s">
        <v>4563</v>
      </c>
      <c r="I702" s="11" t="s">
        <v>4564</v>
      </c>
      <c r="J702" s="11" t="s">
        <v>4565</v>
      </c>
      <c r="K702" s="11" t="s">
        <v>4566</v>
      </c>
      <c r="L702" s="11" t="s">
        <v>4567</v>
      </c>
      <c r="M702" s="11"/>
      <c r="N702" s="14" t="n">
        <v>2</v>
      </c>
      <c r="O702" s="14" t="n">
        <v>3</v>
      </c>
      <c r="P702" s="14" t="n">
        <v>3</v>
      </c>
      <c r="Q702" s="14"/>
      <c r="R702" s="12" t="n">
        <f aca="false">IF(OR(N702="",P702=""),"",ROUND(N702*O702/P702,1))</f>
        <v>2</v>
      </c>
      <c r="S702" s="13" t="n">
        <f aca="false">IF(R702="","",IF(Q702="Y",1,IF(P702&gt;='Read me'!$B$16,3,IF(AND(R702&gt;='Read me'!$B$14,P702&lt;='Read me'!$B$15),1,2))))</f>
        <v>2</v>
      </c>
    </row>
    <row r="703" customFormat="false" ht="23.85" hidden="false" customHeight="false" outlineLevel="0" collapsed="false">
      <c r="A703" s="11" t="s">
        <v>4568</v>
      </c>
      <c r="B703" s="11" t="s">
        <v>37</v>
      </c>
      <c r="C703" s="11" t="s">
        <v>193</v>
      </c>
      <c r="D703" s="11" t="s">
        <v>194</v>
      </c>
      <c r="E703" s="11" t="s">
        <v>1187</v>
      </c>
      <c r="F703" s="11" t="s">
        <v>4569</v>
      </c>
      <c r="G703" s="11" t="s">
        <v>4348</v>
      </c>
      <c r="H703" s="11" t="s">
        <v>4570</v>
      </c>
      <c r="I703" s="11" t="s">
        <v>4571</v>
      </c>
      <c r="J703" s="11" t="s">
        <v>4572</v>
      </c>
      <c r="K703" s="11" t="s">
        <v>4573</v>
      </c>
      <c r="L703" s="11" t="s">
        <v>4574</v>
      </c>
      <c r="M703" s="11"/>
      <c r="N703" s="14" t="n">
        <v>1</v>
      </c>
      <c r="O703" s="14" t="n">
        <v>3</v>
      </c>
      <c r="P703" s="14" t="n">
        <v>3</v>
      </c>
      <c r="Q703" s="14"/>
      <c r="R703" s="12" t="n">
        <f aca="false">IF(OR(N703="",P703=""),"",ROUND(N703*O703/P703,1))</f>
        <v>1</v>
      </c>
      <c r="S703" s="13" t="n">
        <f aca="false">IF(R703="","",IF(Q703="Y",1,IF(P703&gt;='Read me'!$B$16,3,IF(AND(R703&gt;='Read me'!$B$14,P703&lt;='Read me'!$B$15),1,2))))</f>
        <v>2</v>
      </c>
    </row>
    <row r="704" customFormat="false" ht="23.85" hidden="false" customHeight="false" outlineLevel="0" collapsed="false">
      <c r="A704" s="11" t="s">
        <v>4575</v>
      </c>
      <c r="B704" s="11" t="s">
        <v>37</v>
      </c>
      <c r="C704" s="11" t="s">
        <v>193</v>
      </c>
      <c r="D704" s="11" t="s">
        <v>194</v>
      </c>
      <c r="E704" s="11" t="s">
        <v>1187</v>
      </c>
      <c r="F704" s="11" t="s">
        <v>4576</v>
      </c>
      <c r="G704" s="11" t="s">
        <v>4577</v>
      </c>
      <c r="H704" s="11" t="s">
        <v>4578</v>
      </c>
      <c r="I704" s="11" t="s">
        <v>4579</v>
      </c>
      <c r="J704" s="11" t="s">
        <v>4580</v>
      </c>
      <c r="K704" s="11" t="s">
        <v>2222</v>
      </c>
      <c r="L704" s="11" t="s">
        <v>4581</v>
      </c>
      <c r="M704" s="11"/>
      <c r="N704" s="14" t="n">
        <v>1</v>
      </c>
      <c r="O704" s="14" t="n">
        <v>2</v>
      </c>
      <c r="P704" s="14" t="n">
        <v>1</v>
      </c>
      <c r="Q704" s="14"/>
      <c r="R704" s="12" t="n">
        <f aca="false">IF(OR(N704="",P704=""),"",ROUND(N704*O704/P704,1))</f>
        <v>2</v>
      </c>
      <c r="S704" s="13" t="n">
        <f aca="false">IF(R704="","",IF(Q704="Y",1,IF(P704&gt;='Read me'!$B$16,3,IF(AND(R704&gt;='Read me'!$B$14,P704&lt;='Read me'!$B$15),1,2))))</f>
        <v>2</v>
      </c>
    </row>
    <row r="705" customFormat="false" ht="23.85" hidden="false" customHeight="false" outlineLevel="0" collapsed="false">
      <c r="A705" s="11" t="s">
        <v>4582</v>
      </c>
      <c r="B705" s="11" t="s">
        <v>37</v>
      </c>
      <c r="C705" s="11" t="s">
        <v>193</v>
      </c>
      <c r="D705" s="11" t="s">
        <v>194</v>
      </c>
      <c r="E705" s="11" t="s">
        <v>1133</v>
      </c>
      <c r="F705" s="11" t="s">
        <v>4583</v>
      </c>
      <c r="G705" s="11" t="s">
        <v>4584</v>
      </c>
      <c r="H705" s="11"/>
      <c r="I705" s="11" t="s">
        <v>4585</v>
      </c>
      <c r="J705" s="11" t="s">
        <v>4586</v>
      </c>
      <c r="K705" s="11" t="s">
        <v>4587</v>
      </c>
      <c r="L705" s="11" t="s">
        <v>4588</v>
      </c>
      <c r="M705" s="11"/>
      <c r="N705" s="14" t="n">
        <v>3</v>
      </c>
      <c r="O705" s="14" t="n">
        <v>3</v>
      </c>
      <c r="P705" s="14" t="n">
        <v>2</v>
      </c>
      <c r="Q705" s="14"/>
      <c r="R705" s="12" t="n">
        <f aca="false">IF(OR(N705="",P705=""),"",ROUND(N705*O705/P705,1))</f>
        <v>4.5</v>
      </c>
      <c r="S705" s="13" t="n">
        <f aca="false">IF(R705="","",IF(Q705="Y",1,IF(P705&gt;='Read me'!$B$16,3,IF(AND(R705&gt;='Read me'!$B$14,P705&lt;='Read me'!$B$15),1,2))))</f>
        <v>2</v>
      </c>
    </row>
    <row r="706" customFormat="false" ht="35.05" hidden="false" customHeight="false" outlineLevel="0" collapsed="false">
      <c r="A706" s="11" t="s">
        <v>4589</v>
      </c>
      <c r="B706" s="11" t="s">
        <v>37</v>
      </c>
      <c r="C706" s="11" t="s">
        <v>193</v>
      </c>
      <c r="D706" s="11" t="s">
        <v>194</v>
      </c>
      <c r="E706" s="11" t="s">
        <v>1133</v>
      </c>
      <c r="F706" s="11" t="s">
        <v>4590</v>
      </c>
      <c r="G706" s="11" t="s">
        <v>4591</v>
      </c>
      <c r="H706" s="11"/>
      <c r="I706" s="11" t="s">
        <v>512</v>
      </c>
      <c r="J706" s="11" t="s">
        <v>4592</v>
      </c>
      <c r="K706" s="11" t="s">
        <v>1395</v>
      </c>
      <c r="L706" s="11" t="s">
        <v>4593</v>
      </c>
      <c r="M706" s="11" t="s">
        <v>3376</v>
      </c>
      <c r="N706" s="14" t="n">
        <v>2</v>
      </c>
      <c r="O706" s="14" t="n">
        <v>3</v>
      </c>
      <c r="P706" s="14" t="n">
        <v>1</v>
      </c>
      <c r="Q706" s="14"/>
      <c r="R706" s="12" t="n">
        <f aca="false">IF(OR(N706="",P706=""),"",ROUND(N706*O706/P706,1))</f>
        <v>6</v>
      </c>
      <c r="S706" s="13" t="n">
        <f aca="false">IF(R706="","",IF(Q706="Y",1,IF(P706&gt;='Read me'!$B$16,3,IF(AND(R706&gt;='Read me'!$B$14,P706&lt;='Read me'!$B$15),1,2))))</f>
        <v>1</v>
      </c>
    </row>
    <row r="707" customFormat="false" ht="23.85" hidden="false" customHeight="false" outlineLevel="0" collapsed="false">
      <c r="A707" s="11" t="s">
        <v>4594</v>
      </c>
      <c r="B707" s="11" t="s">
        <v>37</v>
      </c>
      <c r="C707" s="11" t="s">
        <v>193</v>
      </c>
      <c r="D707" s="11" t="s">
        <v>194</v>
      </c>
      <c r="E707" s="11" t="s">
        <v>1372</v>
      </c>
      <c r="F707" s="11" t="s">
        <v>4595</v>
      </c>
      <c r="G707" s="11" t="s">
        <v>4596</v>
      </c>
      <c r="H707" s="11"/>
      <c r="I707" s="11" t="s">
        <v>4597</v>
      </c>
      <c r="J707" s="11" t="s">
        <v>4598</v>
      </c>
      <c r="K707" s="11" t="s">
        <v>4599</v>
      </c>
      <c r="L707" s="11" t="s">
        <v>4600</v>
      </c>
      <c r="M707" s="11"/>
      <c r="N707" s="14" t="n">
        <v>2</v>
      </c>
      <c r="O707" s="14" t="n">
        <v>3</v>
      </c>
      <c r="P707" s="14" t="n">
        <v>1</v>
      </c>
      <c r="Q707" s="14"/>
      <c r="R707" s="12" t="n">
        <f aca="false">IF(OR(N707="",P707=""),"",ROUND(N707*O707/P707,1))</f>
        <v>6</v>
      </c>
      <c r="S707" s="13" t="n">
        <f aca="false">IF(R707="","",IF(Q707="Y",1,IF(P707&gt;='Read me'!$B$16,3,IF(AND(R707&gt;='Read me'!$B$14,P707&lt;='Read me'!$B$15),1,2))))</f>
        <v>1</v>
      </c>
    </row>
    <row r="708" customFormat="false" ht="35.05" hidden="false" customHeight="false" outlineLevel="0" collapsed="false">
      <c r="A708" s="11" t="s">
        <v>4601</v>
      </c>
      <c r="B708" s="11" t="s">
        <v>37</v>
      </c>
      <c r="C708" s="11" t="s">
        <v>193</v>
      </c>
      <c r="D708" s="11" t="s">
        <v>194</v>
      </c>
      <c r="E708" s="11" t="s">
        <v>1372</v>
      </c>
      <c r="F708" s="11" t="s">
        <v>4602</v>
      </c>
      <c r="G708" s="11" t="s">
        <v>4603</v>
      </c>
      <c r="H708" s="11"/>
      <c r="I708" s="11" t="s">
        <v>4604</v>
      </c>
      <c r="J708" s="11" t="s">
        <v>4605</v>
      </c>
      <c r="K708" s="11" t="s">
        <v>4527</v>
      </c>
      <c r="L708" s="11" t="s">
        <v>4606</v>
      </c>
      <c r="M708" s="11" t="s">
        <v>3399</v>
      </c>
      <c r="N708" s="14" t="n">
        <v>1</v>
      </c>
      <c r="O708" s="14" t="n">
        <v>2</v>
      </c>
      <c r="P708" s="14" t="n">
        <v>2</v>
      </c>
      <c r="Q708" s="14"/>
      <c r="R708" s="12" t="n">
        <f aca="false">IF(OR(N708="",P708=""),"",ROUND(N708*O708/P708,1))</f>
        <v>1</v>
      </c>
      <c r="S708" s="13" t="n">
        <f aca="false">IF(R708="","",IF(Q708="Y",1,IF(P708&gt;='Read me'!$B$16,3,IF(AND(R708&gt;='Read me'!$B$14,P708&lt;='Read me'!$B$15),1,2))))</f>
        <v>2</v>
      </c>
    </row>
    <row r="709" customFormat="false" ht="23.85" hidden="false" customHeight="false" outlineLevel="0" collapsed="false">
      <c r="A709" s="11" t="s">
        <v>4607</v>
      </c>
      <c r="B709" s="11" t="s">
        <v>37</v>
      </c>
      <c r="C709" s="11" t="s">
        <v>193</v>
      </c>
      <c r="D709" s="11" t="s">
        <v>194</v>
      </c>
      <c r="E709" s="11" t="s">
        <v>1372</v>
      </c>
      <c r="F709" s="11" t="s">
        <v>4608</v>
      </c>
      <c r="G709" s="11" t="s">
        <v>4517</v>
      </c>
      <c r="H709" s="11"/>
      <c r="I709" s="11" t="s">
        <v>4609</v>
      </c>
      <c r="J709" s="11" t="s">
        <v>4610</v>
      </c>
      <c r="K709" s="11" t="s">
        <v>4520</v>
      </c>
      <c r="L709" s="11" t="s">
        <v>4611</v>
      </c>
      <c r="M709" s="11"/>
      <c r="N709" s="14" t="n">
        <v>1</v>
      </c>
      <c r="O709" s="14" t="n">
        <v>1</v>
      </c>
      <c r="P709" s="14" t="n">
        <v>1</v>
      </c>
      <c r="Q709" s="14"/>
      <c r="R709" s="12" t="n">
        <f aca="false">IF(OR(N709="",P709=""),"",ROUND(N709*O709/P709,1))</f>
        <v>1</v>
      </c>
      <c r="S709" s="13" t="n">
        <f aca="false">IF(R709="","",IF(Q709="Y",1,IF(P709&gt;='Read me'!$B$16,3,IF(AND(R709&gt;='Read me'!$B$14,P709&lt;='Read me'!$B$15),1,2))))</f>
        <v>2</v>
      </c>
    </row>
    <row r="710" customFormat="false" ht="23.85" hidden="false" customHeight="false" outlineLevel="0" collapsed="false">
      <c r="A710" s="11" t="s">
        <v>4612</v>
      </c>
      <c r="B710" s="11" t="s">
        <v>37</v>
      </c>
      <c r="C710" s="11" t="s">
        <v>198</v>
      </c>
      <c r="D710" s="11" t="s">
        <v>199</v>
      </c>
      <c r="E710" s="11" t="s">
        <v>476</v>
      </c>
      <c r="F710" s="11" t="s">
        <v>4613</v>
      </c>
      <c r="G710" s="11" t="s">
        <v>4614</v>
      </c>
      <c r="H710" s="11"/>
      <c r="I710" s="11" t="s">
        <v>4615</v>
      </c>
      <c r="J710" s="11" t="s">
        <v>4616</v>
      </c>
      <c r="K710" s="11" t="s">
        <v>507</v>
      </c>
      <c r="L710" s="11" t="s">
        <v>4617</v>
      </c>
      <c r="M710" s="11"/>
      <c r="N710" s="14" t="n">
        <v>3</v>
      </c>
      <c r="O710" s="14" t="n">
        <v>4</v>
      </c>
      <c r="P710" s="14" t="n">
        <v>1</v>
      </c>
      <c r="Q710" s="14"/>
      <c r="R710" s="12" t="n">
        <f aca="false">IF(OR(N710="",P710=""),"",ROUND(N710*O710/P710,1))</f>
        <v>12</v>
      </c>
      <c r="S710" s="13" t="n">
        <f aca="false">IF(R710="","",IF(Q710="Y",1,IF(P710&gt;='Read me'!$B$16,3,IF(AND(R710&gt;='Read me'!$B$14,P710&lt;='Read me'!$B$15),1,2))))</f>
        <v>1</v>
      </c>
    </row>
    <row r="711" customFormat="false" ht="35.05" hidden="false" customHeight="false" outlineLevel="0" collapsed="false">
      <c r="A711" s="11" t="s">
        <v>4618</v>
      </c>
      <c r="B711" s="11" t="s">
        <v>37</v>
      </c>
      <c r="C711" s="11" t="s">
        <v>198</v>
      </c>
      <c r="D711" s="11" t="s">
        <v>199</v>
      </c>
      <c r="E711" s="11" t="s">
        <v>476</v>
      </c>
      <c r="F711" s="11" t="s">
        <v>4613</v>
      </c>
      <c r="G711" s="11" t="s">
        <v>4619</v>
      </c>
      <c r="H711" s="11"/>
      <c r="I711" s="11" t="s">
        <v>512</v>
      </c>
      <c r="J711" s="11" t="s">
        <v>4620</v>
      </c>
      <c r="K711" s="11" t="s">
        <v>4621</v>
      </c>
      <c r="L711" s="11" t="s">
        <v>4622</v>
      </c>
      <c r="M711" s="11" t="s">
        <v>3376</v>
      </c>
      <c r="N711" s="14" t="n">
        <v>3</v>
      </c>
      <c r="O711" s="14" t="n">
        <v>4</v>
      </c>
      <c r="P711" s="14" t="n">
        <v>2</v>
      </c>
      <c r="Q711" s="14"/>
      <c r="R711" s="12" t="n">
        <f aca="false">IF(OR(N711="",P711=""),"",ROUND(N711*O711/P711,1))</f>
        <v>6</v>
      </c>
      <c r="S711" s="13" t="n">
        <f aca="false">IF(R711="","",IF(Q711="Y",1,IF(P711&gt;='Read me'!$B$16,3,IF(AND(R711&gt;='Read me'!$B$14,P711&lt;='Read me'!$B$15),1,2))))</f>
        <v>1</v>
      </c>
    </row>
    <row r="712" customFormat="false" ht="23.85" hidden="false" customHeight="false" outlineLevel="0" collapsed="false">
      <c r="A712" s="11" t="s">
        <v>4623</v>
      </c>
      <c r="B712" s="11" t="s">
        <v>37</v>
      </c>
      <c r="C712" s="11" t="s">
        <v>198</v>
      </c>
      <c r="D712" s="11" t="s">
        <v>199</v>
      </c>
      <c r="E712" s="11" t="s">
        <v>532</v>
      </c>
      <c r="F712" s="11" t="s">
        <v>4624</v>
      </c>
      <c r="G712" s="11" t="s">
        <v>3046</v>
      </c>
      <c r="H712" s="11"/>
      <c r="I712" s="11" t="s">
        <v>4625</v>
      </c>
      <c r="J712" s="11" t="s">
        <v>4626</v>
      </c>
      <c r="K712" s="11" t="s">
        <v>4627</v>
      </c>
      <c r="L712" s="11" t="s">
        <v>4628</v>
      </c>
      <c r="M712" s="11"/>
      <c r="N712" s="14" t="n">
        <v>4</v>
      </c>
      <c r="O712" s="14" t="n">
        <v>4</v>
      </c>
      <c r="P712" s="14" t="n">
        <v>1</v>
      </c>
      <c r="Q712" s="14"/>
      <c r="R712" s="12" t="n">
        <f aca="false">IF(OR(N712="",P712=""),"",ROUND(N712*O712/P712,1))</f>
        <v>16</v>
      </c>
      <c r="S712" s="13" t="n">
        <f aca="false">IF(R712="","",IF(Q712="Y",1,IF(P712&gt;='Read me'!$B$16,3,IF(AND(R712&gt;='Read me'!$B$14,P712&lt;='Read me'!$B$15),1,2))))</f>
        <v>1</v>
      </c>
    </row>
    <row r="713" customFormat="false" ht="23.85" hidden="false" customHeight="false" outlineLevel="0" collapsed="false">
      <c r="A713" s="11" t="s">
        <v>4629</v>
      </c>
      <c r="B713" s="11" t="s">
        <v>37</v>
      </c>
      <c r="C713" s="11" t="s">
        <v>198</v>
      </c>
      <c r="D713" s="11" t="s">
        <v>199</v>
      </c>
      <c r="E713" s="11" t="s">
        <v>532</v>
      </c>
      <c r="F713" s="11" t="s">
        <v>4630</v>
      </c>
      <c r="G713" s="11" t="s">
        <v>4631</v>
      </c>
      <c r="H713" s="11"/>
      <c r="I713" s="11" t="s">
        <v>4632</v>
      </c>
      <c r="J713" s="11" t="s">
        <v>4633</v>
      </c>
      <c r="K713" s="11" t="s">
        <v>4634</v>
      </c>
      <c r="L713" s="11" t="s">
        <v>4635</v>
      </c>
      <c r="M713" s="11"/>
      <c r="N713" s="14" t="n">
        <v>2</v>
      </c>
      <c r="O713" s="14" t="n">
        <v>3</v>
      </c>
      <c r="P713" s="14" t="n">
        <v>2</v>
      </c>
      <c r="Q713" s="14"/>
      <c r="R713" s="12" t="n">
        <f aca="false">IF(OR(N713="",P713=""),"",ROUND(N713*O713/P713,1))</f>
        <v>3</v>
      </c>
      <c r="S713" s="13" t="n">
        <f aca="false">IF(R713="","",IF(Q713="Y",1,IF(P713&gt;='Read me'!$B$16,3,IF(AND(R713&gt;='Read me'!$B$14,P713&lt;='Read me'!$B$15),1,2))))</f>
        <v>2</v>
      </c>
    </row>
    <row r="714" customFormat="false" ht="35.05" hidden="false" customHeight="false" outlineLevel="0" collapsed="false">
      <c r="A714" s="11" t="s">
        <v>4636</v>
      </c>
      <c r="B714" s="11" t="s">
        <v>37</v>
      </c>
      <c r="C714" s="11" t="s">
        <v>198</v>
      </c>
      <c r="D714" s="11" t="s">
        <v>199</v>
      </c>
      <c r="E714" s="11" t="s">
        <v>532</v>
      </c>
      <c r="F714" s="11" t="s">
        <v>4637</v>
      </c>
      <c r="G714" s="11" t="s">
        <v>4638</v>
      </c>
      <c r="H714" s="11"/>
      <c r="I714" s="11" t="s">
        <v>4639</v>
      </c>
      <c r="J714" s="11" t="s">
        <v>4640</v>
      </c>
      <c r="K714" s="11" t="s">
        <v>4641</v>
      </c>
      <c r="L714" s="11" t="s">
        <v>4642</v>
      </c>
      <c r="M714" s="11" t="s">
        <v>1577</v>
      </c>
      <c r="N714" s="14" t="n">
        <v>2</v>
      </c>
      <c r="O714" s="14" t="n">
        <v>4</v>
      </c>
      <c r="P714" s="14" t="n">
        <v>4</v>
      </c>
      <c r="Q714" s="14"/>
      <c r="R714" s="12" t="n">
        <f aca="false">IF(OR(N714="",P714=""),"",ROUND(N714*O714/P714,1))</f>
        <v>2</v>
      </c>
      <c r="S714" s="13" t="n">
        <f aca="false">IF(R714="","",IF(Q714="Y",1,IF(P714&gt;='Read me'!$B$16,3,IF(AND(R714&gt;='Read me'!$B$14,P714&lt;='Read me'!$B$15),1,2))))</f>
        <v>3</v>
      </c>
    </row>
    <row r="715" customFormat="false" ht="23.85" hidden="false" customHeight="false" outlineLevel="0" collapsed="false">
      <c r="A715" s="11" t="s">
        <v>4643</v>
      </c>
      <c r="B715" s="11" t="s">
        <v>37</v>
      </c>
      <c r="C715" s="11" t="s">
        <v>198</v>
      </c>
      <c r="D715" s="11" t="s">
        <v>199</v>
      </c>
      <c r="E715" s="11" t="s">
        <v>532</v>
      </c>
      <c r="F715" s="11" t="s">
        <v>4644</v>
      </c>
      <c r="G715" s="11" t="s">
        <v>4645</v>
      </c>
      <c r="H715" s="11"/>
      <c r="I715" s="11" t="s">
        <v>512</v>
      </c>
      <c r="J715" s="11" t="s">
        <v>4646</v>
      </c>
      <c r="K715" s="11" t="s">
        <v>4621</v>
      </c>
      <c r="L715" s="11" t="s">
        <v>4647</v>
      </c>
      <c r="M715" s="11"/>
      <c r="N715" s="14" t="n">
        <v>3</v>
      </c>
      <c r="O715" s="14" t="n">
        <v>4</v>
      </c>
      <c r="P715" s="14" t="n">
        <v>2</v>
      </c>
      <c r="Q715" s="14"/>
      <c r="R715" s="12" t="n">
        <f aca="false">IF(OR(N715="",P715=""),"",ROUND(N715*O715/P715,1))</f>
        <v>6</v>
      </c>
      <c r="S715" s="13" t="n">
        <f aca="false">IF(R715="","",IF(Q715="Y",1,IF(P715&gt;='Read me'!$B$16,3,IF(AND(R715&gt;='Read me'!$B$14,P715&lt;='Read me'!$B$15),1,2))))</f>
        <v>1</v>
      </c>
    </row>
    <row r="716" customFormat="false" ht="23.85" hidden="false" customHeight="false" outlineLevel="0" collapsed="false">
      <c r="A716" s="11" t="s">
        <v>4648</v>
      </c>
      <c r="B716" s="11" t="s">
        <v>37</v>
      </c>
      <c r="C716" s="11" t="s">
        <v>198</v>
      </c>
      <c r="D716" s="11" t="s">
        <v>199</v>
      </c>
      <c r="E716" s="11" t="s">
        <v>532</v>
      </c>
      <c r="F716" s="11" t="s">
        <v>4644</v>
      </c>
      <c r="G716" s="11" t="s">
        <v>4645</v>
      </c>
      <c r="H716" s="11" t="s">
        <v>4649</v>
      </c>
      <c r="I716" s="11" t="s">
        <v>4650</v>
      </c>
      <c r="J716" s="11" t="s">
        <v>4651</v>
      </c>
      <c r="K716" s="11" t="s">
        <v>4652</v>
      </c>
      <c r="L716" s="11"/>
      <c r="M716" s="11"/>
      <c r="N716" s="14" t="n">
        <v>3</v>
      </c>
      <c r="O716" s="14" t="n">
        <v>2</v>
      </c>
      <c r="P716" s="14" t="n">
        <v>1</v>
      </c>
      <c r="Q716" s="14"/>
      <c r="R716" s="12" t="n">
        <f aca="false">IF(OR(N716="",P716=""),"",ROUND(N716*O716/P716,1))</f>
        <v>6</v>
      </c>
      <c r="S716" s="13" t="n">
        <f aca="false">IF(R716="","",IF(Q716="Y",1,IF(P716&gt;='Read me'!$B$16,3,IF(AND(R716&gt;='Read me'!$B$14,P716&lt;='Read me'!$B$15),1,2))))</f>
        <v>1</v>
      </c>
    </row>
    <row r="717" customFormat="false" ht="23.85" hidden="false" customHeight="false" outlineLevel="0" collapsed="false">
      <c r="A717" s="11" t="s">
        <v>4653</v>
      </c>
      <c r="B717" s="11" t="s">
        <v>37</v>
      </c>
      <c r="C717" s="11" t="s">
        <v>198</v>
      </c>
      <c r="D717" s="11" t="s">
        <v>199</v>
      </c>
      <c r="E717" s="11" t="s">
        <v>532</v>
      </c>
      <c r="F717" s="11" t="s">
        <v>4654</v>
      </c>
      <c r="G717" s="11" t="s">
        <v>4544</v>
      </c>
      <c r="H717" s="11"/>
      <c r="I717" s="11" t="s">
        <v>4655</v>
      </c>
      <c r="J717" s="11" t="s">
        <v>4656</v>
      </c>
      <c r="K717" s="11" t="s">
        <v>4657</v>
      </c>
      <c r="L717" s="11" t="s">
        <v>4658</v>
      </c>
      <c r="M717" s="11"/>
      <c r="N717" s="14" t="n">
        <v>2</v>
      </c>
      <c r="O717" s="14" t="n">
        <v>3</v>
      </c>
      <c r="P717" s="14" t="n">
        <v>1</v>
      </c>
      <c r="Q717" s="14"/>
      <c r="R717" s="12" t="n">
        <f aca="false">IF(OR(N717="",P717=""),"",ROUND(N717*O717/P717,1))</f>
        <v>6</v>
      </c>
      <c r="S717" s="13" t="n">
        <f aca="false">IF(R717="","",IF(Q717="Y",1,IF(P717&gt;='Read me'!$B$16,3,IF(AND(R717&gt;='Read me'!$B$14,P717&lt;='Read me'!$B$15),1,2))))</f>
        <v>1</v>
      </c>
    </row>
    <row r="718" customFormat="false" ht="23.85" hidden="false" customHeight="false" outlineLevel="0" collapsed="false">
      <c r="A718" s="11" t="s">
        <v>4659</v>
      </c>
      <c r="B718" s="11" t="s">
        <v>37</v>
      </c>
      <c r="C718" s="11" t="s">
        <v>198</v>
      </c>
      <c r="D718" s="11" t="s">
        <v>199</v>
      </c>
      <c r="E718" s="11" t="s">
        <v>532</v>
      </c>
      <c r="F718" s="11" t="s">
        <v>4660</v>
      </c>
      <c r="G718" s="11" t="s">
        <v>3797</v>
      </c>
      <c r="H718" s="11"/>
      <c r="I718" s="11" t="s">
        <v>4661</v>
      </c>
      <c r="J718" s="11" t="s">
        <v>4662</v>
      </c>
      <c r="K718" s="11" t="s">
        <v>4663</v>
      </c>
      <c r="L718" s="11" t="s">
        <v>4664</v>
      </c>
      <c r="M718" s="11"/>
      <c r="N718" s="14" t="n">
        <v>2</v>
      </c>
      <c r="O718" s="14" t="n">
        <v>5</v>
      </c>
      <c r="P718" s="14" t="n">
        <v>2</v>
      </c>
      <c r="Q718" s="14"/>
      <c r="R718" s="12" t="n">
        <f aca="false">IF(OR(N718="",P718=""),"",ROUND(N718*O718/P718,1))</f>
        <v>5</v>
      </c>
      <c r="S718" s="13" t="n">
        <f aca="false">IF(R718="","",IF(Q718="Y",1,IF(P718&gt;='Read me'!$B$16,3,IF(AND(R718&gt;='Read me'!$B$14,P718&lt;='Read me'!$B$15),1,2))))</f>
        <v>2</v>
      </c>
    </row>
    <row r="719" customFormat="false" ht="23.85" hidden="false" customHeight="false" outlineLevel="0" collapsed="false">
      <c r="A719" s="11" t="s">
        <v>4665</v>
      </c>
      <c r="B719" s="11" t="s">
        <v>37</v>
      </c>
      <c r="C719" s="11" t="s">
        <v>198</v>
      </c>
      <c r="D719" s="11" t="s">
        <v>199</v>
      </c>
      <c r="E719" s="11" t="s">
        <v>532</v>
      </c>
      <c r="F719" s="11" t="s">
        <v>4660</v>
      </c>
      <c r="G719" s="11" t="s">
        <v>4666</v>
      </c>
      <c r="H719" s="11" t="s">
        <v>2118</v>
      </c>
      <c r="I719" s="11" t="s">
        <v>4667</v>
      </c>
      <c r="J719" s="11" t="s">
        <v>4668</v>
      </c>
      <c r="K719" s="11" t="s">
        <v>813</v>
      </c>
      <c r="L719" s="11" t="s">
        <v>4535</v>
      </c>
      <c r="M719" s="11"/>
      <c r="N719" s="14" t="n">
        <v>1</v>
      </c>
      <c r="O719" s="14" t="n">
        <v>2</v>
      </c>
      <c r="P719" s="14" t="n">
        <v>1</v>
      </c>
      <c r="Q719" s="14"/>
      <c r="R719" s="12" t="n">
        <f aca="false">IF(OR(N719="",P719=""),"",ROUND(N719*O719/P719,1))</f>
        <v>2</v>
      </c>
      <c r="S719" s="13" t="n">
        <f aca="false">IF(R719="","",IF(Q719="Y",1,IF(P719&gt;='Read me'!$B$16,3,IF(AND(R719&gt;='Read me'!$B$14,P719&lt;='Read me'!$B$15),1,2))))</f>
        <v>2</v>
      </c>
    </row>
    <row r="720" customFormat="false" ht="23.85" hidden="false" customHeight="false" outlineLevel="0" collapsed="false">
      <c r="A720" s="11" t="s">
        <v>4669</v>
      </c>
      <c r="B720" s="11" t="s">
        <v>37</v>
      </c>
      <c r="C720" s="11" t="s">
        <v>198</v>
      </c>
      <c r="D720" s="11" t="s">
        <v>199</v>
      </c>
      <c r="E720" s="11" t="s">
        <v>751</v>
      </c>
      <c r="F720" s="11" t="s">
        <v>4670</v>
      </c>
      <c r="G720" s="11" t="s">
        <v>1671</v>
      </c>
      <c r="H720" s="11"/>
      <c r="I720" s="11" t="s">
        <v>4671</v>
      </c>
      <c r="J720" s="11" t="s">
        <v>4672</v>
      </c>
      <c r="K720" s="11" t="s">
        <v>2571</v>
      </c>
      <c r="L720" s="11" t="s">
        <v>4673</v>
      </c>
      <c r="M720" s="11" t="s">
        <v>1577</v>
      </c>
      <c r="N720" s="14" t="n">
        <v>2</v>
      </c>
      <c r="O720" s="14" t="n">
        <v>3</v>
      </c>
      <c r="P720" s="14" t="n">
        <v>3</v>
      </c>
      <c r="Q720" s="14"/>
      <c r="R720" s="12" t="n">
        <f aca="false">IF(OR(N720="",P720=""),"",ROUND(N720*O720/P720,1))</f>
        <v>2</v>
      </c>
      <c r="S720" s="13" t="n">
        <f aca="false">IF(R720="","",IF(Q720="Y",1,IF(P720&gt;='Read me'!$B$16,3,IF(AND(R720&gt;='Read me'!$B$14,P720&lt;='Read me'!$B$15),1,2))))</f>
        <v>2</v>
      </c>
    </row>
    <row r="721" customFormat="false" ht="23.85" hidden="false" customHeight="false" outlineLevel="0" collapsed="false">
      <c r="A721" s="11" t="s">
        <v>4674</v>
      </c>
      <c r="B721" s="11" t="s">
        <v>37</v>
      </c>
      <c r="C721" s="11" t="s">
        <v>198</v>
      </c>
      <c r="D721" s="11" t="s">
        <v>199</v>
      </c>
      <c r="E721" s="11" t="s">
        <v>765</v>
      </c>
      <c r="F721" s="11" t="s">
        <v>4675</v>
      </c>
      <c r="G721" s="11" t="s">
        <v>822</v>
      </c>
      <c r="H721" s="11"/>
      <c r="I721" s="11" t="s">
        <v>4676</v>
      </c>
      <c r="J721" s="11" t="s">
        <v>4677</v>
      </c>
      <c r="K721" s="11" t="s">
        <v>870</v>
      </c>
      <c r="L721" s="11"/>
      <c r="M721" s="11"/>
      <c r="N721" s="14" t="n">
        <v>2</v>
      </c>
      <c r="O721" s="14" t="n">
        <v>2</v>
      </c>
      <c r="P721" s="14" t="n">
        <v>1</v>
      </c>
      <c r="Q721" s="14"/>
      <c r="R721" s="12" t="n">
        <f aca="false">IF(OR(N721="",P721=""),"",ROUND(N721*O721/P721,1))</f>
        <v>4</v>
      </c>
      <c r="S721" s="13" t="n">
        <f aca="false">IF(R721="","",IF(Q721="Y",1,IF(P721&gt;='Read me'!$B$16,3,IF(AND(R721&gt;='Read me'!$B$14,P721&lt;='Read me'!$B$15),1,2))))</f>
        <v>2</v>
      </c>
    </row>
    <row r="722" customFormat="false" ht="23.85" hidden="false" customHeight="false" outlineLevel="0" collapsed="false">
      <c r="A722" s="11" t="s">
        <v>4678</v>
      </c>
      <c r="B722" s="11" t="s">
        <v>37</v>
      </c>
      <c r="C722" s="11" t="s">
        <v>198</v>
      </c>
      <c r="D722" s="11" t="s">
        <v>199</v>
      </c>
      <c r="E722" s="11" t="s">
        <v>765</v>
      </c>
      <c r="F722" s="11" t="s">
        <v>4679</v>
      </c>
      <c r="G722" s="11" t="s">
        <v>4680</v>
      </c>
      <c r="H722" s="11"/>
      <c r="I722" s="11" t="s">
        <v>4681</v>
      </c>
      <c r="J722" s="11" t="s">
        <v>4682</v>
      </c>
      <c r="K722" s="11" t="s">
        <v>1993</v>
      </c>
      <c r="L722" s="11" t="s">
        <v>4683</v>
      </c>
      <c r="M722" s="11"/>
      <c r="N722" s="14" t="n">
        <v>1</v>
      </c>
      <c r="O722" s="14" t="n">
        <v>3</v>
      </c>
      <c r="P722" s="14" t="n">
        <v>3</v>
      </c>
      <c r="Q722" s="14"/>
      <c r="R722" s="12" t="n">
        <f aca="false">IF(OR(N722="",P722=""),"",ROUND(N722*O722/P722,1))</f>
        <v>1</v>
      </c>
      <c r="S722" s="13" t="n">
        <f aca="false">IF(R722="","",IF(Q722="Y",1,IF(P722&gt;='Read me'!$B$16,3,IF(AND(R722&gt;='Read me'!$B$14,P722&lt;='Read me'!$B$15),1,2))))</f>
        <v>2</v>
      </c>
    </row>
    <row r="723" customFormat="false" ht="35.05" hidden="false" customHeight="false" outlineLevel="0" collapsed="false">
      <c r="A723" s="11" t="s">
        <v>4684</v>
      </c>
      <c r="B723" s="11" t="s">
        <v>37</v>
      </c>
      <c r="C723" s="11" t="s">
        <v>198</v>
      </c>
      <c r="D723" s="11" t="s">
        <v>199</v>
      </c>
      <c r="E723" s="11" t="s">
        <v>765</v>
      </c>
      <c r="F723" s="11" t="s">
        <v>4685</v>
      </c>
      <c r="G723" s="11" t="s">
        <v>4686</v>
      </c>
      <c r="H723" s="11"/>
      <c r="I723" s="11" t="s">
        <v>4687</v>
      </c>
      <c r="J723" s="11" t="s">
        <v>4688</v>
      </c>
      <c r="K723" s="11" t="s">
        <v>4369</v>
      </c>
      <c r="L723" s="11" t="s">
        <v>4689</v>
      </c>
      <c r="M723" s="11" t="s">
        <v>3376</v>
      </c>
      <c r="N723" s="14" t="n">
        <v>1</v>
      </c>
      <c r="O723" s="14" t="n">
        <v>2</v>
      </c>
      <c r="P723" s="14" t="n">
        <v>1</v>
      </c>
      <c r="Q723" s="14"/>
      <c r="R723" s="12" t="n">
        <f aca="false">IF(OR(N723="",P723=""),"",ROUND(N723*O723/P723,1))</f>
        <v>2</v>
      </c>
      <c r="S723" s="13" t="n">
        <f aca="false">IF(R723="","",IF(Q723="Y",1,IF(P723&gt;='Read me'!$B$16,3,IF(AND(R723&gt;='Read me'!$B$14,P723&lt;='Read me'!$B$15),1,2))))</f>
        <v>2</v>
      </c>
    </row>
    <row r="724" customFormat="false" ht="23.85" hidden="false" customHeight="false" outlineLevel="0" collapsed="false">
      <c r="A724" s="11" t="s">
        <v>4690</v>
      </c>
      <c r="B724" s="11" t="s">
        <v>37</v>
      </c>
      <c r="C724" s="11" t="s">
        <v>198</v>
      </c>
      <c r="D724" s="11" t="s">
        <v>199</v>
      </c>
      <c r="E724" s="11" t="s">
        <v>1187</v>
      </c>
      <c r="F724" s="11" t="s">
        <v>4691</v>
      </c>
      <c r="G724" s="11" t="s">
        <v>4692</v>
      </c>
      <c r="H724" s="11" t="s">
        <v>4693</v>
      </c>
      <c r="I724" s="11" t="s">
        <v>4694</v>
      </c>
      <c r="J724" s="11" t="s">
        <v>4695</v>
      </c>
      <c r="K724" s="11" t="s">
        <v>935</v>
      </c>
      <c r="L724" s="11" t="s">
        <v>4696</v>
      </c>
      <c r="M724" s="11"/>
      <c r="N724" s="14" t="n">
        <v>1</v>
      </c>
      <c r="O724" s="14" t="n">
        <v>1</v>
      </c>
      <c r="P724" s="14" t="n">
        <v>3</v>
      </c>
      <c r="Q724" s="14"/>
      <c r="R724" s="12" t="n">
        <f aca="false">IF(OR(N724="",P724=""),"",ROUND(N724*O724/P724,1))</f>
        <v>0.3</v>
      </c>
      <c r="S724" s="13" t="n">
        <f aca="false">IF(R724="","",IF(Q724="Y",1,IF(P724&gt;='Read me'!$B$16,3,IF(AND(R724&gt;='Read me'!$B$14,P724&lt;='Read me'!$B$15),1,2))))</f>
        <v>2</v>
      </c>
    </row>
    <row r="725" customFormat="false" ht="23.85" hidden="false" customHeight="false" outlineLevel="0" collapsed="false">
      <c r="A725" s="11" t="s">
        <v>4697</v>
      </c>
      <c r="B725" s="11" t="s">
        <v>37</v>
      </c>
      <c r="C725" s="11" t="s">
        <v>198</v>
      </c>
      <c r="D725" s="11" t="s">
        <v>199</v>
      </c>
      <c r="E725" s="11" t="s">
        <v>1133</v>
      </c>
      <c r="F725" s="11" t="s">
        <v>4698</v>
      </c>
      <c r="G725" s="11" t="s">
        <v>4699</v>
      </c>
      <c r="H725" s="11"/>
      <c r="I725" s="11" t="s">
        <v>4700</v>
      </c>
      <c r="J725" s="11" t="s">
        <v>4701</v>
      </c>
      <c r="K725" s="11" t="s">
        <v>4702</v>
      </c>
      <c r="L725" s="11"/>
      <c r="M725" s="11"/>
      <c r="N725" s="14" t="n">
        <v>1</v>
      </c>
      <c r="O725" s="14" t="n">
        <v>2</v>
      </c>
      <c r="P725" s="14" t="n">
        <v>1</v>
      </c>
      <c r="Q725" s="14"/>
      <c r="R725" s="12" t="n">
        <f aca="false">IF(OR(N725="",P725=""),"",ROUND(N725*O725/P725,1))</f>
        <v>2</v>
      </c>
      <c r="S725" s="13" t="n">
        <f aca="false">IF(R725="","",IF(Q725="Y",1,IF(P725&gt;='Read me'!$B$16,3,IF(AND(R725&gt;='Read me'!$B$14,P725&lt;='Read me'!$B$15),1,2))))</f>
        <v>2</v>
      </c>
    </row>
    <row r="726" customFormat="false" ht="35.05" hidden="false" customHeight="false" outlineLevel="0" collapsed="false">
      <c r="A726" s="11" t="s">
        <v>4703</v>
      </c>
      <c r="B726" s="11" t="s">
        <v>38</v>
      </c>
      <c r="C726" s="11" t="s">
        <v>202</v>
      </c>
      <c r="D726" s="11" t="s">
        <v>203</v>
      </c>
      <c r="E726" s="11" t="s">
        <v>476</v>
      </c>
      <c r="F726" s="11" t="s">
        <v>4704</v>
      </c>
      <c r="G726" s="11" t="s">
        <v>4705</v>
      </c>
      <c r="H726" s="11"/>
      <c r="I726" s="11" t="s">
        <v>4706</v>
      </c>
      <c r="J726" s="11" t="s">
        <v>4707</v>
      </c>
      <c r="K726" s="11" t="s">
        <v>4708</v>
      </c>
      <c r="L726" s="11" t="s">
        <v>4709</v>
      </c>
      <c r="M726" s="11" t="s">
        <v>4710</v>
      </c>
      <c r="N726" s="14" t="n">
        <v>4</v>
      </c>
      <c r="O726" s="14" t="n">
        <v>3</v>
      </c>
      <c r="P726" s="14" t="n">
        <v>1</v>
      </c>
      <c r="Q726" s="14"/>
      <c r="R726" s="12" t="n">
        <f aca="false">IF(OR(N726="",P726=""),"",ROUND(N726*O726/P726,1))</f>
        <v>12</v>
      </c>
      <c r="S726" s="13" t="n">
        <f aca="false">IF(R726="","",IF(Q726="Y",1,IF(P726&gt;='Read me'!$B$16,3,IF(AND(R726&gt;='Read me'!$B$14,P726&lt;='Read me'!$B$15),1,2))))</f>
        <v>1</v>
      </c>
    </row>
    <row r="727" customFormat="false" ht="35.05" hidden="false" customHeight="false" outlineLevel="0" collapsed="false">
      <c r="A727" s="11" t="s">
        <v>4711</v>
      </c>
      <c r="B727" s="11" t="s">
        <v>38</v>
      </c>
      <c r="C727" s="11" t="s">
        <v>202</v>
      </c>
      <c r="D727" s="11" t="s">
        <v>203</v>
      </c>
      <c r="E727" s="11" t="s">
        <v>476</v>
      </c>
      <c r="F727" s="11" t="s">
        <v>4712</v>
      </c>
      <c r="G727" s="11" t="s">
        <v>4713</v>
      </c>
      <c r="H727" s="11"/>
      <c r="I727" s="11" t="s">
        <v>512</v>
      </c>
      <c r="J727" s="11" t="s">
        <v>4714</v>
      </c>
      <c r="K727" s="11" t="s">
        <v>4715</v>
      </c>
      <c r="L727" s="11" t="s">
        <v>515</v>
      </c>
      <c r="M727" s="11" t="s">
        <v>4716</v>
      </c>
      <c r="N727" s="14" t="n">
        <v>3</v>
      </c>
      <c r="O727" s="14" t="n">
        <v>3</v>
      </c>
      <c r="P727" s="14" t="n">
        <v>2</v>
      </c>
      <c r="Q727" s="14"/>
      <c r="R727" s="12" t="n">
        <f aca="false">IF(OR(N727="",P727=""),"",ROUND(N727*O727/P727,1))</f>
        <v>4.5</v>
      </c>
      <c r="S727" s="13" t="n">
        <f aca="false">IF(R727="","",IF(Q727="Y",1,IF(P727&gt;='Read me'!$B$16,3,IF(AND(R727&gt;='Read me'!$B$14,P727&lt;='Read me'!$B$15),1,2))))</f>
        <v>2</v>
      </c>
    </row>
    <row r="728" customFormat="false" ht="23.85" hidden="false" customHeight="false" outlineLevel="0" collapsed="false">
      <c r="A728" s="11" t="s">
        <v>4717</v>
      </c>
      <c r="B728" s="11" t="s">
        <v>38</v>
      </c>
      <c r="C728" s="11" t="s">
        <v>202</v>
      </c>
      <c r="D728" s="11" t="s">
        <v>203</v>
      </c>
      <c r="E728" s="11" t="s">
        <v>532</v>
      </c>
      <c r="F728" s="11" t="s">
        <v>4718</v>
      </c>
      <c r="G728" s="11" t="s">
        <v>4719</v>
      </c>
      <c r="H728" s="11"/>
      <c r="I728" s="11" t="s">
        <v>4720</v>
      </c>
      <c r="J728" s="11" t="s">
        <v>4721</v>
      </c>
      <c r="K728" s="11" t="s">
        <v>4722</v>
      </c>
      <c r="L728" s="11" t="s">
        <v>4723</v>
      </c>
      <c r="M728" s="11" t="s">
        <v>4724</v>
      </c>
      <c r="N728" s="14" t="n">
        <v>5</v>
      </c>
      <c r="O728" s="14" t="n">
        <v>4</v>
      </c>
      <c r="P728" s="14" t="n">
        <v>2</v>
      </c>
      <c r="Q728" s="14"/>
      <c r="R728" s="12" t="n">
        <f aca="false">IF(OR(N728="",P728=""),"",ROUND(N728*O728/P728,1))</f>
        <v>10</v>
      </c>
      <c r="S728" s="13" t="n">
        <f aca="false">IF(R728="","",IF(Q728="Y",1,IF(P728&gt;='Read me'!$B$16,3,IF(AND(R728&gt;='Read me'!$B$14,P728&lt;='Read me'!$B$15),1,2))))</f>
        <v>1</v>
      </c>
    </row>
    <row r="729" customFormat="false" ht="23.85" hidden="false" customHeight="false" outlineLevel="0" collapsed="false">
      <c r="A729" s="11" t="s">
        <v>4725</v>
      </c>
      <c r="B729" s="11" t="s">
        <v>38</v>
      </c>
      <c r="C729" s="11" t="s">
        <v>202</v>
      </c>
      <c r="D729" s="11" t="s">
        <v>203</v>
      </c>
      <c r="E729" s="11" t="s">
        <v>532</v>
      </c>
      <c r="F729" s="11" t="s">
        <v>4718</v>
      </c>
      <c r="G729" s="11" t="s">
        <v>4726</v>
      </c>
      <c r="H729" s="11"/>
      <c r="I729" s="11" t="s">
        <v>4727</v>
      </c>
      <c r="J729" s="11" t="s">
        <v>4728</v>
      </c>
      <c r="K729" s="11" t="s">
        <v>4729</v>
      </c>
      <c r="L729" s="11" t="s">
        <v>4730</v>
      </c>
      <c r="M729" s="11"/>
      <c r="N729" s="14" t="n">
        <v>4</v>
      </c>
      <c r="O729" s="14" t="n">
        <v>4</v>
      </c>
      <c r="P729" s="14" t="n">
        <v>2</v>
      </c>
      <c r="Q729" s="14"/>
      <c r="R729" s="12" t="n">
        <f aca="false">IF(OR(N729="",P729=""),"",ROUND(N729*O729/P729,1))</f>
        <v>8</v>
      </c>
      <c r="S729" s="13" t="n">
        <f aca="false">IF(R729="","",IF(Q729="Y",1,IF(P729&gt;='Read me'!$B$16,3,IF(AND(R729&gt;='Read me'!$B$14,P729&lt;='Read me'!$B$15),1,2))))</f>
        <v>1</v>
      </c>
    </row>
    <row r="730" customFormat="false" ht="23.85" hidden="false" customHeight="false" outlineLevel="0" collapsed="false">
      <c r="A730" s="11" t="s">
        <v>4731</v>
      </c>
      <c r="B730" s="11" t="s">
        <v>38</v>
      </c>
      <c r="C730" s="11" t="s">
        <v>202</v>
      </c>
      <c r="D730" s="11" t="s">
        <v>203</v>
      </c>
      <c r="E730" s="11" t="s">
        <v>532</v>
      </c>
      <c r="F730" s="11" t="s">
        <v>4718</v>
      </c>
      <c r="G730" s="11" t="s">
        <v>597</v>
      </c>
      <c r="H730" s="11"/>
      <c r="I730" s="11" t="s">
        <v>4732</v>
      </c>
      <c r="J730" s="11" t="s">
        <v>4733</v>
      </c>
      <c r="K730" s="11" t="s">
        <v>4734</v>
      </c>
      <c r="L730" s="11" t="s">
        <v>601</v>
      </c>
      <c r="M730" s="11"/>
      <c r="N730" s="14" t="n">
        <v>3</v>
      </c>
      <c r="O730" s="14" t="n">
        <v>3</v>
      </c>
      <c r="P730" s="14" t="n">
        <v>1</v>
      </c>
      <c r="Q730" s="14"/>
      <c r="R730" s="12" t="n">
        <f aca="false">IF(OR(N730="",P730=""),"",ROUND(N730*O730/P730,1))</f>
        <v>9</v>
      </c>
      <c r="S730" s="13" t="n">
        <f aca="false">IF(R730="","",IF(Q730="Y",1,IF(P730&gt;='Read me'!$B$16,3,IF(AND(R730&gt;='Read me'!$B$14,P730&lt;='Read me'!$B$15),1,2))))</f>
        <v>1</v>
      </c>
    </row>
    <row r="731" customFormat="false" ht="23.85" hidden="false" customHeight="false" outlineLevel="0" collapsed="false">
      <c r="A731" s="11" t="s">
        <v>4735</v>
      </c>
      <c r="B731" s="11" t="s">
        <v>38</v>
      </c>
      <c r="C731" s="11" t="s">
        <v>202</v>
      </c>
      <c r="D731" s="11" t="s">
        <v>203</v>
      </c>
      <c r="E731" s="11" t="s">
        <v>532</v>
      </c>
      <c r="F731" s="11" t="s">
        <v>4718</v>
      </c>
      <c r="G731" s="11" t="s">
        <v>4736</v>
      </c>
      <c r="H731" s="11"/>
      <c r="I731" s="11" t="s">
        <v>4737</v>
      </c>
      <c r="J731" s="11" t="s">
        <v>4738</v>
      </c>
      <c r="K731" s="11" t="s">
        <v>4739</v>
      </c>
      <c r="L731" s="11" t="s">
        <v>4740</v>
      </c>
      <c r="M731" s="11"/>
      <c r="N731" s="14" t="n">
        <v>3</v>
      </c>
      <c r="O731" s="14" t="n">
        <v>3</v>
      </c>
      <c r="P731" s="14" t="n">
        <v>1</v>
      </c>
      <c r="Q731" s="14"/>
      <c r="R731" s="12" t="n">
        <f aca="false">IF(OR(N731="",P731=""),"",ROUND(N731*O731/P731,1))</f>
        <v>9</v>
      </c>
      <c r="S731" s="13" t="n">
        <f aca="false">IF(R731="","",IF(Q731="Y",1,IF(P731&gt;='Read me'!$B$16,3,IF(AND(R731&gt;='Read me'!$B$14,P731&lt;='Read me'!$B$15),1,2))))</f>
        <v>1</v>
      </c>
    </row>
    <row r="732" customFormat="false" ht="35.05" hidden="false" customHeight="false" outlineLevel="0" collapsed="false">
      <c r="A732" s="11" t="s">
        <v>4741</v>
      </c>
      <c r="B732" s="11" t="s">
        <v>38</v>
      </c>
      <c r="C732" s="11" t="s">
        <v>202</v>
      </c>
      <c r="D732" s="11" t="s">
        <v>203</v>
      </c>
      <c r="E732" s="11" t="s">
        <v>532</v>
      </c>
      <c r="F732" s="11" t="s">
        <v>4718</v>
      </c>
      <c r="G732" s="11" t="s">
        <v>4742</v>
      </c>
      <c r="H732" s="11"/>
      <c r="I732" s="11" t="s">
        <v>4743</v>
      </c>
      <c r="J732" s="11" t="s">
        <v>4744</v>
      </c>
      <c r="K732" s="11" t="s">
        <v>4745</v>
      </c>
      <c r="L732" s="11" t="s">
        <v>4746</v>
      </c>
      <c r="M732" s="11" t="s">
        <v>4716</v>
      </c>
      <c r="N732" s="14" t="n">
        <v>2</v>
      </c>
      <c r="O732" s="14" t="n">
        <v>3</v>
      </c>
      <c r="P732" s="14" t="n">
        <v>2</v>
      </c>
      <c r="Q732" s="14"/>
      <c r="R732" s="12" t="n">
        <f aca="false">IF(OR(N732="",P732=""),"",ROUND(N732*O732/P732,1))</f>
        <v>3</v>
      </c>
      <c r="S732" s="13" t="n">
        <f aca="false">IF(R732="","",IF(Q732="Y",1,IF(P732&gt;='Read me'!$B$16,3,IF(AND(R732&gt;='Read me'!$B$14,P732&lt;='Read me'!$B$15),1,2))))</f>
        <v>2</v>
      </c>
    </row>
    <row r="733" customFormat="false" ht="23.85" hidden="false" customHeight="false" outlineLevel="0" collapsed="false">
      <c r="A733" s="11" t="s">
        <v>4747</v>
      </c>
      <c r="B733" s="11" t="s">
        <v>38</v>
      </c>
      <c r="C733" s="11" t="s">
        <v>202</v>
      </c>
      <c r="D733" s="11" t="s">
        <v>203</v>
      </c>
      <c r="E733" s="11" t="s">
        <v>532</v>
      </c>
      <c r="F733" s="11" t="s">
        <v>4748</v>
      </c>
      <c r="G733" s="11" t="s">
        <v>4749</v>
      </c>
      <c r="H733" s="11"/>
      <c r="I733" s="11" t="s">
        <v>4750</v>
      </c>
      <c r="J733" s="11" t="s">
        <v>4751</v>
      </c>
      <c r="K733" s="11" t="s">
        <v>4739</v>
      </c>
      <c r="L733" s="11" t="s">
        <v>4752</v>
      </c>
      <c r="M733" s="11"/>
      <c r="N733" s="14" t="n">
        <v>3</v>
      </c>
      <c r="O733" s="14" t="n">
        <v>3</v>
      </c>
      <c r="P733" s="14" t="n">
        <v>1</v>
      </c>
      <c r="Q733" s="14"/>
      <c r="R733" s="12" t="n">
        <f aca="false">IF(OR(N733="",P733=""),"",ROUND(N733*O733/P733,1))</f>
        <v>9</v>
      </c>
      <c r="S733" s="13" t="n">
        <f aca="false">IF(R733="","",IF(Q733="Y",1,IF(P733&gt;='Read me'!$B$16,3,IF(AND(R733&gt;='Read me'!$B$14,P733&lt;='Read me'!$B$15),1,2))))</f>
        <v>1</v>
      </c>
    </row>
    <row r="734" customFormat="false" ht="23.85" hidden="false" customHeight="false" outlineLevel="0" collapsed="false">
      <c r="A734" s="11" t="s">
        <v>4753</v>
      </c>
      <c r="B734" s="11" t="s">
        <v>38</v>
      </c>
      <c r="C734" s="11" t="s">
        <v>202</v>
      </c>
      <c r="D734" s="11" t="s">
        <v>203</v>
      </c>
      <c r="E734" s="11" t="s">
        <v>532</v>
      </c>
      <c r="F734" s="11" t="s">
        <v>4754</v>
      </c>
      <c r="G734" s="11" t="s">
        <v>4755</v>
      </c>
      <c r="H734" s="11"/>
      <c r="I734" s="11" t="s">
        <v>4756</v>
      </c>
      <c r="J734" s="11" t="s">
        <v>4757</v>
      </c>
      <c r="K734" s="11" t="s">
        <v>4758</v>
      </c>
      <c r="L734" s="11" t="s">
        <v>4759</v>
      </c>
      <c r="M734" s="11"/>
      <c r="N734" s="14" t="n">
        <v>3</v>
      </c>
      <c r="O734" s="14" t="n">
        <v>2</v>
      </c>
      <c r="P734" s="14" t="n">
        <v>1</v>
      </c>
      <c r="Q734" s="14"/>
      <c r="R734" s="12" t="n">
        <f aca="false">IF(OR(N734="",P734=""),"",ROUND(N734*O734/P734,1))</f>
        <v>6</v>
      </c>
      <c r="S734" s="13" t="n">
        <f aca="false">IF(R734="","",IF(Q734="Y",1,IF(P734&gt;='Read me'!$B$16,3,IF(AND(R734&gt;='Read me'!$B$14,P734&lt;='Read me'!$B$15),1,2))))</f>
        <v>1</v>
      </c>
    </row>
    <row r="735" customFormat="false" ht="23.85" hidden="false" customHeight="false" outlineLevel="0" collapsed="false">
      <c r="A735" s="11" t="s">
        <v>4760</v>
      </c>
      <c r="B735" s="11" t="s">
        <v>38</v>
      </c>
      <c r="C735" s="11" t="s">
        <v>202</v>
      </c>
      <c r="D735" s="11" t="s">
        <v>203</v>
      </c>
      <c r="E735" s="11" t="s">
        <v>626</v>
      </c>
      <c r="F735" s="11" t="s">
        <v>4761</v>
      </c>
      <c r="G735" s="11" t="s">
        <v>4762</v>
      </c>
      <c r="H735" s="11"/>
      <c r="I735" s="11" t="s">
        <v>4763</v>
      </c>
      <c r="J735" s="11" t="s">
        <v>4764</v>
      </c>
      <c r="K735" s="11" t="s">
        <v>4765</v>
      </c>
      <c r="L735" s="11" t="s">
        <v>4766</v>
      </c>
      <c r="M735" s="11"/>
      <c r="N735" s="14" t="n">
        <v>3</v>
      </c>
      <c r="O735" s="14" t="n">
        <v>2</v>
      </c>
      <c r="P735" s="14" t="n">
        <v>1</v>
      </c>
      <c r="Q735" s="14"/>
      <c r="R735" s="12" t="n">
        <f aca="false">IF(OR(N735="",P735=""),"",ROUND(N735*O735/P735,1))</f>
        <v>6</v>
      </c>
      <c r="S735" s="13" t="n">
        <f aca="false">IF(R735="","",IF(Q735="Y",1,IF(P735&gt;='Read me'!$B$16,3,IF(AND(R735&gt;='Read me'!$B$14,P735&lt;='Read me'!$B$15),1,2))))</f>
        <v>1</v>
      </c>
    </row>
    <row r="736" customFormat="false" ht="23.85" hidden="false" customHeight="false" outlineLevel="0" collapsed="false">
      <c r="A736" s="11" t="s">
        <v>4767</v>
      </c>
      <c r="B736" s="11" t="s">
        <v>38</v>
      </c>
      <c r="C736" s="11" t="s">
        <v>202</v>
      </c>
      <c r="D736" s="11" t="s">
        <v>203</v>
      </c>
      <c r="E736" s="11" t="s">
        <v>626</v>
      </c>
      <c r="F736" s="11" t="s">
        <v>4768</v>
      </c>
      <c r="G736" s="11" t="s">
        <v>4769</v>
      </c>
      <c r="H736" s="11"/>
      <c r="I736" s="11" t="s">
        <v>4770</v>
      </c>
      <c r="J736" s="11" t="s">
        <v>4771</v>
      </c>
      <c r="K736" s="11" t="s">
        <v>4772</v>
      </c>
      <c r="L736" s="11" t="s">
        <v>4773</v>
      </c>
      <c r="M736" s="11"/>
      <c r="N736" s="14" t="n">
        <v>3</v>
      </c>
      <c r="O736" s="14" t="n">
        <v>3</v>
      </c>
      <c r="P736" s="14" t="n">
        <v>2</v>
      </c>
      <c r="Q736" s="14"/>
      <c r="R736" s="12" t="n">
        <f aca="false">IF(OR(N736="",P736=""),"",ROUND(N736*O736/P736,1))</f>
        <v>4.5</v>
      </c>
      <c r="S736" s="13" t="n">
        <f aca="false">IF(R736="","",IF(Q736="Y",1,IF(P736&gt;='Read me'!$B$16,3,IF(AND(R736&gt;='Read me'!$B$14,P736&lt;='Read me'!$B$15),1,2))))</f>
        <v>2</v>
      </c>
    </row>
    <row r="737" customFormat="false" ht="35.05" hidden="false" customHeight="false" outlineLevel="0" collapsed="false">
      <c r="A737" s="11" t="s">
        <v>4774</v>
      </c>
      <c r="B737" s="11" t="s">
        <v>38</v>
      </c>
      <c r="C737" s="11" t="s">
        <v>202</v>
      </c>
      <c r="D737" s="11" t="s">
        <v>203</v>
      </c>
      <c r="E737" s="11" t="s">
        <v>751</v>
      </c>
      <c r="F737" s="11" t="s">
        <v>4775</v>
      </c>
      <c r="G737" s="11" t="s">
        <v>1252</v>
      </c>
      <c r="H737" s="11"/>
      <c r="I737" s="11" t="s">
        <v>1251</v>
      </c>
      <c r="J737" s="11" t="s">
        <v>4776</v>
      </c>
      <c r="K737" s="11" t="s">
        <v>4777</v>
      </c>
      <c r="L737" s="11" t="s">
        <v>4778</v>
      </c>
      <c r="M737" s="11" t="s">
        <v>1577</v>
      </c>
      <c r="N737" s="14" t="n">
        <v>5</v>
      </c>
      <c r="O737" s="14" t="n">
        <v>4</v>
      </c>
      <c r="P737" s="14" t="n">
        <v>3</v>
      </c>
      <c r="Q737" s="14"/>
      <c r="R737" s="12" t="n">
        <f aca="false">IF(OR(N737="",P737=""),"",ROUND(N737*O737/P737,1))</f>
        <v>6.7</v>
      </c>
      <c r="S737" s="13" t="n">
        <f aca="false">IF(R737="","",IF(Q737="Y",1,IF(P737&gt;='Read me'!$B$16,3,IF(AND(R737&gt;='Read me'!$B$14,P737&lt;='Read me'!$B$15),1,2))))</f>
        <v>2</v>
      </c>
    </row>
    <row r="738" customFormat="false" ht="23.85" hidden="false" customHeight="false" outlineLevel="0" collapsed="false">
      <c r="A738" s="11" t="s">
        <v>4779</v>
      </c>
      <c r="B738" s="11" t="s">
        <v>38</v>
      </c>
      <c r="C738" s="11" t="s">
        <v>202</v>
      </c>
      <c r="D738" s="11" t="s">
        <v>203</v>
      </c>
      <c r="E738" s="11" t="s">
        <v>751</v>
      </c>
      <c r="F738" s="11" t="s">
        <v>4775</v>
      </c>
      <c r="G738" s="11" t="s">
        <v>1259</v>
      </c>
      <c r="H738" s="11"/>
      <c r="I738" s="11" t="s">
        <v>1260</v>
      </c>
      <c r="J738" s="11" t="s">
        <v>4780</v>
      </c>
      <c r="K738" s="11" t="s">
        <v>1262</v>
      </c>
      <c r="L738" s="11" t="s">
        <v>1263</v>
      </c>
      <c r="M738" s="11" t="s">
        <v>1577</v>
      </c>
      <c r="N738" s="14" t="n">
        <v>4</v>
      </c>
      <c r="O738" s="14" t="n">
        <v>4</v>
      </c>
      <c r="P738" s="14" t="n">
        <v>3</v>
      </c>
      <c r="Q738" s="14"/>
      <c r="R738" s="12" t="n">
        <f aca="false">IF(OR(N738="",P738=""),"",ROUND(N738*O738/P738,1))</f>
        <v>5.3</v>
      </c>
      <c r="S738" s="13" t="n">
        <f aca="false">IF(R738="","",IF(Q738="Y",1,IF(P738&gt;='Read me'!$B$16,3,IF(AND(R738&gt;='Read me'!$B$14,P738&lt;='Read me'!$B$15),1,2))))</f>
        <v>2</v>
      </c>
    </row>
    <row r="739" customFormat="false" ht="23.85" hidden="false" customHeight="false" outlineLevel="0" collapsed="false">
      <c r="A739" s="11" t="s">
        <v>4781</v>
      </c>
      <c r="B739" s="11" t="s">
        <v>38</v>
      </c>
      <c r="C739" s="11" t="s">
        <v>202</v>
      </c>
      <c r="D739" s="11" t="s">
        <v>203</v>
      </c>
      <c r="E739" s="11" t="s">
        <v>751</v>
      </c>
      <c r="F739" s="11" t="s">
        <v>4775</v>
      </c>
      <c r="G739" s="11" t="s">
        <v>4782</v>
      </c>
      <c r="H739" s="11" t="s">
        <v>4783</v>
      </c>
      <c r="I739" s="11" t="s">
        <v>4784</v>
      </c>
      <c r="J739" s="11" t="s">
        <v>4785</v>
      </c>
      <c r="K739" s="11" t="s">
        <v>4786</v>
      </c>
      <c r="L739" s="11" t="s">
        <v>4787</v>
      </c>
      <c r="M739" s="11"/>
      <c r="N739" s="14" t="n">
        <v>3</v>
      </c>
      <c r="O739" s="14" t="n">
        <v>2</v>
      </c>
      <c r="P739" s="14" t="n">
        <v>1</v>
      </c>
      <c r="Q739" s="14"/>
      <c r="R739" s="12" t="n">
        <f aca="false">IF(OR(N739="",P739=""),"",ROUND(N739*O739/P739,1))</f>
        <v>6</v>
      </c>
      <c r="S739" s="13" t="n">
        <f aca="false">IF(R739="","",IF(Q739="Y",1,IF(P739&gt;='Read me'!$B$16,3,IF(AND(R739&gt;='Read me'!$B$14,P739&lt;='Read me'!$B$15),1,2))))</f>
        <v>1</v>
      </c>
    </row>
    <row r="740" customFormat="false" ht="23.85" hidden="false" customHeight="false" outlineLevel="0" collapsed="false">
      <c r="A740" s="11" t="s">
        <v>4788</v>
      </c>
      <c r="B740" s="11" t="s">
        <v>38</v>
      </c>
      <c r="C740" s="11" t="s">
        <v>202</v>
      </c>
      <c r="D740" s="11" t="s">
        <v>203</v>
      </c>
      <c r="E740" s="11" t="s">
        <v>751</v>
      </c>
      <c r="F740" s="11" t="s">
        <v>4775</v>
      </c>
      <c r="G740" s="11" t="s">
        <v>1299</v>
      </c>
      <c r="H740" s="11" t="s">
        <v>1564</v>
      </c>
      <c r="I740" s="11" t="s">
        <v>754</v>
      </c>
      <c r="J740" s="11" t="s">
        <v>4789</v>
      </c>
      <c r="K740" s="11" t="s">
        <v>1959</v>
      </c>
      <c r="L740" s="11" t="s">
        <v>1301</v>
      </c>
      <c r="M740" s="11"/>
      <c r="N740" s="14" t="n">
        <v>3</v>
      </c>
      <c r="O740" s="14" t="n">
        <v>3</v>
      </c>
      <c r="P740" s="14" t="n">
        <v>3</v>
      </c>
      <c r="Q740" s="14"/>
      <c r="R740" s="12" t="n">
        <f aca="false">IF(OR(N740="",P740=""),"",ROUND(N740*O740/P740,1))</f>
        <v>3</v>
      </c>
      <c r="S740" s="13" t="n">
        <f aca="false">IF(R740="","",IF(Q740="Y",1,IF(P740&gt;='Read me'!$B$16,3,IF(AND(R740&gt;='Read me'!$B$14,P740&lt;='Read me'!$B$15),1,2))))</f>
        <v>2</v>
      </c>
    </row>
    <row r="741" customFormat="false" ht="23.85" hidden="false" customHeight="false" outlineLevel="0" collapsed="false">
      <c r="A741" s="11" t="s">
        <v>4790</v>
      </c>
      <c r="B741" s="11" t="s">
        <v>38</v>
      </c>
      <c r="C741" s="11" t="s">
        <v>202</v>
      </c>
      <c r="D741" s="11" t="s">
        <v>203</v>
      </c>
      <c r="E741" s="11" t="s">
        <v>751</v>
      </c>
      <c r="F741" s="11" t="s">
        <v>4775</v>
      </c>
      <c r="G741" s="11" t="s">
        <v>4791</v>
      </c>
      <c r="H741" s="11" t="s">
        <v>1284</v>
      </c>
      <c r="I741" s="11" t="s">
        <v>754</v>
      </c>
      <c r="J741" s="11" t="s">
        <v>4792</v>
      </c>
      <c r="K741" s="11" t="s">
        <v>4793</v>
      </c>
      <c r="L741" s="11" t="s">
        <v>4794</v>
      </c>
      <c r="M741" s="11"/>
      <c r="N741" s="14" t="n">
        <v>2</v>
      </c>
      <c r="O741" s="14" t="n">
        <v>3</v>
      </c>
      <c r="P741" s="14" t="n">
        <v>4</v>
      </c>
      <c r="Q741" s="14"/>
      <c r="R741" s="12" t="n">
        <f aca="false">IF(OR(N741="",P741=""),"",ROUND(N741*O741/P741,1))</f>
        <v>1.5</v>
      </c>
      <c r="S741" s="13" t="n">
        <f aca="false">IF(R741="","",IF(Q741="Y",1,IF(P741&gt;='Read me'!$B$16,3,IF(AND(R741&gt;='Read me'!$B$14,P741&lt;='Read me'!$B$15),1,2))))</f>
        <v>3</v>
      </c>
    </row>
    <row r="742" customFormat="false" ht="23.85" hidden="false" customHeight="false" outlineLevel="0" collapsed="false">
      <c r="A742" s="11" t="s">
        <v>4795</v>
      </c>
      <c r="B742" s="11" t="s">
        <v>38</v>
      </c>
      <c r="C742" s="11" t="s">
        <v>202</v>
      </c>
      <c r="D742" s="11" t="s">
        <v>203</v>
      </c>
      <c r="E742" s="11" t="s">
        <v>802</v>
      </c>
      <c r="F742" s="11" t="s">
        <v>4796</v>
      </c>
      <c r="G742" s="11" t="s">
        <v>4797</v>
      </c>
      <c r="H742" s="11"/>
      <c r="I742" s="11" t="s">
        <v>4798</v>
      </c>
      <c r="J742" s="11" t="s">
        <v>4799</v>
      </c>
      <c r="K742" s="11" t="s">
        <v>4800</v>
      </c>
      <c r="L742" s="11" t="s">
        <v>4801</v>
      </c>
      <c r="M742" s="11" t="s">
        <v>4802</v>
      </c>
      <c r="N742" s="14" t="n">
        <v>2</v>
      </c>
      <c r="O742" s="14" t="n">
        <v>2</v>
      </c>
      <c r="P742" s="14" t="n">
        <v>2</v>
      </c>
      <c r="Q742" s="14"/>
      <c r="R742" s="12" t="n">
        <f aca="false">IF(OR(N742="",P742=""),"",ROUND(N742*O742/P742,1))</f>
        <v>2</v>
      </c>
      <c r="S742" s="13" t="n">
        <f aca="false">IF(R742="","",IF(Q742="Y",1,IF(P742&gt;='Read me'!$B$16,3,IF(AND(R742&gt;='Read me'!$B$14,P742&lt;='Read me'!$B$15),1,2))))</f>
        <v>2</v>
      </c>
    </row>
    <row r="743" customFormat="false" ht="23.85" hidden="false" customHeight="false" outlineLevel="0" collapsed="false">
      <c r="A743" s="11" t="s">
        <v>4803</v>
      </c>
      <c r="B743" s="11" t="s">
        <v>38</v>
      </c>
      <c r="C743" s="11" t="s">
        <v>202</v>
      </c>
      <c r="D743" s="11" t="s">
        <v>203</v>
      </c>
      <c r="E743" s="11" t="s">
        <v>802</v>
      </c>
      <c r="F743" s="11" t="s">
        <v>4804</v>
      </c>
      <c r="G743" s="11" t="s">
        <v>4805</v>
      </c>
      <c r="H743" s="11"/>
      <c r="I743" s="11" t="s">
        <v>4806</v>
      </c>
      <c r="J743" s="11" t="s">
        <v>4807</v>
      </c>
      <c r="K743" s="11" t="s">
        <v>870</v>
      </c>
      <c r="L743" s="11" t="s">
        <v>4808</v>
      </c>
      <c r="M743" s="11"/>
      <c r="N743" s="14" t="n">
        <v>3</v>
      </c>
      <c r="O743" s="14" t="n">
        <v>2</v>
      </c>
      <c r="P743" s="14" t="n">
        <v>1</v>
      </c>
      <c r="Q743" s="14"/>
      <c r="R743" s="12" t="n">
        <f aca="false">IF(OR(N743="",P743=""),"",ROUND(N743*O743/P743,1))</f>
        <v>6</v>
      </c>
      <c r="S743" s="13" t="n">
        <f aca="false">IF(R743="","",IF(Q743="Y",1,IF(P743&gt;='Read me'!$B$16,3,IF(AND(R743&gt;='Read me'!$B$14,P743&lt;='Read me'!$B$15),1,2))))</f>
        <v>1</v>
      </c>
    </row>
    <row r="744" customFormat="false" ht="23.85" hidden="false" customHeight="false" outlineLevel="0" collapsed="false">
      <c r="A744" s="11" t="s">
        <v>4809</v>
      </c>
      <c r="B744" s="11" t="s">
        <v>38</v>
      </c>
      <c r="C744" s="11" t="s">
        <v>202</v>
      </c>
      <c r="D744" s="11" t="s">
        <v>203</v>
      </c>
      <c r="E744" s="11" t="s">
        <v>765</v>
      </c>
      <c r="F744" s="11" t="s">
        <v>4810</v>
      </c>
      <c r="G744" s="11" t="s">
        <v>4811</v>
      </c>
      <c r="H744" s="11"/>
      <c r="I744" s="11" t="s">
        <v>4812</v>
      </c>
      <c r="J744" s="11" t="s">
        <v>4813</v>
      </c>
      <c r="K744" s="11" t="s">
        <v>4729</v>
      </c>
      <c r="L744" s="11" t="s">
        <v>4814</v>
      </c>
      <c r="M744" s="11"/>
      <c r="N744" s="14" t="n">
        <v>2</v>
      </c>
      <c r="O744" s="14" t="n">
        <v>2</v>
      </c>
      <c r="P744" s="14" t="n">
        <v>1</v>
      </c>
      <c r="Q744" s="14"/>
      <c r="R744" s="12" t="n">
        <f aca="false">IF(OR(N744="",P744=""),"",ROUND(N744*O744/P744,1))</f>
        <v>4</v>
      </c>
      <c r="S744" s="13" t="n">
        <f aca="false">IF(R744="","",IF(Q744="Y",1,IF(P744&gt;='Read me'!$B$16,3,IF(AND(R744&gt;='Read me'!$B$14,P744&lt;='Read me'!$B$15),1,2))))</f>
        <v>2</v>
      </c>
    </row>
    <row r="745" customFormat="false" ht="35.05" hidden="false" customHeight="false" outlineLevel="0" collapsed="false">
      <c r="A745" s="11" t="s">
        <v>4815</v>
      </c>
      <c r="B745" s="11" t="s">
        <v>38</v>
      </c>
      <c r="C745" s="11" t="s">
        <v>202</v>
      </c>
      <c r="D745" s="11" t="s">
        <v>203</v>
      </c>
      <c r="E745" s="11" t="s">
        <v>765</v>
      </c>
      <c r="F745" s="11" t="s">
        <v>4816</v>
      </c>
      <c r="G745" s="11" t="s">
        <v>1990</v>
      </c>
      <c r="H745" s="11"/>
      <c r="I745" s="11" t="s">
        <v>4817</v>
      </c>
      <c r="J745" s="11" t="s">
        <v>4818</v>
      </c>
      <c r="K745" s="11" t="s">
        <v>4819</v>
      </c>
      <c r="L745" s="11" t="s">
        <v>4820</v>
      </c>
      <c r="M745" s="11"/>
      <c r="N745" s="14" t="n">
        <v>2</v>
      </c>
      <c r="O745" s="14" t="n">
        <v>2</v>
      </c>
      <c r="P745" s="14" t="n">
        <v>3</v>
      </c>
      <c r="Q745" s="14"/>
      <c r="R745" s="12" t="n">
        <f aca="false">IF(OR(N745="",P745=""),"",ROUND(N745*O745/P745,1))</f>
        <v>1.3</v>
      </c>
      <c r="S745" s="13" t="n">
        <f aca="false">IF(R745="","",IF(Q745="Y",1,IF(P745&gt;='Read me'!$B$16,3,IF(AND(R745&gt;='Read me'!$B$14,P745&lt;='Read me'!$B$15),1,2))))</f>
        <v>2</v>
      </c>
    </row>
    <row r="746" customFormat="false" ht="23.85" hidden="false" customHeight="false" outlineLevel="0" collapsed="false">
      <c r="A746" s="11" t="s">
        <v>4821</v>
      </c>
      <c r="B746" s="11" t="s">
        <v>38</v>
      </c>
      <c r="C746" s="11" t="s">
        <v>202</v>
      </c>
      <c r="D746" s="11" t="s">
        <v>203</v>
      </c>
      <c r="E746" s="11" t="s">
        <v>1081</v>
      </c>
      <c r="F746" s="11" t="s">
        <v>4822</v>
      </c>
      <c r="G746" s="11" t="s">
        <v>219</v>
      </c>
      <c r="H746" s="11"/>
      <c r="I746" s="11" t="s">
        <v>4823</v>
      </c>
      <c r="J746" s="11" t="s">
        <v>4824</v>
      </c>
      <c r="K746" s="11" t="s">
        <v>4825</v>
      </c>
      <c r="L746" s="11" t="s">
        <v>4826</v>
      </c>
      <c r="M746" s="11"/>
      <c r="N746" s="14" t="n">
        <v>5</v>
      </c>
      <c r="O746" s="14" t="n">
        <v>3</v>
      </c>
      <c r="P746" s="14" t="n">
        <v>1</v>
      </c>
      <c r="Q746" s="14"/>
      <c r="R746" s="12" t="n">
        <f aca="false">IF(OR(N746="",P746=""),"",ROUND(N746*O746/P746,1))</f>
        <v>15</v>
      </c>
      <c r="S746" s="13" t="n">
        <f aca="false">IF(R746="","",IF(Q746="Y",1,IF(P746&gt;='Read me'!$B$16,3,IF(AND(R746&gt;='Read me'!$B$14,P746&lt;='Read me'!$B$15),1,2))))</f>
        <v>1</v>
      </c>
    </row>
    <row r="747" customFormat="false" ht="23.85" hidden="false" customHeight="false" outlineLevel="0" collapsed="false">
      <c r="A747" s="11" t="s">
        <v>4827</v>
      </c>
      <c r="B747" s="11" t="s">
        <v>38</v>
      </c>
      <c r="C747" s="11" t="s">
        <v>202</v>
      </c>
      <c r="D747" s="11" t="s">
        <v>203</v>
      </c>
      <c r="E747" s="11" t="s">
        <v>1081</v>
      </c>
      <c r="F747" s="11" t="s">
        <v>4822</v>
      </c>
      <c r="G747" s="11" t="s">
        <v>2372</v>
      </c>
      <c r="H747" s="11" t="s">
        <v>4828</v>
      </c>
      <c r="I747" s="11" t="s">
        <v>512</v>
      </c>
      <c r="J747" s="11" t="s">
        <v>4829</v>
      </c>
      <c r="K747" s="11" t="s">
        <v>4830</v>
      </c>
      <c r="L747" s="11" t="s">
        <v>4831</v>
      </c>
      <c r="M747" s="11"/>
      <c r="N747" s="14" t="n">
        <v>3</v>
      </c>
      <c r="O747" s="14" t="n">
        <v>3</v>
      </c>
      <c r="P747" s="14" t="n">
        <v>2</v>
      </c>
      <c r="Q747" s="14"/>
      <c r="R747" s="12" t="n">
        <f aca="false">IF(OR(N747="",P747=""),"",ROUND(N747*O747/P747,1))</f>
        <v>4.5</v>
      </c>
      <c r="S747" s="13" t="n">
        <f aca="false">IF(R747="","",IF(Q747="Y",1,IF(P747&gt;='Read me'!$B$16,3,IF(AND(R747&gt;='Read me'!$B$14,P747&lt;='Read me'!$B$15),1,2))))</f>
        <v>2</v>
      </c>
    </row>
    <row r="748" customFormat="false" ht="23.85" hidden="false" customHeight="false" outlineLevel="0" collapsed="false">
      <c r="A748" s="11" t="s">
        <v>4832</v>
      </c>
      <c r="B748" s="11" t="s">
        <v>38</v>
      </c>
      <c r="C748" s="11" t="s">
        <v>202</v>
      </c>
      <c r="D748" s="11" t="s">
        <v>203</v>
      </c>
      <c r="E748" s="11" t="s">
        <v>1081</v>
      </c>
      <c r="F748" s="11" t="s">
        <v>4822</v>
      </c>
      <c r="G748" s="11" t="s">
        <v>4833</v>
      </c>
      <c r="H748" s="11" t="s">
        <v>4834</v>
      </c>
      <c r="I748" s="11" t="s">
        <v>512</v>
      </c>
      <c r="J748" s="11" t="s">
        <v>4835</v>
      </c>
      <c r="K748" s="11" t="s">
        <v>2261</v>
      </c>
      <c r="L748" s="11" t="s">
        <v>4836</v>
      </c>
      <c r="M748" s="11" t="s">
        <v>4837</v>
      </c>
      <c r="N748" s="14" t="n">
        <v>2</v>
      </c>
      <c r="O748" s="14" t="n">
        <v>2</v>
      </c>
      <c r="P748" s="14" t="n">
        <v>1</v>
      </c>
      <c r="Q748" s="14"/>
      <c r="R748" s="12" t="n">
        <f aca="false">IF(OR(N748="",P748=""),"",ROUND(N748*O748/P748,1))</f>
        <v>4</v>
      </c>
      <c r="S748" s="13" t="n">
        <f aca="false">IF(R748="","",IF(Q748="Y",1,IF(P748&gt;='Read me'!$B$16,3,IF(AND(R748&gt;='Read me'!$B$14,P748&lt;='Read me'!$B$15),1,2))))</f>
        <v>2</v>
      </c>
    </row>
    <row r="749" customFormat="false" ht="35.05" hidden="false" customHeight="false" outlineLevel="0" collapsed="false">
      <c r="A749" s="11" t="s">
        <v>4838</v>
      </c>
      <c r="B749" s="11" t="s">
        <v>38</v>
      </c>
      <c r="C749" s="11" t="s">
        <v>202</v>
      </c>
      <c r="D749" s="11" t="s">
        <v>203</v>
      </c>
      <c r="E749" s="11" t="s">
        <v>1081</v>
      </c>
      <c r="F749" s="11" t="s">
        <v>4839</v>
      </c>
      <c r="G749" s="11" t="s">
        <v>4840</v>
      </c>
      <c r="H749" s="11"/>
      <c r="I749" s="11" t="s">
        <v>4841</v>
      </c>
      <c r="J749" s="11" t="s">
        <v>4842</v>
      </c>
      <c r="K749" s="11" t="s">
        <v>4843</v>
      </c>
      <c r="L749" s="11" t="s">
        <v>4844</v>
      </c>
      <c r="M749" s="11" t="s">
        <v>4716</v>
      </c>
      <c r="N749" s="14" t="n">
        <v>3</v>
      </c>
      <c r="O749" s="14" t="n">
        <v>2</v>
      </c>
      <c r="P749" s="14" t="n">
        <v>2</v>
      </c>
      <c r="Q749" s="14"/>
      <c r="R749" s="12" t="n">
        <f aca="false">IF(OR(N749="",P749=""),"",ROUND(N749*O749/P749,1))</f>
        <v>3</v>
      </c>
      <c r="S749" s="13" t="n">
        <f aca="false">IF(R749="","",IF(Q749="Y",1,IF(P749&gt;='Read me'!$B$16,3,IF(AND(R749&gt;='Read me'!$B$14,P749&lt;='Read me'!$B$15),1,2))))</f>
        <v>2</v>
      </c>
    </row>
    <row r="750" customFormat="false" ht="23.85" hidden="false" customHeight="false" outlineLevel="0" collapsed="false">
      <c r="A750" s="11" t="s">
        <v>4845</v>
      </c>
      <c r="B750" s="11" t="s">
        <v>38</v>
      </c>
      <c r="C750" s="11" t="s">
        <v>202</v>
      </c>
      <c r="D750" s="11" t="s">
        <v>203</v>
      </c>
      <c r="E750" s="11" t="s">
        <v>1187</v>
      </c>
      <c r="F750" s="11" t="s">
        <v>4846</v>
      </c>
      <c r="G750" s="11" t="s">
        <v>4847</v>
      </c>
      <c r="H750" s="11" t="s">
        <v>4848</v>
      </c>
      <c r="I750" s="11" t="s">
        <v>4849</v>
      </c>
      <c r="J750" s="11" t="s">
        <v>4850</v>
      </c>
      <c r="K750" s="11" t="s">
        <v>4851</v>
      </c>
      <c r="L750" s="11" t="s">
        <v>4852</v>
      </c>
      <c r="M750" s="11"/>
      <c r="N750" s="14" t="n">
        <v>3</v>
      </c>
      <c r="O750" s="14" t="n">
        <v>3</v>
      </c>
      <c r="P750" s="14" t="n">
        <v>3</v>
      </c>
      <c r="Q750" s="14"/>
      <c r="R750" s="12" t="n">
        <f aca="false">IF(OR(N750="",P750=""),"",ROUND(N750*O750/P750,1))</f>
        <v>3</v>
      </c>
      <c r="S750" s="13" t="n">
        <f aca="false">IF(R750="","",IF(Q750="Y",1,IF(P750&gt;='Read me'!$B$16,3,IF(AND(R750&gt;='Read me'!$B$14,P750&lt;='Read me'!$B$15),1,2))))</f>
        <v>2</v>
      </c>
    </row>
    <row r="751" customFormat="false" ht="23.85" hidden="false" customHeight="false" outlineLevel="0" collapsed="false">
      <c r="A751" s="11" t="s">
        <v>4853</v>
      </c>
      <c r="B751" s="11" t="s">
        <v>38</v>
      </c>
      <c r="C751" s="11" t="s">
        <v>202</v>
      </c>
      <c r="D751" s="11" t="s">
        <v>203</v>
      </c>
      <c r="E751" s="11" t="s">
        <v>1187</v>
      </c>
      <c r="F751" s="11" t="s">
        <v>4846</v>
      </c>
      <c r="G751" s="11" t="s">
        <v>4847</v>
      </c>
      <c r="H751" s="11" t="s">
        <v>4854</v>
      </c>
      <c r="I751" s="11" t="s">
        <v>4855</v>
      </c>
      <c r="J751" s="11" t="s">
        <v>4856</v>
      </c>
      <c r="K751" s="11" t="s">
        <v>4857</v>
      </c>
      <c r="L751" s="11" t="s">
        <v>4858</v>
      </c>
      <c r="M751" s="11"/>
      <c r="N751" s="14" t="n">
        <v>3</v>
      </c>
      <c r="O751" s="14" t="n">
        <v>3</v>
      </c>
      <c r="P751" s="14" t="n">
        <v>3</v>
      </c>
      <c r="Q751" s="14"/>
      <c r="R751" s="12" t="n">
        <f aca="false">IF(OR(N751="",P751=""),"",ROUND(N751*O751/P751,1))</f>
        <v>3</v>
      </c>
      <c r="S751" s="13" t="n">
        <f aca="false">IF(R751="","",IF(Q751="Y",1,IF(P751&gt;='Read me'!$B$16,3,IF(AND(R751&gt;='Read me'!$B$14,P751&lt;='Read me'!$B$15),1,2))))</f>
        <v>2</v>
      </c>
    </row>
    <row r="752" customFormat="false" ht="23.85" hidden="false" customHeight="false" outlineLevel="0" collapsed="false">
      <c r="A752" s="11" t="s">
        <v>4859</v>
      </c>
      <c r="B752" s="11" t="s">
        <v>38</v>
      </c>
      <c r="C752" s="11" t="s">
        <v>202</v>
      </c>
      <c r="D752" s="11" t="s">
        <v>203</v>
      </c>
      <c r="E752" s="11" t="s">
        <v>1187</v>
      </c>
      <c r="F752" s="11" t="s">
        <v>4846</v>
      </c>
      <c r="G752" s="11" t="s">
        <v>4847</v>
      </c>
      <c r="H752" s="11" t="s">
        <v>4860</v>
      </c>
      <c r="I752" s="11" t="s">
        <v>4861</v>
      </c>
      <c r="J752" s="11" t="s">
        <v>4862</v>
      </c>
      <c r="K752" s="11" t="s">
        <v>4851</v>
      </c>
      <c r="L752" s="11" t="s">
        <v>4863</v>
      </c>
      <c r="M752" s="11"/>
      <c r="N752" s="14" t="n">
        <v>3</v>
      </c>
      <c r="O752" s="14" t="n">
        <v>3</v>
      </c>
      <c r="P752" s="14" t="n">
        <v>2</v>
      </c>
      <c r="Q752" s="14"/>
      <c r="R752" s="12" t="n">
        <f aca="false">IF(OR(N752="",P752=""),"",ROUND(N752*O752/P752,1))</f>
        <v>4.5</v>
      </c>
      <c r="S752" s="13" t="n">
        <f aca="false">IF(R752="","",IF(Q752="Y",1,IF(P752&gt;='Read me'!$B$16,3,IF(AND(R752&gt;='Read me'!$B$14,P752&lt;='Read me'!$B$15),1,2))))</f>
        <v>2</v>
      </c>
    </row>
    <row r="753" customFormat="false" ht="23.85" hidden="false" customHeight="false" outlineLevel="0" collapsed="false">
      <c r="A753" s="11" t="s">
        <v>4864</v>
      </c>
      <c r="B753" s="11" t="s">
        <v>38</v>
      </c>
      <c r="C753" s="11" t="s">
        <v>202</v>
      </c>
      <c r="D753" s="11" t="s">
        <v>203</v>
      </c>
      <c r="E753" s="11" t="s">
        <v>1187</v>
      </c>
      <c r="F753" s="11" t="s">
        <v>4846</v>
      </c>
      <c r="G753" s="11" t="s">
        <v>4865</v>
      </c>
      <c r="H753" s="11" t="s">
        <v>4866</v>
      </c>
      <c r="I753" s="11" t="s">
        <v>4867</v>
      </c>
      <c r="J753" s="11" t="s">
        <v>4868</v>
      </c>
      <c r="K753" s="11" t="s">
        <v>4869</v>
      </c>
      <c r="L753" s="11" t="s">
        <v>4870</v>
      </c>
      <c r="M753" s="11"/>
      <c r="N753" s="14" t="n">
        <v>2</v>
      </c>
      <c r="O753" s="14" t="n">
        <v>3</v>
      </c>
      <c r="P753" s="14" t="n">
        <v>4</v>
      </c>
      <c r="Q753" s="14"/>
      <c r="R753" s="12" t="n">
        <f aca="false">IF(OR(N753="",P753=""),"",ROUND(N753*O753/P753,1))</f>
        <v>1.5</v>
      </c>
      <c r="S753" s="13" t="n">
        <f aca="false">IF(R753="","",IF(Q753="Y",1,IF(P753&gt;='Read me'!$B$16,3,IF(AND(R753&gt;='Read me'!$B$14,P753&lt;='Read me'!$B$15),1,2))))</f>
        <v>3</v>
      </c>
    </row>
    <row r="754" customFormat="false" ht="23.85" hidden="false" customHeight="false" outlineLevel="0" collapsed="false">
      <c r="A754" s="11" t="s">
        <v>4871</v>
      </c>
      <c r="B754" s="11" t="s">
        <v>38</v>
      </c>
      <c r="C754" s="11" t="s">
        <v>202</v>
      </c>
      <c r="D754" s="11" t="s">
        <v>203</v>
      </c>
      <c r="E754" s="11" t="s">
        <v>1187</v>
      </c>
      <c r="F754" s="11" t="s">
        <v>4872</v>
      </c>
      <c r="G754" s="11" t="s">
        <v>4873</v>
      </c>
      <c r="H754" s="11" t="s">
        <v>4874</v>
      </c>
      <c r="I754" s="11" t="s">
        <v>512</v>
      </c>
      <c r="J754" s="11" t="s">
        <v>4875</v>
      </c>
      <c r="K754" s="11" t="s">
        <v>4876</v>
      </c>
      <c r="L754" s="11" t="s">
        <v>4877</v>
      </c>
      <c r="M754" s="11"/>
      <c r="N754" s="14" t="n">
        <v>3</v>
      </c>
      <c r="O754" s="14" t="n">
        <v>3</v>
      </c>
      <c r="P754" s="14" t="n">
        <v>2</v>
      </c>
      <c r="Q754" s="14"/>
      <c r="R754" s="12" t="n">
        <f aca="false">IF(OR(N754="",P754=""),"",ROUND(N754*O754/P754,1))</f>
        <v>4.5</v>
      </c>
      <c r="S754" s="13" t="n">
        <f aca="false">IF(R754="","",IF(Q754="Y",1,IF(P754&gt;='Read me'!$B$16,3,IF(AND(R754&gt;='Read me'!$B$14,P754&lt;='Read me'!$B$15),1,2))))</f>
        <v>2</v>
      </c>
    </row>
    <row r="755" customFormat="false" ht="23.85" hidden="false" customHeight="false" outlineLevel="0" collapsed="false">
      <c r="A755" s="11" t="s">
        <v>4878</v>
      </c>
      <c r="B755" s="11" t="s">
        <v>38</v>
      </c>
      <c r="C755" s="11" t="s">
        <v>202</v>
      </c>
      <c r="D755" s="11" t="s">
        <v>203</v>
      </c>
      <c r="E755" s="11" t="s">
        <v>1187</v>
      </c>
      <c r="F755" s="11" t="s">
        <v>4879</v>
      </c>
      <c r="G755" s="11" t="s">
        <v>4880</v>
      </c>
      <c r="H755" s="11" t="s">
        <v>4881</v>
      </c>
      <c r="I755" s="11" t="s">
        <v>4882</v>
      </c>
      <c r="J755" s="11" t="s">
        <v>4883</v>
      </c>
      <c r="K755" s="11" t="s">
        <v>2887</v>
      </c>
      <c r="L755" s="11" t="s">
        <v>4884</v>
      </c>
      <c r="M755" s="11" t="s">
        <v>4885</v>
      </c>
      <c r="N755" s="14" t="n">
        <v>3</v>
      </c>
      <c r="O755" s="14" t="n">
        <v>2</v>
      </c>
      <c r="P755" s="14" t="n">
        <v>1</v>
      </c>
      <c r="Q755" s="14"/>
      <c r="R755" s="12" t="n">
        <f aca="false">IF(OR(N755="",P755=""),"",ROUND(N755*O755/P755,1))</f>
        <v>6</v>
      </c>
      <c r="S755" s="13" t="n">
        <f aca="false">IF(R755="","",IF(Q755="Y",1,IF(P755&gt;='Read me'!$B$16,3,IF(AND(R755&gt;='Read me'!$B$14,P755&lt;='Read me'!$B$15),1,2))))</f>
        <v>1</v>
      </c>
    </row>
    <row r="756" customFormat="false" ht="23.85" hidden="false" customHeight="false" outlineLevel="0" collapsed="false">
      <c r="A756" s="11" t="s">
        <v>4886</v>
      </c>
      <c r="B756" s="11" t="s">
        <v>38</v>
      </c>
      <c r="C756" s="11" t="s">
        <v>202</v>
      </c>
      <c r="D756" s="11" t="s">
        <v>203</v>
      </c>
      <c r="E756" s="11" t="s">
        <v>1187</v>
      </c>
      <c r="F756" s="11" t="s">
        <v>4887</v>
      </c>
      <c r="G756" s="11" t="s">
        <v>4888</v>
      </c>
      <c r="H756" s="11" t="s">
        <v>4889</v>
      </c>
      <c r="I756" s="11" t="s">
        <v>4890</v>
      </c>
      <c r="J756" s="11" t="s">
        <v>4891</v>
      </c>
      <c r="K756" s="11" t="s">
        <v>4009</v>
      </c>
      <c r="L756" s="11" t="s">
        <v>4892</v>
      </c>
      <c r="M756" s="11"/>
      <c r="N756" s="14" t="n">
        <v>2</v>
      </c>
      <c r="O756" s="14" t="n">
        <v>2</v>
      </c>
      <c r="P756" s="14" t="n">
        <v>1</v>
      </c>
      <c r="Q756" s="14"/>
      <c r="R756" s="12" t="n">
        <f aca="false">IF(OR(N756="",P756=""),"",ROUND(N756*O756/P756,1))</f>
        <v>4</v>
      </c>
      <c r="S756" s="13" t="n">
        <f aca="false">IF(R756="","",IF(Q756="Y",1,IF(P756&gt;='Read me'!$B$16,3,IF(AND(R756&gt;='Read me'!$B$14,P756&lt;='Read me'!$B$15),1,2))))</f>
        <v>2</v>
      </c>
    </row>
    <row r="757" customFormat="false" ht="23.85" hidden="false" customHeight="false" outlineLevel="0" collapsed="false">
      <c r="A757" s="11" t="s">
        <v>4893</v>
      </c>
      <c r="B757" s="11" t="s">
        <v>38</v>
      </c>
      <c r="C757" s="11" t="s">
        <v>202</v>
      </c>
      <c r="D757" s="11" t="s">
        <v>203</v>
      </c>
      <c r="E757" s="11" t="s">
        <v>1187</v>
      </c>
      <c r="F757" s="11" t="s">
        <v>4894</v>
      </c>
      <c r="G757" s="11" t="s">
        <v>4895</v>
      </c>
      <c r="H757" s="11" t="s">
        <v>4896</v>
      </c>
      <c r="I757" s="11" t="s">
        <v>4897</v>
      </c>
      <c r="J757" s="11" t="s">
        <v>4898</v>
      </c>
      <c r="K757" s="11" t="s">
        <v>1363</v>
      </c>
      <c r="L757" s="11" t="s">
        <v>4899</v>
      </c>
      <c r="M757" s="11"/>
      <c r="N757" s="14" t="n">
        <v>2</v>
      </c>
      <c r="O757" s="14" t="n">
        <v>3</v>
      </c>
      <c r="P757" s="14" t="n">
        <v>4</v>
      </c>
      <c r="Q757" s="14"/>
      <c r="R757" s="12" t="n">
        <f aca="false">IF(OR(N757="",P757=""),"",ROUND(N757*O757/P757,1))</f>
        <v>1.5</v>
      </c>
      <c r="S757" s="13" t="n">
        <f aca="false">IF(R757="","",IF(Q757="Y",1,IF(P757&gt;='Read me'!$B$16,3,IF(AND(R757&gt;='Read me'!$B$14,P757&lt;='Read me'!$B$15),1,2))))</f>
        <v>3</v>
      </c>
    </row>
    <row r="758" customFormat="false" ht="23.85" hidden="false" customHeight="false" outlineLevel="0" collapsed="false">
      <c r="A758" s="11" t="s">
        <v>4900</v>
      </c>
      <c r="B758" s="11" t="s">
        <v>38</v>
      </c>
      <c r="C758" s="11" t="s">
        <v>202</v>
      </c>
      <c r="D758" s="11" t="s">
        <v>203</v>
      </c>
      <c r="E758" s="11" t="s">
        <v>1187</v>
      </c>
      <c r="F758" s="11" t="s">
        <v>4901</v>
      </c>
      <c r="G758" s="11" t="s">
        <v>4902</v>
      </c>
      <c r="H758" s="11" t="s">
        <v>4903</v>
      </c>
      <c r="I758" s="11" t="s">
        <v>4904</v>
      </c>
      <c r="J758" s="11" t="s">
        <v>4905</v>
      </c>
      <c r="K758" s="11" t="s">
        <v>935</v>
      </c>
      <c r="L758" s="11" t="s">
        <v>4906</v>
      </c>
      <c r="M758" s="11" t="s">
        <v>4907</v>
      </c>
      <c r="N758" s="14" t="n">
        <v>2</v>
      </c>
      <c r="O758" s="14" t="n">
        <v>1</v>
      </c>
      <c r="P758" s="14" t="n">
        <v>4</v>
      </c>
      <c r="Q758" s="14"/>
      <c r="R758" s="12" t="n">
        <f aca="false">IF(OR(N758="",P758=""),"",ROUND(N758*O758/P758,1))</f>
        <v>0.5</v>
      </c>
      <c r="S758" s="13" t="n">
        <f aca="false">IF(R758="","",IF(Q758="Y",1,IF(P758&gt;='Read me'!$B$16,3,IF(AND(R758&gt;='Read me'!$B$14,P758&lt;='Read me'!$B$15),1,2))))</f>
        <v>3</v>
      </c>
    </row>
    <row r="759" customFormat="false" ht="23.85" hidden="false" customHeight="false" outlineLevel="0" collapsed="false">
      <c r="A759" s="11" t="s">
        <v>4908</v>
      </c>
      <c r="B759" s="11" t="s">
        <v>38</v>
      </c>
      <c r="C759" s="11" t="s">
        <v>202</v>
      </c>
      <c r="D759" s="11" t="s">
        <v>203</v>
      </c>
      <c r="E759" s="11" t="s">
        <v>1187</v>
      </c>
      <c r="F759" s="11" t="s">
        <v>4909</v>
      </c>
      <c r="G759" s="11" t="s">
        <v>4910</v>
      </c>
      <c r="H759" s="11" t="s">
        <v>4903</v>
      </c>
      <c r="I759" s="11" t="s">
        <v>4911</v>
      </c>
      <c r="J759" s="11" t="s">
        <v>4912</v>
      </c>
      <c r="K759" s="11" t="s">
        <v>935</v>
      </c>
      <c r="L759" s="11" t="s">
        <v>4913</v>
      </c>
      <c r="M759" s="11" t="s">
        <v>4914</v>
      </c>
      <c r="N759" s="14" t="n">
        <v>2</v>
      </c>
      <c r="O759" s="14" t="n">
        <v>1</v>
      </c>
      <c r="P759" s="14" t="n">
        <v>4</v>
      </c>
      <c r="Q759" s="14"/>
      <c r="R759" s="12" t="n">
        <f aca="false">IF(OR(N759="",P759=""),"",ROUND(N759*O759/P759,1))</f>
        <v>0.5</v>
      </c>
      <c r="S759" s="13" t="n">
        <f aca="false">IF(R759="","",IF(Q759="Y",1,IF(P759&gt;='Read me'!$B$16,3,IF(AND(R759&gt;='Read me'!$B$14,P759&lt;='Read me'!$B$15),1,2))))</f>
        <v>3</v>
      </c>
    </row>
    <row r="760" customFormat="false" ht="23.85" hidden="false" customHeight="false" outlineLevel="0" collapsed="false">
      <c r="A760" s="11" t="s">
        <v>4915</v>
      </c>
      <c r="B760" s="11" t="s">
        <v>38</v>
      </c>
      <c r="C760" s="11" t="s">
        <v>202</v>
      </c>
      <c r="D760" s="11" t="s">
        <v>203</v>
      </c>
      <c r="E760" s="11" t="s">
        <v>1187</v>
      </c>
      <c r="F760" s="11" t="s">
        <v>4916</v>
      </c>
      <c r="G760" s="11" t="s">
        <v>2873</v>
      </c>
      <c r="H760" s="11"/>
      <c r="I760" s="11" t="s">
        <v>4917</v>
      </c>
      <c r="J760" s="11" t="s">
        <v>4918</v>
      </c>
      <c r="K760" s="11" t="s">
        <v>1151</v>
      </c>
      <c r="L760" s="11" t="s">
        <v>4919</v>
      </c>
      <c r="M760" s="11"/>
      <c r="N760" s="14" t="n">
        <v>1</v>
      </c>
      <c r="O760" s="14" t="n">
        <v>3</v>
      </c>
      <c r="P760" s="14" t="n">
        <v>5</v>
      </c>
      <c r="Q760" s="14"/>
      <c r="R760" s="12" t="n">
        <f aca="false">IF(OR(N760="",P760=""),"",ROUND(N760*O760/P760,1))</f>
        <v>0.6</v>
      </c>
      <c r="S760" s="13" t="n">
        <f aca="false">IF(R760="","",IF(Q760="Y",1,IF(P760&gt;='Read me'!$B$16,3,IF(AND(R760&gt;='Read me'!$B$14,P760&lt;='Read me'!$B$15),1,2))))</f>
        <v>3</v>
      </c>
    </row>
    <row r="761" customFormat="false" ht="23.85" hidden="false" customHeight="false" outlineLevel="0" collapsed="false">
      <c r="A761" s="11" t="s">
        <v>4920</v>
      </c>
      <c r="B761" s="11" t="s">
        <v>38</v>
      </c>
      <c r="C761" s="11" t="s">
        <v>202</v>
      </c>
      <c r="D761" s="11" t="s">
        <v>203</v>
      </c>
      <c r="E761" s="11" t="s">
        <v>1187</v>
      </c>
      <c r="F761" s="11" t="s">
        <v>4921</v>
      </c>
      <c r="G761" s="11" t="s">
        <v>4922</v>
      </c>
      <c r="H761" s="11"/>
      <c r="I761" s="11" t="s">
        <v>4923</v>
      </c>
      <c r="J761" s="11" t="s">
        <v>4924</v>
      </c>
      <c r="K761" s="11" t="s">
        <v>4362</v>
      </c>
      <c r="L761" s="11" t="s">
        <v>4925</v>
      </c>
      <c r="M761" s="11" t="s">
        <v>1153</v>
      </c>
      <c r="N761" s="14" t="n">
        <v>1</v>
      </c>
      <c r="O761" s="14" t="n">
        <v>3</v>
      </c>
      <c r="P761" s="14" t="n">
        <v>4</v>
      </c>
      <c r="Q761" s="14"/>
      <c r="R761" s="12" t="n">
        <f aca="false">IF(OR(N761="",P761=""),"",ROUND(N761*O761/P761,1))</f>
        <v>0.8</v>
      </c>
      <c r="S761" s="13" t="n">
        <f aca="false">IF(R761="","",IF(Q761="Y",1,IF(P761&gt;='Read me'!$B$16,3,IF(AND(R761&gt;='Read me'!$B$14,P761&lt;='Read me'!$B$15),1,2))))</f>
        <v>3</v>
      </c>
    </row>
    <row r="762" customFormat="false" ht="23.85" hidden="false" customHeight="false" outlineLevel="0" collapsed="false">
      <c r="A762" s="11" t="s">
        <v>4926</v>
      </c>
      <c r="B762" s="11" t="s">
        <v>38</v>
      </c>
      <c r="C762" s="11" t="s">
        <v>202</v>
      </c>
      <c r="D762" s="11" t="s">
        <v>203</v>
      </c>
      <c r="E762" s="11" t="s">
        <v>1133</v>
      </c>
      <c r="F762" s="11" t="s">
        <v>4927</v>
      </c>
      <c r="G762" s="11" t="s">
        <v>4928</v>
      </c>
      <c r="H762" s="11"/>
      <c r="I762" s="11" t="s">
        <v>4929</v>
      </c>
      <c r="J762" s="11" t="s">
        <v>4930</v>
      </c>
      <c r="K762" s="11" t="s">
        <v>997</v>
      </c>
      <c r="L762" s="11" t="s">
        <v>4931</v>
      </c>
      <c r="M762" s="11" t="s">
        <v>4932</v>
      </c>
      <c r="N762" s="14" t="n">
        <v>2</v>
      </c>
      <c r="O762" s="14" t="n">
        <v>1</v>
      </c>
      <c r="P762" s="14" t="n">
        <v>1</v>
      </c>
      <c r="Q762" s="14"/>
      <c r="R762" s="12" t="n">
        <f aca="false">IF(OR(N762="",P762=""),"",ROUND(N762*O762/P762,1))</f>
        <v>2</v>
      </c>
      <c r="S762" s="13" t="n">
        <f aca="false">IF(R762="","",IF(Q762="Y",1,IF(P762&gt;='Read me'!$B$16,3,IF(AND(R762&gt;='Read me'!$B$14,P762&lt;='Read me'!$B$15),1,2))))</f>
        <v>2</v>
      </c>
    </row>
    <row r="763" customFormat="false" ht="23.85" hidden="false" customHeight="false" outlineLevel="0" collapsed="false">
      <c r="A763" s="11" t="s">
        <v>4933</v>
      </c>
      <c r="B763" s="11" t="s">
        <v>38</v>
      </c>
      <c r="C763" s="11" t="s">
        <v>202</v>
      </c>
      <c r="D763" s="11" t="s">
        <v>203</v>
      </c>
      <c r="E763" s="11" t="s">
        <v>1133</v>
      </c>
      <c r="F763" s="11" t="s">
        <v>4934</v>
      </c>
      <c r="G763" s="11" t="s">
        <v>1135</v>
      </c>
      <c r="H763" s="11"/>
      <c r="I763" s="11" t="s">
        <v>1136</v>
      </c>
      <c r="J763" s="11" t="s">
        <v>4935</v>
      </c>
      <c r="K763" s="11" t="s">
        <v>1138</v>
      </c>
      <c r="L763" s="11" t="s">
        <v>1139</v>
      </c>
      <c r="M763" s="11"/>
      <c r="N763" s="14" t="n">
        <v>3</v>
      </c>
      <c r="O763" s="14" t="n">
        <v>1</v>
      </c>
      <c r="P763" s="14" t="n">
        <v>1</v>
      </c>
      <c r="Q763" s="14"/>
      <c r="R763" s="12" t="n">
        <f aca="false">IF(OR(N763="",P763=""),"",ROUND(N763*O763/P763,1))</f>
        <v>3</v>
      </c>
      <c r="S763" s="13" t="n">
        <f aca="false">IF(R763="","",IF(Q763="Y",1,IF(P763&gt;='Read me'!$B$16,3,IF(AND(R763&gt;='Read me'!$B$14,P763&lt;='Read me'!$B$15),1,2))))</f>
        <v>2</v>
      </c>
    </row>
    <row r="764" customFormat="false" ht="23.85" hidden="false" customHeight="false" outlineLevel="0" collapsed="false">
      <c r="A764" s="11" t="s">
        <v>4936</v>
      </c>
      <c r="B764" s="11" t="s">
        <v>38</v>
      </c>
      <c r="C764" s="11" t="s">
        <v>202</v>
      </c>
      <c r="D764" s="11" t="s">
        <v>203</v>
      </c>
      <c r="E764" s="11" t="s">
        <v>1372</v>
      </c>
      <c r="F764" s="11" t="s">
        <v>4937</v>
      </c>
      <c r="G764" s="11" t="s">
        <v>4938</v>
      </c>
      <c r="H764" s="11"/>
      <c r="I764" s="11" t="s">
        <v>4939</v>
      </c>
      <c r="J764" s="11" t="s">
        <v>4940</v>
      </c>
      <c r="K764" s="11" t="s">
        <v>4941</v>
      </c>
      <c r="L764" s="11" t="s">
        <v>313</v>
      </c>
      <c r="M764" s="11"/>
      <c r="N764" s="14" t="n">
        <v>2</v>
      </c>
      <c r="O764" s="14" t="n">
        <v>2</v>
      </c>
      <c r="P764" s="14" t="n">
        <v>1</v>
      </c>
      <c r="Q764" s="14"/>
      <c r="R764" s="12" t="n">
        <f aca="false">IF(OR(N764="",P764=""),"",ROUND(N764*O764/P764,1))</f>
        <v>4</v>
      </c>
      <c r="S764" s="13" t="n">
        <f aca="false">IF(R764="","",IF(Q764="Y",1,IF(P764&gt;='Read me'!$B$16,3,IF(AND(R764&gt;='Read me'!$B$14,P764&lt;='Read me'!$B$15),1,2))))</f>
        <v>2</v>
      </c>
    </row>
    <row r="765" customFormat="false" ht="23.85" hidden="false" customHeight="false" outlineLevel="0" collapsed="false">
      <c r="A765" s="11" t="s">
        <v>4942</v>
      </c>
      <c r="B765" s="11" t="s">
        <v>38</v>
      </c>
      <c r="C765" s="11" t="s">
        <v>206</v>
      </c>
      <c r="D765" s="11" t="s">
        <v>207</v>
      </c>
      <c r="E765" s="11" t="s">
        <v>476</v>
      </c>
      <c r="F765" s="11" t="s">
        <v>4943</v>
      </c>
      <c r="G765" s="11" t="s">
        <v>4944</v>
      </c>
      <c r="H765" s="11"/>
      <c r="I765" s="11" t="s">
        <v>4945</v>
      </c>
      <c r="J765" s="11" t="s">
        <v>4946</v>
      </c>
      <c r="K765" s="11" t="s">
        <v>4947</v>
      </c>
      <c r="L765" s="11" t="s">
        <v>4948</v>
      </c>
      <c r="M765" s="11" t="s">
        <v>4949</v>
      </c>
      <c r="N765" s="14" t="n">
        <v>3</v>
      </c>
      <c r="O765" s="14" t="n">
        <v>3</v>
      </c>
      <c r="P765" s="14" t="n">
        <v>1</v>
      </c>
      <c r="Q765" s="14"/>
      <c r="R765" s="12" t="n">
        <f aca="false">IF(OR(N765="",P765=""),"",ROUND(N765*O765/P765,1))</f>
        <v>9</v>
      </c>
      <c r="S765" s="13" t="n">
        <f aca="false">IF(R765="","",IF(Q765="Y",1,IF(P765&gt;='Read me'!$B$16,3,IF(AND(R765&gt;='Read me'!$B$14,P765&lt;='Read me'!$B$15),1,2))))</f>
        <v>1</v>
      </c>
    </row>
    <row r="766" customFormat="false" ht="23.85" hidden="false" customHeight="false" outlineLevel="0" collapsed="false">
      <c r="A766" s="11" t="s">
        <v>4950</v>
      </c>
      <c r="B766" s="11" t="s">
        <v>38</v>
      </c>
      <c r="C766" s="11" t="s">
        <v>206</v>
      </c>
      <c r="D766" s="11" t="s">
        <v>207</v>
      </c>
      <c r="E766" s="11" t="s">
        <v>532</v>
      </c>
      <c r="F766" s="11" t="s">
        <v>4951</v>
      </c>
      <c r="G766" s="11" t="s">
        <v>4952</v>
      </c>
      <c r="H766" s="11"/>
      <c r="I766" s="11" t="s">
        <v>4953</v>
      </c>
      <c r="J766" s="11" t="s">
        <v>4954</v>
      </c>
      <c r="K766" s="11" t="s">
        <v>4955</v>
      </c>
      <c r="L766" s="11" t="s">
        <v>4956</v>
      </c>
      <c r="M766" s="11" t="s">
        <v>4949</v>
      </c>
      <c r="N766" s="14" t="n">
        <v>5</v>
      </c>
      <c r="O766" s="14" t="n">
        <v>4</v>
      </c>
      <c r="P766" s="14" t="n">
        <v>2</v>
      </c>
      <c r="Q766" s="14"/>
      <c r="R766" s="12" t="n">
        <f aca="false">IF(OR(N766="",P766=""),"",ROUND(N766*O766/P766,1))</f>
        <v>10</v>
      </c>
      <c r="S766" s="13" t="n">
        <f aca="false">IF(R766="","",IF(Q766="Y",1,IF(P766&gt;='Read me'!$B$16,3,IF(AND(R766&gt;='Read me'!$B$14,P766&lt;='Read me'!$B$15),1,2))))</f>
        <v>1</v>
      </c>
    </row>
    <row r="767" customFormat="false" ht="23.85" hidden="false" customHeight="false" outlineLevel="0" collapsed="false">
      <c r="A767" s="11" t="s">
        <v>4957</v>
      </c>
      <c r="B767" s="11" t="s">
        <v>38</v>
      </c>
      <c r="C767" s="11" t="s">
        <v>206</v>
      </c>
      <c r="D767" s="11" t="s">
        <v>207</v>
      </c>
      <c r="E767" s="11" t="s">
        <v>532</v>
      </c>
      <c r="F767" s="11" t="s">
        <v>4951</v>
      </c>
      <c r="G767" s="11" t="s">
        <v>597</v>
      </c>
      <c r="H767" s="11"/>
      <c r="I767" s="11" t="s">
        <v>4958</v>
      </c>
      <c r="J767" s="11" t="s">
        <v>4959</v>
      </c>
      <c r="K767" s="11" t="s">
        <v>4960</v>
      </c>
      <c r="L767" s="11" t="s">
        <v>4961</v>
      </c>
      <c r="M767" s="11"/>
      <c r="N767" s="14" t="n">
        <v>3</v>
      </c>
      <c r="O767" s="14" t="n">
        <v>3</v>
      </c>
      <c r="P767" s="14" t="n">
        <v>2</v>
      </c>
      <c r="Q767" s="14"/>
      <c r="R767" s="12" t="n">
        <f aca="false">IF(OR(N767="",P767=""),"",ROUND(N767*O767/P767,1))</f>
        <v>4.5</v>
      </c>
      <c r="S767" s="13" t="n">
        <f aca="false">IF(R767="","",IF(Q767="Y",1,IF(P767&gt;='Read me'!$B$16,3,IF(AND(R767&gt;='Read me'!$B$14,P767&lt;='Read me'!$B$15),1,2))))</f>
        <v>2</v>
      </c>
    </row>
    <row r="768" customFormat="false" ht="23.85" hidden="false" customHeight="false" outlineLevel="0" collapsed="false">
      <c r="A768" s="11" t="s">
        <v>4962</v>
      </c>
      <c r="B768" s="11" t="s">
        <v>38</v>
      </c>
      <c r="C768" s="11" t="s">
        <v>206</v>
      </c>
      <c r="D768" s="11" t="s">
        <v>207</v>
      </c>
      <c r="E768" s="11" t="s">
        <v>532</v>
      </c>
      <c r="F768" s="11" t="s">
        <v>4951</v>
      </c>
      <c r="G768" s="11" t="s">
        <v>4175</v>
      </c>
      <c r="H768" s="11"/>
      <c r="I768" s="11" t="s">
        <v>4963</v>
      </c>
      <c r="J768" s="11" t="s">
        <v>4964</v>
      </c>
      <c r="K768" s="11" t="s">
        <v>4965</v>
      </c>
      <c r="L768" s="11" t="s">
        <v>4966</v>
      </c>
      <c r="M768" s="11" t="s">
        <v>4967</v>
      </c>
      <c r="N768" s="14" t="n">
        <v>3</v>
      </c>
      <c r="O768" s="14" t="n">
        <v>3</v>
      </c>
      <c r="P768" s="14" t="n">
        <v>3</v>
      </c>
      <c r="Q768" s="14"/>
      <c r="R768" s="12" t="n">
        <f aca="false">IF(OR(N768="",P768=""),"",ROUND(N768*O768/P768,1))</f>
        <v>3</v>
      </c>
      <c r="S768" s="13" t="n">
        <f aca="false">IF(R768="","",IF(Q768="Y",1,IF(P768&gt;='Read me'!$B$16,3,IF(AND(R768&gt;='Read me'!$B$14,P768&lt;='Read me'!$B$15),1,2))))</f>
        <v>2</v>
      </c>
    </row>
    <row r="769" customFormat="false" ht="23.85" hidden="false" customHeight="false" outlineLevel="0" collapsed="false">
      <c r="A769" s="11" t="s">
        <v>4968</v>
      </c>
      <c r="B769" s="11" t="s">
        <v>38</v>
      </c>
      <c r="C769" s="11" t="s">
        <v>206</v>
      </c>
      <c r="D769" s="11" t="s">
        <v>207</v>
      </c>
      <c r="E769" s="11" t="s">
        <v>532</v>
      </c>
      <c r="F769" s="11" t="s">
        <v>4951</v>
      </c>
      <c r="G769" s="11" t="s">
        <v>4169</v>
      </c>
      <c r="H769" s="11"/>
      <c r="I769" s="11" t="s">
        <v>4969</v>
      </c>
      <c r="J769" s="11" t="s">
        <v>4970</v>
      </c>
      <c r="K769" s="11" t="s">
        <v>4965</v>
      </c>
      <c r="L769" s="11" t="s">
        <v>4971</v>
      </c>
      <c r="M769" s="11" t="s">
        <v>4972</v>
      </c>
      <c r="N769" s="14" t="n">
        <v>3</v>
      </c>
      <c r="O769" s="14" t="n">
        <v>3</v>
      </c>
      <c r="P769" s="14" t="n">
        <v>4</v>
      </c>
      <c r="Q769" s="14"/>
      <c r="R769" s="12" t="n">
        <f aca="false">IF(OR(N769="",P769=""),"",ROUND(N769*O769/P769,1))</f>
        <v>2.3</v>
      </c>
      <c r="S769" s="13" t="n">
        <f aca="false">IF(R769="","",IF(Q769="Y",1,IF(P769&gt;='Read me'!$B$16,3,IF(AND(R769&gt;='Read me'!$B$14,P769&lt;='Read me'!$B$15),1,2))))</f>
        <v>3</v>
      </c>
    </row>
    <row r="770" customFormat="false" ht="35.05" hidden="false" customHeight="false" outlineLevel="0" collapsed="false">
      <c r="A770" s="11" t="s">
        <v>4973</v>
      </c>
      <c r="B770" s="11" t="s">
        <v>38</v>
      </c>
      <c r="C770" s="11" t="s">
        <v>206</v>
      </c>
      <c r="D770" s="11" t="s">
        <v>207</v>
      </c>
      <c r="E770" s="11" t="s">
        <v>532</v>
      </c>
      <c r="F770" s="11" t="s">
        <v>4974</v>
      </c>
      <c r="G770" s="11" t="s">
        <v>4237</v>
      </c>
      <c r="H770" s="11"/>
      <c r="I770" s="11" t="s">
        <v>4975</v>
      </c>
      <c r="J770" s="11" t="s">
        <v>4976</v>
      </c>
      <c r="K770" s="11" t="s">
        <v>4977</v>
      </c>
      <c r="L770" s="11" t="s">
        <v>4978</v>
      </c>
      <c r="M770" s="11"/>
      <c r="N770" s="14" t="n">
        <v>3</v>
      </c>
      <c r="O770" s="14" t="n">
        <v>3</v>
      </c>
      <c r="P770" s="14" t="n">
        <v>5</v>
      </c>
      <c r="Q770" s="14"/>
      <c r="R770" s="12" t="n">
        <f aca="false">IF(OR(N770="",P770=""),"",ROUND(N770*O770/P770,1))</f>
        <v>1.8</v>
      </c>
      <c r="S770" s="13" t="n">
        <f aca="false">IF(R770="","",IF(Q770="Y",1,IF(P770&gt;='Read me'!$B$16,3,IF(AND(R770&gt;='Read me'!$B$14,P770&lt;='Read me'!$B$15),1,2))))</f>
        <v>3</v>
      </c>
    </row>
    <row r="771" customFormat="false" ht="23.85" hidden="false" customHeight="false" outlineLevel="0" collapsed="false">
      <c r="A771" s="11" t="s">
        <v>4979</v>
      </c>
      <c r="B771" s="11" t="s">
        <v>38</v>
      </c>
      <c r="C771" s="11" t="s">
        <v>206</v>
      </c>
      <c r="D771" s="11" t="s">
        <v>207</v>
      </c>
      <c r="E771" s="11" t="s">
        <v>532</v>
      </c>
      <c r="F771" s="11" t="s">
        <v>4980</v>
      </c>
      <c r="G771" s="11" t="s">
        <v>4981</v>
      </c>
      <c r="H771" s="11"/>
      <c r="I771" s="11" t="s">
        <v>4982</v>
      </c>
      <c r="J771" s="11" t="s">
        <v>4983</v>
      </c>
      <c r="K771" s="11" t="s">
        <v>4984</v>
      </c>
      <c r="L771" s="11" t="s">
        <v>4985</v>
      </c>
      <c r="M771" s="11"/>
      <c r="N771" s="14" t="n">
        <v>3</v>
      </c>
      <c r="O771" s="14" t="n">
        <v>3</v>
      </c>
      <c r="P771" s="14" t="n">
        <v>1</v>
      </c>
      <c r="Q771" s="14"/>
      <c r="R771" s="12" t="n">
        <f aca="false">IF(OR(N771="",P771=""),"",ROUND(N771*O771/P771,1))</f>
        <v>9</v>
      </c>
      <c r="S771" s="13" t="n">
        <f aca="false">IF(R771="","",IF(Q771="Y",1,IF(P771&gt;='Read me'!$B$16,3,IF(AND(R771&gt;='Read me'!$B$14,P771&lt;='Read me'!$B$15),1,2))))</f>
        <v>1</v>
      </c>
    </row>
    <row r="772" customFormat="false" ht="35.05" hidden="false" customHeight="false" outlineLevel="0" collapsed="false">
      <c r="A772" s="11" t="s">
        <v>4986</v>
      </c>
      <c r="B772" s="11" t="s">
        <v>38</v>
      </c>
      <c r="C772" s="11" t="s">
        <v>206</v>
      </c>
      <c r="D772" s="11" t="s">
        <v>207</v>
      </c>
      <c r="E772" s="11" t="s">
        <v>532</v>
      </c>
      <c r="F772" s="11" t="s">
        <v>4987</v>
      </c>
      <c r="G772" s="11" t="s">
        <v>4988</v>
      </c>
      <c r="H772" s="11"/>
      <c r="I772" s="11" t="s">
        <v>4989</v>
      </c>
      <c r="J772" s="11" t="s">
        <v>4990</v>
      </c>
      <c r="K772" s="11" t="s">
        <v>4991</v>
      </c>
      <c r="L772" s="11" t="s">
        <v>4992</v>
      </c>
      <c r="M772" s="11" t="s">
        <v>4716</v>
      </c>
      <c r="N772" s="14" t="n">
        <v>2</v>
      </c>
      <c r="O772" s="14" t="n">
        <v>3</v>
      </c>
      <c r="P772" s="14" t="n">
        <v>2</v>
      </c>
      <c r="Q772" s="14"/>
      <c r="R772" s="12" t="n">
        <f aca="false">IF(OR(N772="",P772=""),"",ROUND(N772*O772/P772,1))</f>
        <v>3</v>
      </c>
      <c r="S772" s="13" t="n">
        <f aca="false">IF(R772="","",IF(Q772="Y",1,IF(P772&gt;='Read me'!$B$16,3,IF(AND(R772&gt;='Read me'!$B$14,P772&lt;='Read me'!$B$15),1,2))))</f>
        <v>2</v>
      </c>
    </row>
    <row r="773" customFormat="false" ht="23.85" hidden="false" customHeight="false" outlineLevel="0" collapsed="false">
      <c r="A773" s="11" t="s">
        <v>4993</v>
      </c>
      <c r="B773" s="11" t="s">
        <v>38</v>
      </c>
      <c r="C773" s="11" t="s">
        <v>206</v>
      </c>
      <c r="D773" s="11" t="s">
        <v>207</v>
      </c>
      <c r="E773" s="11" t="s">
        <v>532</v>
      </c>
      <c r="F773" s="11" t="s">
        <v>4994</v>
      </c>
      <c r="G773" s="11" t="s">
        <v>4995</v>
      </c>
      <c r="H773" s="11"/>
      <c r="I773" s="11" t="s">
        <v>4996</v>
      </c>
      <c r="J773" s="11" t="s">
        <v>4997</v>
      </c>
      <c r="K773" s="11" t="s">
        <v>4998</v>
      </c>
      <c r="L773" s="11" t="s">
        <v>4999</v>
      </c>
      <c r="M773" s="11"/>
      <c r="N773" s="14" t="n">
        <v>2</v>
      </c>
      <c r="O773" s="14" t="n">
        <v>3</v>
      </c>
      <c r="P773" s="14" t="n">
        <v>2</v>
      </c>
      <c r="Q773" s="14"/>
      <c r="R773" s="12" t="n">
        <f aca="false">IF(OR(N773="",P773=""),"",ROUND(N773*O773/P773,1))</f>
        <v>3</v>
      </c>
      <c r="S773" s="13" t="n">
        <f aca="false">IF(R773="","",IF(Q773="Y",1,IF(P773&gt;='Read me'!$B$16,3,IF(AND(R773&gt;='Read me'!$B$14,P773&lt;='Read me'!$B$15),1,2))))</f>
        <v>2</v>
      </c>
    </row>
    <row r="774" customFormat="false" ht="23.85" hidden="false" customHeight="false" outlineLevel="0" collapsed="false">
      <c r="A774" s="11" t="s">
        <v>5000</v>
      </c>
      <c r="B774" s="11" t="s">
        <v>38</v>
      </c>
      <c r="C774" s="11" t="s">
        <v>206</v>
      </c>
      <c r="D774" s="11" t="s">
        <v>207</v>
      </c>
      <c r="E774" s="11" t="s">
        <v>532</v>
      </c>
      <c r="F774" s="11" t="s">
        <v>5001</v>
      </c>
      <c r="G774" s="11" t="s">
        <v>5002</v>
      </c>
      <c r="H774" s="11"/>
      <c r="I774" s="11" t="s">
        <v>5003</v>
      </c>
      <c r="J774" s="11" t="s">
        <v>5004</v>
      </c>
      <c r="K774" s="11" t="s">
        <v>5005</v>
      </c>
      <c r="L774" s="11" t="s">
        <v>587</v>
      </c>
      <c r="M774" s="11" t="s">
        <v>5006</v>
      </c>
      <c r="N774" s="14" t="n">
        <v>3</v>
      </c>
      <c r="O774" s="14" t="n">
        <v>3</v>
      </c>
      <c r="P774" s="14" t="n">
        <v>1</v>
      </c>
      <c r="Q774" s="14"/>
      <c r="R774" s="12" t="n">
        <f aca="false">IF(OR(N774="",P774=""),"",ROUND(N774*O774/P774,1))</f>
        <v>9</v>
      </c>
      <c r="S774" s="13" t="n">
        <f aca="false">IF(R774="","",IF(Q774="Y",1,IF(P774&gt;='Read me'!$B$16,3,IF(AND(R774&gt;='Read me'!$B$14,P774&lt;='Read me'!$B$15),1,2))))</f>
        <v>1</v>
      </c>
    </row>
    <row r="775" customFormat="false" ht="23.85" hidden="false" customHeight="false" outlineLevel="0" collapsed="false">
      <c r="A775" s="11" t="s">
        <v>5007</v>
      </c>
      <c r="B775" s="11" t="s">
        <v>38</v>
      </c>
      <c r="C775" s="11" t="s">
        <v>206</v>
      </c>
      <c r="D775" s="11" t="s">
        <v>207</v>
      </c>
      <c r="E775" s="11" t="s">
        <v>626</v>
      </c>
      <c r="F775" s="11" t="s">
        <v>5008</v>
      </c>
      <c r="G775" s="11" t="s">
        <v>5009</v>
      </c>
      <c r="H775" s="11"/>
      <c r="I775" s="11" t="s">
        <v>5010</v>
      </c>
      <c r="J775" s="11" t="s">
        <v>5011</v>
      </c>
      <c r="K775" s="11" t="s">
        <v>5012</v>
      </c>
      <c r="L775" s="11" t="s">
        <v>5013</v>
      </c>
      <c r="M775" s="11"/>
      <c r="N775" s="14" t="n">
        <v>4</v>
      </c>
      <c r="O775" s="14" t="n">
        <v>3</v>
      </c>
      <c r="P775" s="14" t="n">
        <v>1</v>
      </c>
      <c r="Q775" s="14"/>
      <c r="R775" s="12" t="n">
        <f aca="false">IF(OR(N775="",P775=""),"",ROUND(N775*O775/P775,1))</f>
        <v>12</v>
      </c>
      <c r="S775" s="13" t="n">
        <f aca="false">IF(R775="","",IF(Q775="Y",1,IF(P775&gt;='Read me'!$B$16,3,IF(AND(R775&gt;='Read me'!$B$14,P775&lt;='Read me'!$B$15),1,2))))</f>
        <v>1</v>
      </c>
    </row>
    <row r="776" customFormat="false" ht="23.85" hidden="false" customHeight="false" outlineLevel="0" collapsed="false">
      <c r="A776" s="11" t="s">
        <v>5014</v>
      </c>
      <c r="B776" s="11" t="s">
        <v>38</v>
      </c>
      <c r="C776" s="11" t="s">
        <v>206</v>
      </c>
      <c r="D776" s="11" t="s">
        <v>207</v>
      </c>
      <c r="E776" s="11" t="s">
        <v>626</v>
      </c>
      <c r="F776" s="11" t="s">
        <v>5008</v>
      </c>
      <c r="G776" s="11" t="s">
        <v>5015</v>
      </c>
      <c r="H776" s="11" t="s">
        <v>5016</v>
      </c>
      <c r="I776" s="11" t="s">
        <v>5017</v>
      </c>
      <c r="J776" s="11" t="s">
        <v>5018</v>
      </c>
      <c r="K776" s="11" t="s">
        <v>5019</v>
      </c>
      <c r="L776" s="11" t="s">
        <v>5020</v>
      </c>
      <c r="M776" s="11"/>
      <c r="N776" s="14" t="n">
        <v>3</v>
      </c>
      <c r="O776" s="14" t="n">
        <v>2</v>
      </c>
      <c r="P776" s="14" t="n">
        <v>1</v>
      </c>
      <c r="Q776" s="14"/>
      <c r="R776" s="12" t="n">
        <f aca="false">IF(OR(N776="",P776=""),"",ROUND(N776*O776/P776,1))</f>
        <v>6</v>
      </c>
      <c r="S776" s="13" t="n">
        <f aca="false">IF(R776="","",IF(Q776="Y",1,IF(P776&gt;='Read me'!$B$16,3,IF(AND(R776&gt;='Read me'!$B$14,P776&lt;='Read me'!$B$15),1,2))))</f>
        <v>1</v>
      </c>
    </row>
    <row r="777" customFormat="false" ht="23.85" hidden="false" customHeight="false" outlineLevel="0" collapsed="false">
      <c r="A777" s="11" t="s">
        <v>5021</v>
      </c>
      <c r="B777" s="11" t="s">
        <v>38</v>
      </c>
      <c r="C777" s="11" t="s">
        <v>206</v>
      </c>
      <c r="D777" s="11" t="s">
        <v>207</v>
      </c>
      <c r="E777" s="11" t="s">
        <v>626</v>
      </c>
      <c r="F777" s="11" t="s">
        <v>5022</v>
      </c>
      <c r="G777" s="11" t="s">
        <v>5023</v>
      </c>
      <c r="H777" s="11"/>
      <c r="I777" s="11" t="s">
        <v>5024</v>
      </c>
      <c r="J777" s="11" t="s">
        <v>5025</v>
      </c>
      <c r="K777" s="11" t="s">
        <v>5026</v>
      </c>
      <c r="L777" s="11" t="s">
        <v>5027</v>
      </c>
      <c r="M777" s="11"/>
      <c r="N777" s="14" t="n">
        <v>3</v>
      </c>
      <c r="O777" s="14" t="n">
        <v>3</v>
      </c>
      <c r="P777" s="14" t="n">
        <v>2</v>
      </c>
      <c r="Q777" s="14"/>
      <c r="R777" s="12" t="n">
        <f aca="false">IF(OR(N777="",P777=""),"",ROUND(N777*O777/P777,1))</f>
        <v>4.5</v>
      </c>
      <c r="S777" s="13" t="n">
        <f aca="false">IF(R777="","",IF(Q777="Y",1,IF(P777&gt;='Read me'!$B$16,3,IF(AND(R777&gt;='Read me'!$B$14,P777&lt;='Read me'!$B$15),1,2))))</f>
        <v>2</v>
      </c>
    </row>
    <row r="778" customFormat="false" ht="23.85" hidden="false" customHeight="false" outlineLevel="0" collapsed="false">
      <c r="A778" s="11" t="s">
        <v>5028</v>
      </c>
      <c r="B778" s="11" t="s">
        <v>38</v>
      </c>
      <c r="C778" s="11" t="s">
        <v>206</v>
      </c>
      <c r="D778" s="11" t="s">
        <v>207</v>
      </c>
      <c r="E778" s="11" t="s">
        <v>626</v>
      </c>
      <c r="F778" s="11" t="s">
        <v>5029</v>
      </c>
      <c r="G778" s="11" t="s">
        <v>5030</v>
      </c>
      <c r="H778" s="11"/>
      <c r="I778" s="11" t="s">
        <v>5031</v>
      </c>
      <c r="J778" s="11" t="s">
        <v>5032</v>
      </c>
      <c r="K778" s="11" t="s">
        <v>5033</v>
      </c>
      <c r="L778" s="11" t="s">
        <v>5034</v>
      </c>
      <c r="M778" s="11"/>
      <c r="N778" s="14" t="n">
        <v>3</v>
      </c>
      <c r="O778" s="14" t="n">
        <v>3</v>
      </c>
      <c r="P778" s="14" t="n">
        <v>3</v>
      </c>
      <c r="Q778" s="14"/>
      <c r="R778" s="12" t="n">
        <f aca="false">IF(OR(N778="",P778=""),"",ROUND(N778*O778/P778,1))</f>
        <v>3</v>
      </c>
      <c r="S778" s="13" t="n">
        <f aca="false">IF(R778="","",IF(Q778="Y",1,IF(P778&gt;='Read me'!$B$16,3,IF(AND(R778&gt;='Read me'!$B$14,P778&lt;='Read me'!$B$15),1,2))))</f>
        <v>2</v>
      </c>
    </row>
    <row r="779" customFormat="false" ht="23.85" hidden="false" customHeight="false" outlineLevel="0" collapsed="false">
      <c r="A779" s="11" t="s">
        <v>5035</v>
      </c>
      <c r="B779" s="11" t="s">
        <v>38</v>
      </c>
      <c r="C779" s="11" t="s">
        <v>206</v>
      </c>
      <c r="D779" s="11" t="s">
        <v>207</v>
      </c>
      <c r="E779" s="11" t="s">
        <v>751</v>
      </c>
      <c r="F779" s="11" t="s">
        <v>5036</v>
      </c>
      <c r="G779" s="11" t="s">
        <v>1252</v>
      </c>
      <c r="H779" s="11"/>
      <c r="I779" s="11" t="s">
        <v>1251</v>
      </c>
      <c r="J779" s="11" t="s">
        <v>5037</v>
      </c>
      <c r="K779" s="11" t="s">
        <v>4777</v>
      </c>
      <c r="L779" s="11" t="s">
        <v>5038</v>
      </c>
      <c r="M779" s="11" t="s">
        <v>1577</v>
      </c>
      <c r="N779" s="14" t="n">
        <v>5</v>
      </c>
      <c r="O779" s="14" t="n">
        <v>4</v>
      </c>
      <c r="P779" s="14" t="n">
        <v>3</v>
      </c>
      <c r="Q779" s="14"/>
      <c r="R779" s="12" t="n">
        <f aca="false">IF(OR(N779="",P779=""),"",ROUND(N779*O779/P779,1))</f>
        <v>6.7</v>
      </c>
      <c r="S779" s="13" t="n">
        <f aca="false">IF(R779="","",IF(Q779="Y",1,IF(P779&gt;='Read me'!$B$16,3,IF(AND(R779&gt;='Read me'!$B$14,P779&lt;='Read me'!$B$15),1,2))))</f>
        <v>2</v>
      </c>
    </row>
    <row r="780" customFormat="false" ht="23.85" hidden="false" customHeight="false" outlineLevel="0" collapsed="false">
      <c r="A780" s="11" t="s">
        <v>5039</v>
      </c>
      <c r="B780" s="11" t="s">
        <v>38</v>
      </c>
      <c r="C780" s="11" t="s">
        <v>206</v>
      </c>
      <c r="D780" s="11" t="s">
        <v>207</v>
      </c>
      <c r="E780" s="11" t="s">
        <v>751</v>
      </c>
      <c r="F780" s="11" t="s">
        <v>5036</v>
      </c>
      <c r="G780" s="11" t="s">
        <v>1259</v>
      </c>
      <c r="H780" s="11"/>
      <c r="I780" s="11" t="s">
        <v>5040</v>
      </c>
      <c r="J780" s="11" t="s">
        <v>5041</v>
      </c>
      <c r="K780" s="11" t="s">
        <v>1262</v>
      </c>
      <c r="L780" s="11" t="s">
        <v>1263</v>
      </c>
      <c r="M780" s="11" t="s">
        <v>1577</v>
      </c>
      <c r="N780" s="14" t="n">
        <v>4</v>
      </c>
      <c r="O780" s="14" t="n">
        <v>4</v>
      </c>
      <c r="P780" s="14" t="n">
        <v>3</v>
      </c>
      <c r="Q780" s="14"/>
      <c r="R780" s="12" t="n">
        <f aca="false">IF(OR(N780="",P780=""),"",ROUND(N780*O780/P780,1))</f>
        <v>5.3</v>
      </c>
      <c r="S780" s="13" t="n">
        <f aca="false">IF(R780="","",IF(Q780="Y",1,IF(P780&gt;='Read me'!$B$16,3,IF(AND(R780&gt;='Read me'!$B$14,P780&lt;='Read me'!$B$15),1,2))))</f>
        <v>2</v>
      </c>
    </row>
    <row r="781" customFormat="false" ht="23.85" hidden="false" customHeight="false" outlineLevel="0" collapsed="false">
      <c r="A781" s="11" t="s">
        <v>5042</v>
      </c>
      <c r="B781" s="11" t="s">
        <v>38</v>
      </c>
      <c r="C781" s="11" t="s">
        <v>206</v>
      </c>
      <c r="D781" s="11" t="s">
        <v>207</v>
      </c>
      <c r="E781" s="11" t="s">
        <v>751</v>
      </c>
      <c r="F781" s="11" t="s">
        <v>5043</v>
      </c>
      <c r="G781" s="11" t="s">
        <v>4797</v>
      </c>
      <c r="H781" s="11" t="s">
        <v>5044</v>
      </c>
      <c r="I781" s="11" t="s">
        <v>5045</v>
      </c>
      <c r="J781" s="11" t="s">
        <v>5046</v>
      </c>
      <c r="K781" s="11" t="s">
        <v>5047</v>
      </c>
      <c r="L781" s="11" t="s">
        <v>5048</v>
      </c>
      <c r="M781" s="11"/>
      <c r="N781" s="14" t="n">
        <v>2</v>
      </c>
      <c r="O781" s="14" t="n">
        <v>2</v>
      </c>
      <c r="P781" s="14" t="n">
        <v>3</v>
      </c>
      <c r="Q781" s="14"/>
      <c r="R781" s="12" t="n">
        <f aca="false">IF(OR(N781="",P781=""),"",ROUND(N781*O781/P781,1))</f>
        <v>1.3</v>
      </c>
      <c r="S781" s="13" t="n">
        <f aca="false">IF(R781="","",IF(Q781="Y",1,IF(P781&gt;='Read me'!$B$16,3,IF(AND(R781&gt;='Read me'!$B$14,P781&lt;='Read me'!$B$15),1,2))))</f>
        <v>2</v>
      </c>
    </row>
    <row r="782" customFormat="false" ht="23.85" hidden="false" customHeight="false" outlineLevel="0" collapsed="false">
      <c r="A782" s="11" t="s">
        <v>5049</v>
      </c>
      <c r="B782" s="11" t="s">
        <v>38</v>
      </c>
      <c r="C782" s="11" t="s">
        <v>206</v>
      </c>
      <c r="D782" s="11" t="s">
        <v>207</v>
      </c>
      <c r="E782" s="11" t="s">
        <v>751</v>
      </c>
      <c r="F782" s="11" t="s">
        <v>5036</v>
      </c>
      <c r="G782" s="11" t="s">
        <v>4791</v>
      </c>
      <c r="H782" s="11" t="s">
        <v>1284</v>
      </c>
      <c r="I782" s="11" t="s">
        <v>754</v>
      </c>
      <c r="J782" s="11" t="s">
        <v>5050</v>
      </c>
      <c r="K782" s="11" t="s">
        <v>4793</v>
      </c>
      <c r="L782" s="11" t="s">
        <v>5051</v>
      </c>
      <c r="M782" s="11"/>
      <c r="N782" s="14" t="n">
        <v>2</v>
      </c>
      <c r="O782" s="14" t="n">
        <v>3</v>
      </c>
      <c r="P782" s="14" t="n">
        <v>4</v>
      </c>
      <c r="Q782" s="14"/>
      <c r="R782" s="12" t="n">
        <f aca="false">IF(OR(N782="",P782=""),"",ROUND(N782*O782/P782,1))</f>
        <v>1.5</v>
      </c>
      <c r="S782" s="13" t="n">
        <f aca="false">IF(R782="","",IF(Q782="Y",1,IF(P782&gt;='Read me'!$B$16,3,IF(AND(R782&gt;='Read me'!$B$14,P782&lt;='Read me'!$B$15),1,2))))</f>
        <v>3</v>
      </c>
    </row>
    <row r="783" customFormat="false" ht="23.85" hidden="false" customHeight="false" outlineLevel="0" collapsed="false">
      <c r="A783" s="11" t="s">
        <v>5052</v>
      </c>
      <c r="B783" s="11" t="s">
        <v>38</v>
      </c>
      <c r="C783" s="11" t="s">
        <v>206</v>
      </c>
      <c r="D783" s="11" t="s">
        <v>207</v>
      </c>
      <c r="E783" s="11" t="s">
        <v>802</v>
      </c>
      <c r="F783" s="11" t="s">
        <v>5053</v>
      </c>
      <c r="G783" s="11" t="s">
        <v>5054</v>
      </c>
      <c r="H783" s="11"/>
      <c r="I783" s="11" t="s">
        <v>5055</v>
      </c>
      <c r="J783" s="11" t="s">
        <v>5056</v>
      </c>
      <c r="K783" s="11" t="s">
        <v>870</v>
      </c>
      <c r="L783" s="11" t="s">
        <v>5057</v>
      </c>
      <c r="M783" s="11"/>
      <c r="N783" s="14" t="n">
        <v>2</v>
      </c>
      <c r="O783" s="14" t="n">
        <v>2</v>
      </c>
      <c r="P783" s="14" t="n">
        <v>1</v>
      </c>
      <c r="Q783" s="14"/>
      <c r="R783" s="12" t="n">
        <f aca="false">IF(OR(N783="",P783=""),"",ROUND(N783*O783/P783,1))</f>
        <v>4</v>
      </c>
      <c r="S783" s="13" t="n">
        <f aca="false">IF(R783="","",IF(Q783="Y",1,IF(P783&gt;='Read me'!$B$16,3,IF(AND(R783&gt;='Read me'!$B$14,P783&lt;='Read me'!$B$15),1,2))))</f>
        <v>2</v>
      </c>
    </row>
    <row r="784" customFormat="false" ht="23.85" hidden="false" customHeight="false" outlineLevel="0" collapsed="false">
      <c r="A784" s="11" t="s">
        <v>5058</v>
      </c>
      <c r="B784" s="11" t="s">
        <v>38</v>
      </c>
      <c r="C784" s="11" t="s">
        <v>206</v>
      </c>
      <c r="D784" s="11" t="s">
        <v>207</v>
      </c>
      <c r="E784" s="11" t="s">
        <v>802</v>
      </c>
      <c r="F784" s="11" t="s">
        <v>5059</v>
      </c>
      <c r="G784" s="11" t="s">
        <v>5060</v>
      </c>
      <c r="H784" s="11"/>
      <c r="I784" s="11" t="s">
        <v>5061</v>
      </c>
      <c r="J784" s="11" t="s">
        <v>5062</v>
      </c>
      <c r="K784" s="11" t="s">
        <v>5063</v>
      </c>
      <c r="L784" s="11" t="s">
        <v>5064</v>
      </c>
      <c r="M784" s="11"/>
      <c r="N784" s="14" t="n">
        <v>3</v>
      </c>
      <c r="O784" s="14" t="n">
        <v>4</v>
      </c>
      <c r="P784" s="14" t="n">
        <v>3</v>
      </c>
      <c r="Q784" s="14"/>
      <c r="R784" s="12" t="n">
        <f aca="false">IF(OR(N784="",P784=""),"",ROUND(N784*O784/P784,1))</f>
        <v>4</v>
      </c>
      <c r="S784" s="13" t="n">
        <f aca="false">IF(R784="","",IF(Q784="Y",1,IF(P784&gt;='Read me'!$B$16,3,IF(AND(R784&gt;='Read me'!$B$14,P784&lt;='Read me'!$B$15),1,2))))</f>
        <v>2</v>
      </c>
    </row>
    <row r="785" customFormat="false" ht="23.85" hidden="false" customHeight="false" outlineLevel="0" collapsed="false">
      <c r="A785" s="11" t="s">
        <v>5065</v>
      </c>
      <c r="B785" s="11" t="s">
        <v>38</v>
      </c>
      <c r="C785" s="11" t="s">
        <v>206</v>
      </c>
      <c r="D785" s="11" t="s">
        <v>207</v>
      </c>
      <c r="E785" s="11" t="s">
        <v>765</v>
      </c>
      <c r="F785" s="11" t="s">
        <v>4810</v>
      </c>
      <c r="G785" s="11" t="s">
        <v>5066</v>
      </c>
      <c r="H785" s="11"/>
      <c r="I785" s="11" t="s">
        <v>5067</v>
      </c>
      <c r="J785" s="11" t="s">
        <v>5068</v>
      </c>
      <c r="K785" s="11" t="s">
        <v>5069</v>
      </c>
      <c r="L785" s="11" t="s">
        <v>5070</v>
      </c>
      <c r="M785" s="11"/>
      <c r="N785" s="14" t="n">
        <v>3</v>
      </c>
      <c r="O785" s="14" t="n">
        <v>3</v>
      </c>
      <c r="P785" s="14" t="n">
        <v>1</v>
      </c>
      <c r="Q785" s="14"/>
      <c r="R785" s="12" t="n">
        <f aca="false">IF(OR(N785="",P785=""),"",ROUND(N785*O785/P785,1))</f>
        <v>9</v>
      </c>
      <c r="S785" s="13" t="n">
        <f aca="false">IF(R785="","",IF(Q785="Y",1,IF(P785&gt;='Read me'!$B$16,3,IF(AND(R785&gt;='Read me'!$B$14,P785&lt;='Read me'!$B$15),1,2))))</f>
        <v>1</v>
      </c>
    </row>
    <row r="786" customFormat="false" ht="23.85" hidden="false" customHeight="false" outlineLevel="0" collapsed="false">
      <c r="A786" s="11" t="s">
        <v>5071</v>
      </c>
      <c r="B786" s="11" t="s">
        <v>38</v>
      </c>
      <c r="C786" s="11" t="s">
        <v>206</v>
      </c>
      <c r="D786" s="11" t="s">
        <v>207</v>
      </c>
      <c r="E786" s="11" t="s">
        <v>765</v>
      </c>
      <c r="F786" s="11" t="s">
        <v>4810</v>
      </c>
      <c r="G786" s="11" t="s">
        <v>5072</v>
      </c>
      <c r="H786" s="11" t="s">
        <v>5073</v>
      </c>
      <c r="I786" s="11" t="s">
        <v>5074</v>
      </c>
      <c r="J786" s="11" t="s">
        <v>5075</v>
      </c>
      <c r="K786" s="11" t="s">
        <v>2887</v>
      </c>
      <c r="L786" s="11" t="s">
        <v>5070</v>
      </c>
      <c r="M786" s="11"/>
      <c r="N786" s="14" t="n">
        <v>2</v>
      </c>
      <c r="O786" s="14" t="n">
        <v>2</v>
      </c>
      <c r="P786" s="14" t="n">
        <v>1</v>
      </c>
      <c r="Q786" s="14"/>
      <c r="R786" s="12" t="n">
        <f aca="false">IF(OR(N786="",P786=""),"",ROUND(N786*O786/P786,1))</f>
        <v>4</v>
      </c>
      <c r="S786" s="13" t="n">
        <f aca="false">IF(R786="","",IF(Q786="Y",1,IF(P786&gt;='Read me'!$B$16,3,IF(AND(R786&gt;='Read me'!$B$14,P786&lt;='Read me'!$B$15),1,2))))</f>
        <v>2</v>
      </c>
    </row>
    <row r="787" customFormat="false" ht="23.85" hidden="false" customHeight="false" outlineLevel="0" collapsed="false">
      <c r="A787" s="11" t="s">
        <v>5076</v>
      </c>
      <c r="B787" s="11" t="s">
        <v>38</v>
      </c>
      <c r="C787" s="11" t="s">
        <v>206</v>
      </c>
      <c r="D787" s="11" t="s">
        <v>207</v>
      </c>
      <c r="E787" s="11" t="s">
        <v>765</v>
      </c>
      <c r="F787" s="11" t="s">
        <v>5077</v>
      </c>
      <c r="G787" s="11" t="s">
        <v>5078</v>
      </c>
      <c r="H787" s="11"/>
      <c r="I787" s="11" t="s">
        <v>5079</v>
      </c>
      <c r="J787" s="11" t="s">
        <v>5080</v>
      </c>
      <c r="K787" s="11" t="s">
        <v>2964</v>
      </c>
      <c r="L787" s="11" t="s">
        <v>5081</v>
      </c>
      <c r="M787" s="11"/>
      <c r="N787" s="14" t="n">
        <v>3</v>
      </c>
      <c r="O787" s="14" t="n">
        <v>3</v>
      </c>
      <c r="P787" s="14" t="n">
        <v>2</v>
      </c>
      <c r="Q787" s="14"/>
      <c r="R787" s="12" t="n">
        <f aca="false">IF(OR(N787="",P787=""),"",ROUND(N787*O787/P787,1))</f>
        <v>4.5</v>
      </c>
      <c r="S787" s="13" t="n">
        <f aca="false">IF(R787="","",IF(Q787="Y",1,IF(P787&gt;='Read me'!$B$16,3,IF(AND(R787&gt;='Read me'!$B$14,P787&lt;='Read me'!$B$15),1,2))))</f>
        <v>2</v>
      </c>
    </row>
    <row r="788" customFormat="false" ht="23.85" hidden="false" customHeight="false" outlineLevel="0" collapsed="false">
      <c r="A788" s="11" t="s">
        <v>5082</v>
      </c>
      <c r="B788" s="11" t="s">
        <v>38</v>
      </c>
      <c r="C788" s="11" t="s">
        <v>206</v>
      </c>
      <c r="D788" s="11" t="s">
        <v>207</v>
      </c>
      <c r="E788" s="11" t="s">
        <v>765</v>
      </c>
      <c r="F788" s="11" t="s">
        <v>4816</v>
      </c>
      <c r="G788" s="11" t="s">
        <v>822</v>
      </c>
      <c r="H788" s="11"/>
      <c r="I788" s="11" t="s">
        <v>5083</v>
      </c>
      <c r="J788" s="11" t="s">
        <v>5084</v>
      </c>
      <c r="K788" s="11" t="s">
        <v>990</v>
      </c>
      <c r="L788" s="11" t="s">
        <v>5085</v>
      </c>
      <c r="M788" s="11"/>
      <c r="N788" s="14" t="n">
        <v>2</v>
      </c>
      <c r="O788" s="14" t="n">
        <v>2</v>
      </c>
      <c r="P788" s="14" t="n">
        <v>3</v>
      </c>
      <c r="Q788" s="14"/>
      <c r="R788" s="12" t="n">
        <f aca="false">IF(OR(N788="",P788=""),"",ROUND(N788*O788/P788,1))</f>
        <v>1.3</v>
      </c>
      <c r="S788" s="13" t="n">
        <f aca="false">IF(R788="","",IF(Q788="Y",1,IF(P788&gt;='Read me'!$B$16,3,IF(AND(R788&gt;='Read me'!$B$14,P788&lt;='Read me'!$B$15),1,2))))</f>
        <v>2</v>
      </c>
    </row>
    <row r="789" customFormat="false" ht="23.85" hidden="false" customHeight="false" outlineLevel="0" collapsed="false">
      <c r="A789" s="11" t="s">
        <v>5086</v>
      </c>
      <c r="B789" s="11" t="s">
        <v>38</v>
      </c>
      <c r="C789" s="11" t="s">
        <v>206</v>
      </c>
      <c r="D789" s="11" t="s">
        <v>207</v>
      </c>
      <c r="E789" s="11" t="s">
        <v>765</v>
      </c>
      <c r="F789" s="11" t="s">
        <v>5087</v>
      </c>
      <c r="G789" s="11" t="s">
        <v>1944</v>
      </c>
      <c r="H789" s="11"/>
      <c r="I789" s="11" t="s">
        <v>512</v>
      </c>
      <c r="J789" s="11" t="s">
        <v>5088</v>
      </c>
      <c r="K789" s="11" t="s">
        <v>5089</v>
      </c>
      <c r="L789" s="11" t="s">
        <v>5090</v>
      </c>
      <c r="M789" s="11"/>
      <c r="N789" s="14" t="n">
        <v>3</v>
      </c>
      <c r="O789" s="14" t="n">
        <v>3</v>
      </c>
      <c r="P789" s="14" t="n">
        <v>1</v>
      </c>
      <c r="Q789" s="14"/>
      <c r="R789" s="12" t="n">
        <f aca="false">IF(OR(N789="",P789=""),"",ROUND(N789*O789/P789,1))</f>
        <v>9</v>
      </c>
      <c r="S789" s="13" t="n">
        <f aca="false">IF(R789="","",IF(Q789="Y",1,IF(P789&gt;='Read me'!$B$16,3,IF(AND(R789&gt;='Read me'!$B$14,P789&lt;='Read me'!$B$15),1,2))))</f>
        <v>1</v>
      </c>
    </row>
    <row r="790" customFormat="false" ht="23.85" hidden="false" customHeight="false" outlineLevel="0" collapsed="false">
      <c r="A790" s="11" t="s">
        <v>5091</v>
      </c>
      <c r="B790" s="11" t="s">
        <v>38</v>
      </c>
      <c r="C790" s="11" t="s">
        <v>206</v>
      </c>
      <c r="D790" s="11" t="s">
        <v>207</v>
      </c>
      <c r="E790" s="11" t="s">
        <v>1081</v>
      </c>
      <c r="F790" s="11" t="s">
        <v>4822</v>
      </c>
      <c r="G790" s="11" t="s">
        <v>5092</v>
      </c>
      <c r="H790" s="11"/>
      <c r="I790" s="11" t="s">
        <v>5093</v>
      </c>
      <c r="J790" s="11" t="s">
        <v>5094</v>
      </c>
      <c r="K790" s="11" t="s">
        <v>4825</v>
      </c>
      <c r="L790" s="11" t="s">
        <v>5095</v>
      </c>
      <c r="M790" s="11"/>
      <c r="N790" s="14" t="n">
        <v>4</v>
      </c>
      <c r="O790" s="14" t="n">
        <v>3</v>
      </c>
      <c r="P790" s="14" t="n">
        <v>1</v>
      </c>
      <c r="Q790" s="14"/>
      <c r="R790" s="12" t="n">
        <f aca="false">IF(OR(N790="",P790=""),"",ROUND(N790*O790/P790,1))</f>
        <v>12</v>
      </c>
      <c r="S790" s="13" t="n">
        <f aca="false">IF(R790="","",IF(Q790="Y",1,IF(P790&gt;='Read me'!$B$16,3,IF(AND(R790&gt;='Read me'!$B$14,P790&lt;='Read me'!$B$15),1,2))))</f>
        <v>1</v>
      </c>
    </row>
    <row r="791" customFormat="false" ht="23.85" hidden="false" customHeight="false" outlineLevel="0" collapsed="false">
      <c r="A791" s="11" t="s">
        <v>5096</v>
      </c>
      <c r="B791" s="11" t="s">
        <v>38</v>
      </c>
      <c r="C791" s="11" t="s">
        <v>206</v>
      </c>
      <c r="D791" s="11" t="s">
        <v>207</v>
      </c>
      <c r="E791" s="11" t="s">
        <v>1081</v>
      </c>
      <c r="F791" s="11" t="s">
        <v>5097</v>
      </c>
      <c r="G791" s="11" t="s">
        <v>5098</v>
      </c>
      <c r="H791" s="11" t="s">
        <v>5099</v>
      </c>
      <c r="I791" s="11" t="s">
        <v>512</v>
      </c>
      <c r="J791" s="11" t="s">
        <v>5100</v>
      </c>
      <c r="K791" s="11" t="s">
        <v>5101</v>
      </c>
      <c r="L791" s="11" t="s">
        <v>5102</v>
      </c>
      <c r="M791" s="11"/>
      <c r="N791" s="14" t="n">
        <v>3</v>
      </c>
      <c r="O791" s="14" t="n">
        <v>3</v>
      </c>
      <c r="P791" s="14" t="n">
        <v>2</v>
      </c>
      <c r="Q791" s="14"/>
      <c r="R791" s="12" t="n">
        <f aca="false">IF(OR(N791="",P791=""),"",ROUND(N791*O791/P791,1))</f>
        <v>4.5</v>
      </c>
      <c r="S791" s="13" t="n">
        <f aca="false">IF(R791="","",IF(Q791="Y",1,IF(P791&gt;='Read me'!$B$16,3,IF(AND(R791&gt;='Read me'!$B$14,P791&lt;='Read me'!$B$15),1,2))))</f>
        <v>2</v>
      </c>
    </row>
    <row r="792" customFormat="false" ht="23.85" hidden="false" customHeight="false" outlineLevel="0" collapsed="false">
      <c r="A792" s="11" t="s">
        <v>5103</v>
      </c>
      <c r="B792" s="11" t="s">
        <v>38</v>
      </c>
      <c r="C792" s="11" t="s">
        <v>206</v>
      </c>
      <c r="D792" s="11" t="s">
        <v>207</v>
      </c>
      <c r="E792" s="11" t="s">
        <v>1187</v>
      </c>
      <c r="F792" s="11" t="s">
        <v>5104</v>
      </c>
      <c r="G792" s="11" t="s">
        <v>5105</v>
      </c>
      <c r="H792" s="11" t="s">
        <v>5106</v>
      </c>
      <c r="I792" s="11" t="s">
        <v>5107</v>
      </c>
      <c r="J792" s="11" t="s">
        <v>5108</v>
      </c>
      <c r="K792" s="11" t="s">
        <v>4009</v>
      </c>
      <c r="L792" s="11" t="s">
        <v>5109</v>
      </c>
      <c r="M792" s="11"/>
      <c r="N792" s="14" t="n">
        <v>2</v>
      </c>
      <c r="O792" s="14" t="n">
        <v>3</v>
      </c>
      <c r="P792" s="14" t="n">
        <v>2</v>
      </c>
      <c r="Q792" s="14"/>
      <c r="R792" s="12" t="n">
        <f aca="false">IF(OR(N792="",P792=""),"",ROUND(N792*O792/P792,1))</f>
        <v>3</v>
      </c>
      <c r="S792" s="13" t="n">
        <f aca="false">IF(R792="","",IF(Q792="Y",1,IF(P792&gt;='Read me'!$B$16,3,IF(AND(R792&gt;='Read me'!$B$14,P792&lt;='Read me'!$B$15),1,2))))</f>
        <v>2</v>
      </c>
    </row>
    <row r="793" customFormat="false" ht="23.85" hidden="false" customHeight="false" outlineLevel="0" collapsed="false">
      <c r="A793" s="11" t="s">
        <v>5110</v>
      </c>
      <c r="B793" s="11" t="s">
        <v>38</v>
      </c>
      <c r="C793" s="11" t="s">
        <v>206</v>
      </c>
      <c r="D793" s="11" t="s">
        <v>207</v>
      </c>
      <c r="E793" s="11" t="s">
        <v>1187</v>
      </c>
      <c r="F793" s="11" t="s">
        <v>5111</v>
      </c>
      <c r="G793" s="11" t="s">
        <v>5112</v>
      </c>
      <c r="H793" s="11" t="s">
        <v>4828</v>
      </c>
      <c r="I793" s="11" t="s">
        <v>512</v>
      </c>
      <c r="J793" s="11" t="s">
        <v>5113</v>
      </c>
      <c r="K793" s="11" t="s">
        <v>4830</v>
      </c>
      <c r="L793" s="11" t="s">
        <v>5114</v>
      </c>
      <c r="M793" s="11"/>
      <c r="N793" s="14" t="n">
        <v>2</v>
      </c>
      <c r="O793" s="14" t="n">
        <v>3</v>
      </c>
      <c r="P793" s="14" t="n">
        <v>2</v>
      </c>
      <c r="Q793" s="14"/>
      <c r="R793" s="12" t="n">
        <f aca="false">IF(OR(N793="",P793=""),"",ROUND(N793*O793/P793,1))</f>
        <v>3</v>
      </c>
      <c r="S793" s="13" t="n">
        <f aca="false">IF(R793="","",IF(Q793="Y",1,IF(P793&gt;='Read me'!$B$16,3,IF(AND(R793&gt;='Read me'!$B$14,P793&lt;='Read me'!$B$15),1,2))))</f>
        <v>2</v>
      </c>
    </row>
    <row r="794" customFormat="false" ht="23.85" hidden="false" customHeight="false" outlineLevel="0" collapsed="false">
      <c r="A794" s="11" t="s">
        <v>5115</v>
      </c>
      <c r="B794" s="11" t="s">
        <v>38</v>
      </c>
      <c r="C794" s="11" t="s">
        <v>206</v>
      </c>
      <c r="D794" s="11" t="s">
        <v>207</v>
      </c>
      <c r="E794" s="11" t="s">
        <v>1187</v>
      </c>
      <c r="F794" s="11" t="s">
        <v>5116</v>
      </c>
      <c r="G794" s="11" t="s">
        <v>5117</v>
      </c>
      <c r="H794" s="11" t="s">
        <v>5118</v>
      </c>
      <c r="I794" s="11" t="s">
        <v>5119</v>
      </c>
      <c r="J794" s="11" t="s">
        <v>5120</v>
      </c>
      <c r="K794" s="11" t="s">
        <v>4857</v>
      </c>
      <c r="L794" s="11" t="s">
        <v>5121</v>
      </c>
      <c r="M794" s="11"/>
      <c r="N794" s="14" t="n">
        <v>2</v>
      </c>
      <c r="O794" s="14" t="n">
        <v>3</v>
      </c>
      <c r="P794" s="14" t="n">
        <v>3</v>
      </c>
      <c r="Q794" s="14"/>
      <c r="R794" s="12" t="n">
        <f aca="false">IF(OR(N794="",P794=""),"",ROUND(N794*O794/P794,1))</f>
        <v>2</v>
      </c>
      <c r="S794" s="13" t="n">
        <f aca="false">IF(R794="","",IF(Q794="Y",1,IF(P794&gt;='Read me'!$B$16,3,IF(AND(R794&gt;='Read me'!$B$14,P794&lt;='Read me'!$B$15),1,2))))</f>
        <v>2</v>
      </c>
    </row>
    <row r="795" customFormat="false" ht="23.85" hidden="false" customHeight="false" outlineLevel="0" collapsed="false">
      <c r="A795" s="11" t="s">
        <v>5122</v>
      </c>
      <c r="B795" s="11" t="s">
        <v>38</v>
      </c>
      <c r="C795" s="11" t="s">
        <v>206</v>
      </c>
      <c r="D795" s="11" t="s">
        <v>207</v>
      </c>
      <c r="E795" s="11" t="s">
        <v>1187</v>
      </c>
      <c r="F795" s="11" t="s">
        <v>5116</v>
      </c>
      <c r="G795" s="11" t="s">
        <v>5123</v>
      </c>
      <c r="H795" s="11" t="s">
        <v>4865</v>
      </c>
      <c r="I795" s="11" t="s">
        <v>5124</v>
      </c>
      <c r="J795" s="11" t="s">
        <v>5125</v>
      </c>
      <c r="K795" s="11" t="s">
        <v>4869</v>
      </c>
      <c r="L795" s="11" t="s">
        <v>5126</v>
      </c>
      <c r="M795" s="11"/>
      <c r="N795" s="14" t="n">
        <v>2</v>
      </c>
      <c r="O795" s="14" t="n">
        <v>2</v>
      </c>
      <c r="P795" s="14" t="n">
        <v>3</v>
      </c>
      <c r="Q795" s="14"/>
      <c r="R795" s="12" t="n">
        <f aca="false">IF(OR(N795="",P795=""),"",ROUND(N795*O795/P795,1))</f>
        <v>1.3</v>
      </c>
      <c r="S795" s="13" t="n">
        <f aca="false">IF(R795="","",IF(Q795="Y",1,IF(P795&gt;='Read me'!$B$16,3,IF(AND(R795&gt;='Read me'!$B$14,P795&lt;='Read me'!$B$15),1,2))))</f>
        <v>2</v>
      </c>
    </row>
    <row r="796" customFormat="false" ht="23.85" hidden="false" customHeight="false" outlineLevel="0" collapsed="false">
      <c r="A796" s="11" t="s">
        <v>5127</v>
      </c>
      <c r="B796" s="11" t="s">
        <v>38</v>
      </c>
      <c r="C796" s="11" t="s">
        <v>206</v>
      </c>
      <c r="D796" s="11" t="s">
        <v>207</v>
      </c>
      <c r="E796" s="11" t="s">
        <v>1187</v>
      </c>
      <c r="F796" s="11" t="s">
        <v>5116</v>
      </c>
      <c r="G796" s="11" t="s">
        <v>5128</v>
      </c>
      <c r="H796" s="11" t="s">
        <v>5129</v>
      </c>
      <c r="I796" s="11" t="s">
        <v>5130</v>
      </c>
      <c r="J796" s="11" t="s">
        <v>5131</v>
      </c>
      <c r="K796" s="11" t="s">
        <v>4851</v>
      </c>
      <c r="L796" s="11" t="s">
        <v>5132</v>
      </c>
      <c r="M796" s="11"/>
      <c r="N796" s="14" t="n">
        <v>2</v>
      </c>
      <c r="O796" s="14" t="n">
        <v>3</v>
      </c>
      <c r="P796" s="14" t="n">
        <v>3</v>
      </c>
      <c r="Q796" s="14"/>
      <c r="R796" s="12" t="n">
        <f aca="false">IF(OR(N796="",P796=""),"",ROUND(N796*O796/P796,1))</f>
        <v>2</v>
      </c>
      <c r="S796" s="13" t="n">
        <f aca="false">IF(R796="","",IF(Q796="Y",1,IF(P796&gt;='Read me'!$B$16,3,IF(AND(R796&gt;='Read me'!$B$14,P796&lt;='Read me'!$B$15),1,2))))</f>
        <v>2</v>
      </c>
    </row>
    <row r="797" customFormat="false" ht="23.85" hidden="false" customHeight="false" outlineLevel="0" collapsed="false">
      <c r="A797" s="11" t="s">
        <v>5133</v>
      </c>
      <c r="B797" s="11" t="s">
        <v>38</v>
      </c>
      <c r="C797" s="11" t="s">
        <v>206</v>
      </c>
      <c r="D797" s="11" t="s">
        <v>207</v>
      </c>
      <c r="E797" s="11" t="s">
        <v>1187</v>
      </c>
      <c r="F797" s="11" t="s">
        <v>5116</v>
      </c>
      <c r="G797" s="11" t="s">
        <v>5134</v>
      </c>
      <c r="H797" s="11" t="s">
        <v>5135</v>
      </c>
      <c r="I797" s="11" t="s">
        <v>5136</v>
      </c>
      <c r="J797" s="11" t="s">
        <v>5137</v>
      </c>
      <c r="K797" s="11" t="s">
        <v>2368</v>
      </c>
      <c r="L797" s="11" t="s">
        <v>5138</v>
      </c>
      <c r="M797" s="11"/>
      <c r="N797" s="14" t="n">
        <v>2</v>
      </c>
      <c r="O797" s="14" t="n">
        <v>2</v>
      </c>
      <c r="P797" s="14" t="n">
        <v>3</v>
      </c>
      <c r="Q797" s="14"/>
      <c r="R797" s="12" t="n">
        <f aca="false">IF(OR(N797="",P797=""),"",ROUND(N797*O797/P797,1))</f>
        <v>1.3</v>
      </c>
      <c r="S797" s="13" t="n">
        <f aca="false">IF(R797="","",IF(Q797="Y",1,IF(P797&gt;='Read me'!$B$16,3,IF(AND(R797&gt;='Read me'!$B$14,P797&lt;='Read me'!$B$15),1,2))))</f>
        <v>2</v>
      </c>
    </row>
    <row r="798" customFormat="false" ht="23.85" hidden="false" customHeight="false" outlineLevel="0" collapsed="false">
      <c r="A798" s="11" t="s">
        <v>5139</v>
      </c>
      <c r="B798" s="11" t="s">
        <v>38</v>
      </c>
      <c r="C798" s="11" t="s">
        <v>206</v>
      </c>
      <c r="D798" s="11" t="s">
        <v>207</v>
      </c>
      <c r="E798" s="11" t="s">
        <v>1187</v>
      </c>
      <c r="F798" s="11" t="s">
        <v>5140</v>
      </c>
      <c r="G798" s="11" t="s">
        <v>5141</v>
      </c>
      <c r="H798" s="11" t="s">
        <v>612</v>
      </c>
      <c r="I798" s="11" t="s">
        <v>5142</v>
      </c>
      <c r="J798" s="11" t="s">
        <v>5143</v>
      </c>
      <c r="K798" s="11" t="s">
        <v>2887</v>
      </c>
      <c r="L798" s="11" t="s">
        <v>5144</v>
      </c>
      <c r="M798" s="11"/>
      <c r="N798" s="14" t="n">
        <v>2</v>
      </c>
      <c r="O798" s="14" t="n">
        <v>2</v>
      </c>
      <c r="P798" s="14" t="n">
        <v>2</v>
      </c>
      <c r="Q798" s="14"/>
      <c r="R798" s="12" t="n">
        <f aca="false">IF(OR(N798="",P798=""),"",ROUND(N798*O798/P798,1))</f>
        <v>2</v>
      </c>
      <c r="S798" s="13" t="n">
        <f aca="false">IF(R798="","",IF(Q798="Y",1,IF(P798&gt;='Read me'!$B$16,3,IF(AND(R798&gt;='Read me'!$B$14,P798&lt;='Read me'!$B$15),1,2))))</f>
        <v>2</v>
      </c>
    </row>
    <row r="799" customFormat="false" ht="23.85" hidden="false" customHeight="false" outlineLevel="0" collapsed="false">
      <c r="A799" s="11" t="s">
        <v>5145</v>
      </c>
      <c r="B799" s="11" t="s">
        <v>38</v>
      </c>
      <c r="C799" s="11" t="s">
        <v>206</v>
      </c>
      <c r="D799" s="11" t="s">
        <v>207</v>
      </c>
      <c r="E799" s="11" t="s">
        <v>1187</v>
      </c>
      <c r="F799" s="11" t="s">
        <v>5146</v>
      </c>
      <c r="G799" s="11" t="s">
        <v>5147</v>
      </c>
      <c r="H799" s="11"/>
      <c r="I799" s="11" t="s">
        <v>5148</v>
      </c>
      <c r="J799" s="11" t="s">
        <v>5149</v>
      </c>
      <c r="K799" s="11" t="s">
        <v>5150</v>
      </c>
      <c r="L799" s="11" t="s">
        <v>5151</v>
      </c>
      <c r="M799" s="11"/>
      <c r="N799" s="14" t="n">
        <v>1</v>
      </c>
      <c r="O799" s="14" t="n">
        <v>3</v>
      </c>
      <c r="P799" s="14" t="n">
        <v>5</v>
      </c>
      <c r="Q799" s="14"/>
      <c r="R799" s="12" t="n">
        <f aca="false">IF(OR(N799="",P799=""),"",ROUND(N799*O799/P799,1))</f>
        <v>0.6</v>
      </c>
      <c r="S799" s="13" t="n">
        <f aca="false">IF(R799="","",IF(Q799="Y",1,IF(P799&gt;='Read me'!$B$16,3,IF(AND(R799&gt;='Read me'!$B$14,P799&lt;='Read me'!$B$15),1,2))))</f>
        <v>3</v>
      </c>
    </row>
    <row r="800" customFormat="false" ht="35.05" hidden="false" customHeight="false" outlineLevel="0" collapsed="false">
      <c r="A800" s="11" t="s">
        <v>5152</v>
      </c>
      <c r="B800" s="11" t="s">
        <v>38</v>
      </c>
      <c r="C800" s="11" t="s">
        <v>206</v>
      </c>
      <c r="D800" s="11" t="s">
        <v>207</v>
      </c>
      <c r="E800" s="11" t="s">
        <v>1187</v>
      </c>
      <c r="F800" s="11" t="s">
        <v>5153</v>
      </c>
      <c r="G800" s="11" t="s">
        <v>5154</v>
      </c>
      <c r="H800" s="11"/>
      <c r="I800" s="11" t="s">
        <v>5155</v>
      </c>
      <c r="J800" s="11" t="s">
        <v>5156</v>
      </c>
      <c r="K800" s="11" t="s">
        <v>762</v>
      </c>
      <c r="L800" s="11" t="s">
        <v>5157</v>
      </c>
      <c r="M800" s="11" t="s">
        <v>5158</v>
      </c>
      <c r="N800" s="14" t="n">
        <v>2</v>
      </c>
      <c r="O800" s="14" t="n">
        <v>2</v>
      </c>
      <c r="P800" s="14" t="n">
        <v>4</v>
      </c>
      <c r="Q800" s="14"/>
      <c r="R800" s="12" t="n">
        <f aca="false">IF(OR(N800="",P800=""),"",ROUND(N800*O800/P800,1))</f>
        <v>1</v>
      </c>
      <c r="S800" s="13" t="n">
        <f aca="false">IF(R800="","",IF(Q800="Y",1,IF(P800&gt;='Read me'!$B$16,3,IF(AND(R800&gt;='Read me'!$B$14,P800&lt;='Read me'!$B$15),1,2))))</f>
        <v>3</v>
      </c>
    </row>
    <row r="801" customFormat="false" ht="23.85" hidden="false" customHeight="false" outlineLevel="0" collapsed="false">
      <c r="A801" s="11" t="s">
        <v>5159</v>
      </c>
      <c r="B801" s="11" t="s">
        <v>38</v>
      </c>
      <c r="C801" s="11" t="s">
        <v>206</v>
      </c>
      <c r="D801" s="11" t="s">
        <v>207</v>
      </c>
      <c r="E801" s="11" t="s">
        <v>1133</v>
      </c>
      <c r="F801" s="11" t="s">
        <v>5160</v>
      </c>
      <c r="G801" s="11" t="s">
        <v>4928</v>
      </c>
      <c r="H801" s="11"/>
      <c r="I801" s="11" t="s">
        <v>1368</v>
      </c>
      <c r="J801" s="11" t="s">
        <v>5161</v>
      </c>
      <c r="K801" s="11" t="s">
        <v>997</v>
      </c>
      <c r="L801" s="11" t="s">
        <v>5162</v>
      </c>
      <c r="M801" s="11"/>
      <c r="N801" s="14" t="n">
        <v>2</v>
      </c>
      <c r="O801" s="14" t="n">
        <v>1</v>
      </c>
      <c r="P801" s="14" t="n">
        <v>1</v>
      </c>
      <c r="Q801" s="14"/>
      <c r="R801" s="12" t="n">
        <f aca="false">IF(OR(N801="",P801=""),"",ROUND(N801*O801/P801,1))</f>
        <v>2</v>
      </c>
      <c r="S801" s="13" t="n">
        <f aca="false">IF(R801="","",IF(Q801="Y",1,IF(P801&gt;='Read me'!$B$16,3,IF(AND(R801&gt;='Read me'!$B$14,P801&lt;='Read me'!$B$15),1,2))))</f>
        <v>2</v>
      </c>
    </row>
    <row r="802" customFormat="false" ht="35.05" hidden="false" customHeight="false" outlineLevel="0" collapsed="false">
      <c r="A802" s="11" t="s">
        <v>5163</v>
      </c>
      <c r="B802" s="11" t="s">
        <v>38</v>
      </c>
      <c r="C802" s="11" t="s">
        <v>206</v>
      </c>
      <c r="D802" s="11" t="s">
        <v>207</v>
      </c>
      <c r="E802" s="11" t="s">
        <v>1133</v>
      </c>
      <c r="F802" s="11" t="s">
        <v>5164</v>
      </c>
      <c r="G802" s="11" t="s">
        <v>5165</v>
      </c>
      <c r="H802" s="11"/>
      <c r="I802" s="11" t="s">
        <v>512</v>
      </c>
      <c r="J802" s="11" t="s">
        <v>5166</v>
      </c>
      <c r="K802" s="11" t="s">
        <v>5089</v>
      </c>
      <c r="L802" s="11" t="s">
        <v>5167</v>
      </c>
      <c r="M802" s="11" t="s">
        <v>4716</v>
      </c>
      <c r="N802" s="14" t="n">
        <v>2</v>
      </c>
      <c r="O802" s="14" t="n">
        <v>3</v>
      </c>
      <c r="P802" s="14" t="n">
        <v>2</v>
      </c>
      <c r="Q802" s="14"/>
      <c r="R802" s="12" t="n">
        <f aca="false">IF(OR(N802="",P802=""),"",ROUND(N802*O802/P802,1))</f>
        <v>3</v>
      </c>
      <c r="S802" s="13" t="n">
        <f aca="false">IF(R802="","",IF(Q802="Y",1,IF(P802&gt;='Read me'!$B$16,3,IF(AND(R802&gt;='Read me'!$B$14,P802&lt;='Read me'!$B$15),1,2))))</f>
        <v>2</v>
      </c>
    </row>
    <row r="803" customFormat="false" ht="35.05" hidden="false" customHeight="false" outlineLevel="0" collapsed="false">
      <c r="A803" s="11" t="s">
        <v>5168</v>
      </c>
      <c r="B803" s="11" t="s">
        <v>38</v>
      </c>
      <c r="C803" s="11" t="s">
        <v>206</v>
      </c>
      <c r="D803" s="11" t="s">
        <v>207</v>
      </c>
      <c r="E803" s="11" t="s">
        <v>1372</v>
      </c>
      <c r="F803" s="11" t="s">
        <v>5169</v>
      </c>
      <c r="G803" s="11" t="s">
        <v>5170</v>
      </c>
      <c r="H803" s="11"/>
      <c r="I803" s="11" t="s">
        <v>5171</v>
      </c>
      <c r="J803" s="11" t="s">
        <v>5172</v>
      </c>
      <c r="K803" s="11" t="s">
        <v>5173</v>
      </c>
      <c r="L803" s="11" t="s">
        <v>5174</v>
      </c>
      <c r="M803" s="11" t="s">
        <v>4716</v>
      </c>
      <c r="N803" s="14" t="n">
        <v>2</v>
      </c>
      <c r="O803" s="14" t="n">
        <v>2</v>
      </c>
      <c r="P803" s="14" t="n">
        <v>2</v>
      </c>
      <c r="Q803" s="14"/>
      <c r="R803" s="12" t="n">
        <f aca="false">IF(OR(N803="",P803=""),"",ROUND(N803*O803/P803,1))</f>
        <v>2</v>
      </c>
      <c r="S803" s="13" t="n">
        <f aca="false">IF(R803="","",IF(Q803="Y",1,IF(P803&gt;='Read me'!$B$16,3,IF(AND(R803&gt;='Read me'!$B$14,P803&lt;='Read me'!$B$15),1,2))))</f>
        <v>2</v>
      </c>
    </row>
    <row r="804" customFormat="false" ht="23.85" hidden="false" customHeight="false" outlineLevel="0" collapsed="false">
      <c r="A804" s="11" t="s">
        <v>5175</v>
      </c>
      <c r="B804" s="11" t="s">
        <v>38</v>
      </c>
      <c r="C804" s="11" t="s">
        <v>210</v>
      </c>
      <c r="D804" s="11" t="s">
        <v>211</v>
      </c>
      <c r="E804" s="11" t="s">
        <v>476</v>
      </c>
      <c r="F804" s="11" t="s">
        <v>5176</v>
      </c>
      <c r="G804" s="11" t="s">
        <v>5177</v>
      </c>
      <c r="H804" s="11"/>
      <c r="I804" s="11" t="s">
        <v>5178</v>
      </c>
      <c r="J804" s="11" t="s">
        <v>5179</v>
      </c>
      <c r="K804" s="11" t="s">
        <v>5180</v>
      </c>
      <c r="L804" s="11" t="s">
        <v>5181</v>
      </c>
      <c r="M804" s="11" t="s">
        <v>5182</v>
      </c>
      <c r="N804" s="14" t="n">
        <v>3</v>
      </c>
      <c r="O804" s="14" t="n">
        <v>2</v>
      </c>
      <c r="P804" s="14" t="n">
        <v>1</v>
      </c>
      <c r="Q804" s="14"/>
      <c r="R804" s="12" t="n">
        <f aca="false">IF(OR(N804="",P804=""),"",ROUND(N804*O804/P804,1))</f>
        <v>6</v>
      </c>
      <c r="S804" s="13" t="n">
        <f aca="false">IF(R804="","",IF(Q804="Y",1,IF(P804&gt;='Read me'!$B$16,3,IF(AND(R804&gt;='Read me'!$B$14,P804&lt;='Read me'!$B$15),1,2))))</f>
        <v>1</v>
      </c>
    </row>
    <row r="805" customFormat="false" ht="35.05" hidden="false" customHeight="false" outlineLevel="0" collapsed="false">
      <c r="A805" s="11" t="s">
        <v>5183</v>
      </c>
      <c r="B805" s="11" t="s">
        <v>38</v>
      </c>
      <c r="C805" s="11" t="s">
        <v>210</v>
      </c>
      <c r="D805" s="11" t="s">
        <v>211</v>
      </c>
      <c r="E805" s="11" t="s">
        <v>476</v>
      </c>
      <c r="F805" s="11" t="s">
        <v>5184</v>
      </c>
      <c r="G805" s="11" t="s">
        <v>5185</v>
      </c>
      <c r="H805" s="11"/>
      <c r="I805" s="11" t="s">
        <v>512</v>
      </c>
      <c r="J805" s="11" t="s">
        <v>5186</v>
      </c>
      <c r="K805" s="11" t="s">
        <v>5187</v>
      </c>
      <c r="L805" s="11" t="s">
        <v>5188</v>
      </c>
      <c r="M805" s="11" t="s">
        <v>4716</v>
      </c>
      <c r="N805" s="14" t="n">
        <v>2</v>
      </c>
      <c r="O805" s="14" t="n">
        <v>2</v>
      </c>
      <c r="P805" s="14" t="n">
        <v>1</v>
      </c>
      <c r="Q805" s="14"/>
      <c r="R805" s="12" t="n">
        <f aca="false">IF(OR(N805="",P805=""),"",ROUND(N805*O805/P805,1))</f>
        <v>4</v>
      </c>
      <c r="S805" s="13" t="n">
        <f aca="false">IF(R805="","",IF(Q805="Y",1,IF(P805&gt;='Read me'!$B$16,3,IF(AND(R805&gt;='Read me'!$B$14,P805&lt;='Read me'!$B$15),1,2))))</f>
        <v>2</v>
      </c>
    </row>
    <row r="806" customFormat="false" ht="23.85" hidden="false" customHeight="false" outlineLevel="0" collapsed="false">
      <c r="A806" s="11" t="s">
        <v>5189</v>
      </c>
      <c r="B806" s="11" t="s">
        <v>38</v>
      </c>
      <c r="C806" s="11" t="s">
        <v>210</v>
      </c>
      <c r="D806" s="11" t="s">
        <v>211</v>
      </c>
      <c r="E806" s="11" t="s">
        <v>532</v>
      </c>
      <c r="F806" s="11" t="s">
        <v>5176</v>
      </c>
      <c r="G806" s="11" t="s">
        <v>5190</v>
      </c>
      <c r="H806" s="11"/>
      <c r="I806" s="11" t="s">
        <v>5191</v>
      </c>
      <c r="J806" s="11" t="s">
        <v>5192</v>
      </c>
      <c r="K806" s="11" t="s">
        <v>4161</v>
      </c>
      <c r="L806" s="11" t="s">
        <v>5193</v>
      </c>
      <c r="M806" s="11" t="s">
        <v>5182</v>
      </c>
      <c r="N806" s="14" t="n">
        <v>5</v>
      </c>
      <c r="O806" s="14" t="n">
        <v>4</v>
      </c>
      <c r="P806" s="14" t="n">
        <v>2</v>
      </c>
      <c r="Q806" s="14"/>
      <c r="R806" s="12" t="n">
        <f aca="false">IF(OR(N806="",P806=""),"",ROUND(N806*O806/P806,1))</f>
        <v>10</v>
      </c>
      <c r="S806" s="13" t="n">
        <f aca="false">IF(R806="","",IF(Q806="Y",1,IF(P806&gt;='Read me'!$B$16,3,IF(AND(R806&gt;='Read me'!$B$14,P806&lt;='Read me'!$B$15),1,2))))</f>
        <v>1</v>
      </c>
    </row>
    <row r="807" customFormat="false" ht="23.85" hidden="false" customHeight="false" outlineLevel="0" collapsed="false">
      <c r="A807" s="11" t="s">
        <v>5194</v>
      </c>
      <c r="B807" s="11" t="s">
        <v>38</v>
      </c>
      <c r="C807" s="11" t="s">
        <v>210</v>
      </c>
      <c r="D807" s="11" t="s">
        <v>211</v>
      </c>
      <c r="E807" s="11" t="s">
        <v>532</v>
      </c>
      <c r="F807" s="11" t="s">
        <v>5176</v>
      </c>
      <c r="G807" s="11" t="s">
        <v>597</v>
      </c>
      <c r="H807" s="11"/>
      <c r="I807" s="11" t="s">
        <v>5195</v>
      </c>
      <c r="J807" s="11" t="s">
        <v>5196</v>
      </c>
      <c r="K807" s="11" t="s">
        <v>5197</v>
      </c>
      <c r="L807" s="11" t="s">
        <v>5198</v>
      </c>
      <c r="M807" s="11"/>
      <c r="N807" s="14" t="n">
        <v>3</v>
      </c>
      <c r="O807" s="14" t="n">
        <v>3</v>
      </c>
      <c r="P807" s="14" t="n">
        <v>2</v>
      </c>
      <c r="Q807" s="14"/>
      <c r="R807" s="12" t="n">
        <f aca="false">IF(OR(N807="",P807=""),"",ROUND(N807*O807/P807,1))</f>
        <v>4.5</v>
      </c>
      <c r="S807" s="13" t="n">
        <f aca="false">IF(R807="","",IF(Q807="Y",1,IF(P807&gt;='Read me'!$B$16,3,IF(AND(R807&gt;='Read me'!$B$14,P807&lt;='Read me'!$B$15),1,2))))</f>
        <v>2</v>
      </c>
    </row>
    <row r="808" customFormat="false" ht="23.85" hidden="false" customHeight="false" outlineLevel="0" collapsed="false">
      <c r="A808" s="11" t="s">
        <v>5199</v>
      </c>
      <c r="B808" s="11" t="s">
        <v>38</v>
      </c>
      <c r="C808" s="11" t="s">
        <v>210</v>
      </c>
      <c r="D808" s="11" t="s">
        <v>211</v>
      </c>
      <c r="E808" s="11" t="s">
        <v>532</v>
      </c>
      <c r="F808" s="11" t="s">
        <v>5176</v>
      </c>
      <c r="G808" s="11" t="s">
        <v>5200</v>
      </c>
      <c r="H808" s="11"/>
      <c r="I808" s="11" t="s">
        <v>5201</v>
      </c>
      <c r="J808" s="11" t="s">
        <v>5202</v>
      </c>
      <c r="K808" s="11" t="s">
        <v>5203</v>
      </c>
      <c r="L808" s="11" t="s">
        <v>5204</v>
      </c>
      <c r="M808" s="11" t="s">
        <v>5205</v>
      </c>
      <c r="N808" s="14" t="n">
        <v>3</v>
      </c>
      <c r="O808" s="14" t="n">
        <v>3</v>
      </c>
      <c r="P808" s="14" t="n">
        <v>3</v>
      </c>
      <c r="Q808" s="14"/>
      <c r="R808" s="12" t="n">
        <f aca="false">IF(OR(N808="",P808=""),"",ROUND(N808*O808/P808,1))</f>
        <v>3</v>
      </c>
      <c r="S808" s="13" t="n">
        <f aca="false">IF(R808="","",IF(Q808="Y",1,IF(P808&gt;='Read me'!$B$16,3,IF(AND(R808&gt;='Read me'!$B$14,P808&lt;='Read me'!$B$15),1,2))))</f>
        <v>2</v>
      </c>
    </row>
    <row r="809" customFormat="false" ht="23.85" hidden="false" customHeight="false" outlineLevel="0" collapsed="false">
      <c r="A809" s="11" t="s">
        <v>5206</v>
      </c>
      <c r="B809" s="11" t="s">
        <v>38</v>
      </c>
      <c r="C809" s="11" t="s">
        <v>210</v>
      </c>
      <c r="D809" s="11" t="s">
        <v>211</v>
      </c>
      <c r="E809" s="11" t="s">
        <v>532</v>
      </c>
      <c r="F809" s="11" t="s">
        <v>5176</v>
      </c>
      <c r="G809" s="11" t="s">
        <v>5207</v>
      </c>
      <c r="H809" s="11"/>
      <c r="I809" s="11" t="s">
        <v>5208</v>
      </c>
      <c r="J809" s="11" t="s">
        <v>5209</v>
      </c>
      <c r="K809" s="11" t="s">
        <v>5210</v>
      </c>
      <c r="L809" s="11" t="s">
        <v>5211</v>
      </c>
      <c r="M809" s="11"/>
      <c r="N809" s="14" t="n">
        <v>2</v>
      </c>
      <c r="O809" s="14" t="n">
        <v>2</v>
      </c>
      <c r="P809" s="14" t="n">
        <v>1</v>
      </c>
      <c r="Q809" s="14"/>
      <c r="R809" s="12" t="n">
        <f aca="false">IF(OR(N809="",P809=""),"",ROUND(N809*O809/P809,1))</f>
        <v>4</v>
      </c>
      <c r="S809" s="13" t="n">
        <f aca="false">IF(R809="","",IF(Q809="Y",1,IF(P809&gt;='Read me'!$B$16,3,IF(AND(R809&gt;='Read me'!$B$14,P809&lt;='Read me'!$B$15),1,2))))</f>
        <v>2</v>
      </c>
    </row>
    <row r="810" customFormat="false" ht="23.85" hidden="false" customHeight="false" outlineLevel="0" collapsed="false">
      <c r="A810" s="11" t="s">
        <v>5212</v>
      </c>
      <c r="B810" s="11" t="s">
        <v>38</v>
      </c>
      <c r="C810" s="11" t="s">
        <v>210</v>
      </c>
      <c r="D810" s="11" t="s">
        <v>211</v>
      </c>
      <c r="E810" s="11" t="s">
        <v>532</v>
      </c>
      <c r="F810" s="11" t="s">
        <v>5213</v>
      </c>
      <c r="G810" s="11" t="s">
        <v>5214</v>
      </c>
      <c r="H810" s="11"/>
      <c r="I810" s="11" t="s">
        <v>5215</v>
      </c>
      <c r="J810" s="11" t="s">
        <v>5216</v>
      </c>
      <c r="K810" s="11" t="s">
        <v>4729</v>
      </c>
      <c r="L810" s="11" t="s">
        <v>5217</v>
      </c>
      <c r="M810" s="11"/>
      <c r="N810" s="14" t="n">
        <v>4</v>
      </c>
      <c r="O810" s="14" t="n">
        <v>4</v>
      </c>
      <c r="P810" s="14" t="n">
        <v>2</v>
      </c>
      <c r="Q810" s="14"/>
      <c r="R810" s="12" t="n">
        <f aca="false">IF(OR(N810="",P810=""),"",ROUND(N810*O810/P810,1))</f>
        <v>8</v>
      </c>
      <c r="S810" s="13" t="n">
        <f aca="false">IF(R810="","",IF(Q810="Y",1,IF(P810&gt;='Read me'!$B$16,3,IF(AND(R810&gt;='Read me'!$B$14,P810&lt;='Read me'!$B$15),1,2))))</f>
        <v>1</v>
      </c>
    </row>
    <row r="811" customFormat="false" ht="23.85" hidden="false" customHeight="false" outlineLevel="0" collapsed="false">
      <c r="A811" s="11" t="s">
        <v>5218</v>
      </c>
      <c r="B811" s="11" t="s">
        <v>38</v>
      </c>
      <c r="C811" s="11" t="s">
        <v>210</v>
      </c>
      <c r="D811" s="11" t="s">
        <v>211</v>
      </c>
      <c r="E811" s="11" t="s">
        <v>626</v>
      </c>
      <c r="F811" s="11" t="s">
        <v>5219</v>
      </c>
      <c r="G811" s="11" t="s">
        <v>5220</v>
      </c>
      <c r="H811" s="11"/>
      <c r="I811" s="11" t="s">
        <v>5221</v>
      </c>
      <c r="J811" s="11" t="s">
        <v>5222</v>
      </c>
      <c r="K811" s="11" t="s">
        <v>5223</v>
      </c>
      <c r="L811" s="11" t="s">
        <v>5224</v>
      </c>
      <c r="M811" s="11"/>
      <c r="N811" s="14" t="n">
        <v>4</v>
      </c>
      <c r="O811" s="14" t="n">
        <v>3</v>
      </c>
      <c r="P811" s="14" t="n">
        <v>1</v>
      </c>
      <c r="Q811" s="14"/>
      <c r="R811" s="12" t="n">
        <f aca="false">IF(OR(N811="",P811=""),"",ROUND(N811*O811/P811,1))</f>
        <v>12</v>
      </c>
      <c r="S811" s="13" t="n">
        <f aca="false">IF(R811="","",IF(Q811="Y",1,IF(P811&gt;='Read me'!$B$16,3,IF(AND(R811&gt;='Read me'!$B$14,P811&lt;='Read me'!$B$15),1,2))))</f>
        <v>1</v>
      </c>
    </row>
    <row r="812" customFormat="false" ht="35.05" hidden="false" customHeight="false" outlineLevel="0" collapsed="false">
      <c r="A812" s="11" t="s">
        <v>5225</v>
      </c>
      <c r="B812" s="11" t="s">
        <v>38</v>
      </c>
      <c r="C812" s="11" t="s">
        <v>210</v>
      </c>
      <c r="D812" s="11" t="s">
        <v>211</v>
      </c>
      <c r="E812" s="11" t="s">
        <v>626</v>
      </c>
      <c r="F812" s="11" t="s">
        <v>5226</v>
      </c>
      <c r="G812" s="11" t="s">
        <v>4237</v>
      </c>
      <c r="H812" s="11"/>
      <c r="I812" s="11" t="s">
        <v>5227</v>
      </c>
      <c r="J812" s="11" t="s">
        <v>5228</v>
      </c>
      <c r="K812" s="11" t="s">
        <v>916</v>
      </c>
      <c r="L812" s="11" t="s">
        <v>5229</v>
      </c>
      <c r="M812" s="11"/>
      <c r="N812" s="14" t="n">
        <v>2</v>
      </c>
      <c r="O812" s="14" t="n">
        <v>3</v>
      </c>
      <c r="P812" s="14" t="n">
        <v>5</v>
      </c>
      <c r="Q812" s="14"/>
      <c r="R812" s="12" t="n">
        <f aca="false">IF(OR(N812="",P812=""),"",ROUND(N812*O812/P812,1))</f>
        <v>1.2</v>
      </c>
      <c r="S812" s="13" t="n">
        <f aca="false">IF(R812="","",IF(Q812="Y",1,IF(P812&gt;='Read me'!$B$16,3,IF(AND(R812&gt;='Read me'!$B$14,P812&lt;='Read me'!$B$15),1,2))))</f>
        <v>3</v>
      </c>
    </row>
    <row r="813" customFormat="false" ht="23.85" hidden="false" customHeight="false" outlineLevel="0" collapsed="false">
      <c r="A813" s="11" t="s">
        <v>5230</v>
      </c>
      <c r="B813" s="11" t="s">
        <v>38</v>
      </c>
      <c r="C813" s="11" t="s">
        <v>210</v>
      </c>
      <c r="D813" s="11" t="s">
        <v>211</v>
      </c>
      <c r="E813" s="11" t="s">
        <v>626</v>
      </c>
      <c r="F813" s="11" t="s">
        <v>5231</v>
      </c>
      <c r="G813" s="11" t="s">
        <v>5232</v>
      </c>
      <c r="H813" s="11"/>
      <c r="I813" s="11" t="s">
        <v>5233</v>
      </c>
      <c r="J813" s="11" t="s">
        <v>5234</v>
      </c>
      <c r="K813" s="11" t="s">
        <v>5235</v>
      </c>
      <c r="L813" s="11" t="s">
        <v>5236</v>
      </c>
      <c r="M813" s="11"/>
      <c r="N813" s="14" t="n">
        <v>2</v>
      </c>
      <c r="O813" s="14" t="n">
        <v>3</v>
      </c>
      <c r="P813" s="14" t="n">
        <v>2</v>
      </c>
      <c r="Q813" s="14"/>
      <c r="R813" s="12" t="n">
        <f aca="false">IF(OR(N813="",P813=""),"",ROUND(N813*O813/P813,1))</f>
        <v>3</v>
      </c>
      <c r="S813" s="13" t="n">
        <f aca="false">IF(R813="","",IF(Q813="Y",1,IF(P813&gt;='Read me'!$B$16,3,IF(AND(R813&gt;='Read me'!$B$14,P813&lt;='Read me'!$B$15),1,2))))</f>
        <v>2</v>
      </c>
    </row>
    <row r="814" customFormat="false" ht="23.85" hidden="false" customHeight="false" outlineLevel="0" collapsed="false">
      <c r="A814" s="11" t="s">
        <v>5237</v>
      </c>
      <c r="B814" s="11" t="s">
        <v>38</v>
      </c>
      <c r="C814" s="11" t="s">
        <v>210</v>
      </c>
      <c r="D814" s="11" t="s">
        <v>211</v>
      </c>
      <c r="E814" s="11" t="s">
        <v>626</v>
      </c>
      <c r="F814" s="11" t="s">
        <v>5238</v>
      </c>
      <c r="G814" s="11" t="s">
        <v>5239</v>
      </c>
      <c r="H814" s="11"/>
      <c r="I814" s="11" t="s">
        <v>5240</v>
      </c>
      <c r="J814" s="11" t="s">
        <v>5241</v>
      </c>
      <c r="K814" s="11" t="s">
        <v>2964</v>
      </c>
      <c r="L814" s="11" t="s">
        <v>5242</v>
      </c>
      <c r="M814" s="11"/>
      <c r="N814" s="14" t="n">
        <v>2</v>
      </c>
      <c r="O814" s="14" t="n">
        <v>3</v>
      </c>
      <c r="P814" s="14" t="n">
        <v>1</v>
      </c>
      <c r="Q814" s="14"/>
      <c r="R814" s="12" t="n">
        <f aca="false">IF(OR(N814="",P814=""),"",ROUND(N814*O814/P814,1))</f>
        <v>6</v>
      </c>
      <c r="S814" s="13" t="n">
        <f aca="false">IF(R814="","",IF(Q814="Y",1,IF(P814&gt;='Read me'!$B$16,3,IF(AND(R814&gt;='Read me'!$B$14,P814&lt;='Read me'!$B$15),1,2))))</f>
        <v>1</v>
      </c>
    </row>
    <row r="815" customFormat="false" ht="23.85" hidden="false" customHeight="false" outlineLevel="0" collapsed="false">
      <c r="A815" s="11" t="s">
        <v>5243</v>
      </c>
      <c r="B815" s="11" t="s">
        <v>38</v>
      </c>
      <c r="C815" s="11" t="s">
        <v>210</v>
      </c>
      <c r="D815" s="11" t="s">
        <v>211</v>
      </c>
      <c r="E815" s="11" t="s">
        <v>751</v>
      </c>
      <c r="F815" s="11" t="s">
        <v>5244</v>
      </c>
      <c r="G815" s="11" t="s">
        <v>1252</v>
      </c>
      <c r="H815" s="11"/>
      <c r="I815" s="11" t="s">
        <v>1251</v>
      </c>
      <c r="J815" s="11" t="s">
        <v>5245</v>
      </c>
      <c r="K815" s="11" t="s">
        <v>4777</v>
      </c>
      <c r="L815" s="11" t="s">
        <v>5246</v>
      </c>
      <c r="M815" s="11" t="s">
        <v>1577</v>
      </c>
      <c r="N815" s="14" t="n">
        <v>5</v>
      </c>
      <c r="O815" s="14" t="n">
        <v>4</v>
      </c>
      <c r="P815" s="14" t="n">
        <v>3</v>
      </c>
      <c r="Q815" s="14"/>
      <c r="R815" s="12" t="n">
        <f aca="false">IF(OR(N815="",P815=""),"",ROUND(N815*O815/P815,1))</f>
        <v>6.7</v>
      </c>
      <c r="S815" s="13" t="n">
        <f aca="false">IF(R815="","",IF(Q815="Y",1,IF(P815&gt;='Read me'!$B$16,3,IF(AND(R815&gt;='Read me'!$B$14,P815&lt;='Read me'!$B$15),1,2))))</f>
        <v>2</v>
      </c>
    </row>
    <row r="816" customFormat="false" ht="23.85" hidden="false" customHeight="false" outlineLevel="0" collapsed="false">
      <c r="A816" s="11" t="s">
        <v>5247</v>
      </c>
      <c r="B816" s="11" t="s">
        <v>38</v>
      </c>
      <c r="C816" s="11" t="s">
        <v>210</v>
      </c>
      <c r="D816" s="11" t="s">
        <v>211</v>
      </c>
      <c r="E816" s="11" t="s">
        <v>751</v>
      </c>
      <c r="F816" s="11" t="s">
        <v>5244</v>
      </c>
      <c r="G816" s="11" t="s">
        <v>1259</v>
      </c>
      <c r="H816" s="11"/>
      <c r="I816" s="11" t="s">
        <v>5248</v>
      </c>
      <c r="J816" s="11" t="s">
        <v>5249</v>
      </c>
      <c r="K816" s="11" t="s">
        <v>1262</v>
      </c>
      <c r="L816" s="11" t="s">
        <v>1263</v>
      </c>
      <c r="M816" s="11" t="s">
        <v>1577</v>
      </c>
      <c r="N816" s="14" t="n">
        <v>4</v>
      </c>
      <c r="O816" s="14" t="n">
        <v>4</v>
      </c>
      <c r="P816" s="14" t="n">
        <v>3</v>
      </c>
      <c r="Q816" s="14"/>
      <c r="R816" s="12" t="n">
        <f aca="false">IF(OR(N816="",P816=""),"",ROUND(N816*O816/P816,1))</f>
        <v>5.3</v>
      </c>
      <c r="S816" s="13" t="n">
        <f aca="false">IF(R816="","",IF(Q816="Y",1,IF(P816&gt;='Read me'!$B$16,3,IF(AND(R816&gt;='Read me'!$B$14,P816&lt;='Read me'!$B$15),1,2))))</f>
        <v>2</v>
      </c>
    </row>
    <row r="817" customFormat="false" ht="23.85" hidden="false" customHeight="false" outlineLevel="0" collapsed="false">
      <c r="A817" s="11" t="s">
        <v>5250</v>
      </c>
      <c r="B817" s="11" t="s">
        <v>38</v>
      </c>
      <c r="C817" s="11" t="s">
        <v>210</v>
      </c>
      <c r="D817" s="11" t="s">
        <v>211</v>
      </c>
      <c r="E817" s="11" t="s">
        <v>751</v>
      </c>
      <c r="F817" s="11" t="s">
        <v>5251</v>
      </c>
      <c r="G817" s="11" t="s">
        <v>5252</v>
      </c>
      <c r="H817" s="11"/>
      <c r="I817" s="11" t="s">
        <v>5253</v>
      </c>
      <c r="J817" s="11" t="s">
        <v>5254</v>
      </c>
      <c r="K817" s="11" t="s">
        <v>5255</v>
      </c>
      <c r="L817" s="11" t="s">
        <v>5256</v>
      </c>
      <c r="M817" s="11"/>
      <c r="N817" s="14" t="n">
        <v>3</v>
      </c>
      <c r="O817" s="14" t="n">
        <v>3</v>
      </c>
      <c r="P817" s="14" t="n">
        <v>2</v>
      </c>
      <c r="Q817" s="14"/>
      <c r="R817" s="12" t="n">
        <f aca="false">IF(OR(N817="",P817=""),"",ROUND(N817*O817/P817,1))</f>
        <v>4.5</v>
      </c>
      <c r="S817" s="13" t="n">
        <f aca="false">IF(R817="","",IF(Q817="Y",1,IF(P817&gt;='Read me'!$B$16,3,IF(AND(R817&gt;='Read me'!$B$14,P817&lt;='Read me'!$B$15),1,2))))</f>
        <v>2</v>
      </c>
    </row>
    <row r="818" customFormat="false" ht="23.85" hidden="false" customHeight="false" outlineLevel="0" collapsed="false">
      <c r="A818" s="11" t="s">
        <v>5257</v>
      </c>
      <c r="B818" s="11" t="s">
        <v>38</v>
      </c>
      <c r="C818" s="11" t="s">
        <v>210</v>
      </c>
      <c r="D818" s="11" t="s">
        <v>211</v>
      </c>
      <c r="E818" s="11" t="s">
        <v>751</v>
      </c>
      <c r="F818" s="11" t="s">
        <v>5244</v>
      </c>
      <c r="G818" s="11" t="s">
        <v>1299</v>
      </c>
      <c r="H818" s="11" t="s">
        <v>1564</v>
      </c>
      <c r="I818" s="11" t="s">
        <v>754</v>
      </c>
      <c r="J818" s="11" t="s">
        <v>5258</v>
      </c>
      <c r="K818" s="11" t="s">
        <v>1959</v>
      </c>
      <c r="L818" s="11" t="s">
        <v>1301</v>
      </c>
      <c r="M818" s="11"/>
      <c r="N818" s="14" t="n">
        <v>2</v>
      </c>
      <c r="O818" s="14" t="n">
        <v>2</v>
      </c>
      <c r="P818" s="14" t="n">
        <v>3</v>
      </c>
      <c r="Q818" s="14"/>
      <c r="R818" s="12" t="n">
        <f aca="false">IF(OR(N818="",P818=""),"",ROUND(N818*O818/P818,1))</f>
        <v>1.3</v>
      </c>
      <c r="S818" s="13" t="n">
        <f aca="false">IF(R818="","",IF(Q818="Y",1,IF(P818&gt;='Read me'!$B$16,3,IF(AND(R818&gt;='Read me'!$B$14,P818&lt;='Read me'!$B$15),1,2))))</f>
        <v>2</v>
      </c>
    </row>
    <row r="819" customFormat="false" ht="23.85" hidden="false" customHeight="false" outlineLevel="0" collapsed="false">
      <c r="A819" s="11" t="s">
        <v>5259</v>
      </c>
      <c r="B819" s="11" t="s">
        <v>38</v>
      </c>
      <c r="C819" s="11" t="s">
        <v>210</v>
      </c>
      <c r="D819" s="11" t="s">
        <v>211</v>
      </c>
      <c r="E819" s="11" t="s">
        <v>802</v>
      </c>
      <c r="F819" s="11" t="s">
        <v>4796</v>
      </c>
      <c r="G819" s="11" t="s">
        <v>5260</v>
      </c>
      <c r="H819" s="11"/>
      <c r="I819" s="11" t="s">
        <v>5261</v>
      </c>
      <c r="J819" s="11" t="s">
        <v>5262</v>
      </c>
      <c r="K819" s="11" t="s">
        <v>5263</v>
      </c>
      <c r="L819" s="11" t="s">
        <v>5264</v>
      </c>
      <c r="M819" s="11"/>
      <c r="N819" s="14" t="n">
        <v>2</v>
      </c>
      <c r="O819" s="14" t="n">
        <v>2</v>
      </c>
      <c r="P819" s="14" t="n">
        <v>2</v>
      </c>
      <c r="Q819" s="14"/>
      <c r="R819" s="12" t="n">
        <f aca="false">IF(OR(N819="",P819=""),"",ROUND(N819*O819/P819,1))</f>
        <v>2</v>
      </c>
      <c r="S819" s="13" t="n">
        <f aca="false">IF(R819="","",IF(Q819="Y",1,IF(P819&gt;='Read me'!$B$16,3,IF(AND(R819&gt;='Read me'!$B$14,P819&lt;='Read me'!$B$15),1,2))))</f>
        <v>2</v>
      </c>
    </row>
    <row r="820" customFormat="false" ht="23.85" hidden="false" customHeight="false" outlineLevel="0" collapsed="false">
      <c r="A820" s="11" t="s">
        <v>5265</v>
      </c>
      <c r="B820" s="11" t="s">
        <v>38</v>
      </c>
      <c r="C820" s="11" t="s">
        <v>210</v>
      </c>
      <c r="D820" s="11" t="s">
        <v>211</v>
      </c>
      <c r="E820" s="11" t="s">
        <v>765</v>
      </c>
      <c r="F820" s="11" t="s">
        <v>4816</v>
      </c>
      <c r="G820" s="11" t="s">
        <v>5266</v>
      </c>
      <c r="H820" s="11"/>
      <c r="I820" s="11" t="s">
        <v>5267</v>
      </c>
      <c r="J820" s="11" t="s">
        <v>5268</v>
      </c>
      <c r="K820" s="11" t="s">
        <v>4819</v>
      </c>
      <c r="L820" s="11" t="s">
        <v>5269</v>
      </c>
      <c r="M820" s="11"/>
      <c r="N820" s="14" t="n">
        <v>2</v>
      </c>
      <c r="O820" s="14" t="n">
        <v>2</v>
      </c>
      <c r="P820" s="14" t="n">
        <v>3</v>
      </c>
      <c r="Q820" s="14"/>
      <c r="R820" s="12" t="n">
        <f aca="false">IF(OR(N820="",P820=""),"",ROUND(N820*O820/P820,1))</f>
        <v>1.3</v>
      </c>
      <c r="S820" s="13" t="n">
        <f aca="false">IF(R820="","",IF(Q820="Y",1,IF(P820&gt;='Read me'!$B$16,3,IF(AND(R820&gt;='Read me'!$B$14,P820&lt;='Read me'!$B$15),1,2))))</f>
        <v>2</v>
      </c>
    </row>
    <row r="821" customFormat="false" ht="23.85" hidden="false" customHeight="false" outlineLevel="0" collapsed="false">
      <c r="A821" s="11" t="s">
        <v>5270</v>
      </c>
      <c r="B821" s="11" t="s">
        <v>38</v>
      </c>
      <c r="C821" s="11" t="s">
        <v>210</v>
      </c>
      <c r="D821" s="11" t="s">
        <v>211</v>
      </c>
      <c r="E821" s="11" t="s">
        <v>1081</v>
      </c>
      <c r="F821" s="11" t="s">
        <v>5271</v>
      </c>
      <c r="G821" s="11" t="s">
        <v>219</v>
      </c>
      <c r="H821" s="11"/>
      <c r="I821" s="11" t="s">
        <v>5272</v>
      </c>
      <c r="J821" s="11" t="s">
        <v>5273</v>
      </c>
      <c r="K821" s="11" t="s">
        <v>4825</v>
      </c>
      <c r="L821" s="11" t="s">
        <v>4826</v>
      </c>
      <c r="M821" s="11"/>
      <c r="N821" s="14" t="n">
        <v>5</v>
      </c>
      <c r="O821" s="14" t="n">
        <v>3</v>
      </c>
      <c r="P821" s="14" t="n">
        <v>1</v>
      </c>
      <c r="Q821" s="14"/>
      <c r="R821" s="12" t="n">
        <f aca="false">IF(OR(N821="",P821=""),"",ROUND(N821*O821/P821,1))</f>
        <v>15</v>
      </c>
      <c r="S821" s="13" t="n">
        <f aca="false">IF(R821="","",IF(Q821="Y",1,IF(P821&gt;='Read me'!$B$16,3,IF(AND(R821&gt;='Read me'!$B$14,P821&lt;='Read me'!$B$15),1,2))))</f>
        <v>1</v>
      </c>
    </row>
    <row r="822" customFormat="false" ht="23.85" hidden="false" customHeight="false" outlineLevel="0" collapsed="false">
      <c r="A822" s="11" t="s">
        <v>5274</v>
      </c>
      <c r="B822" s="11" t="s">
        <v>38</v>
      </c>
      <c r="C822" s="11" t="s">
        <v>210</v>
      </c>
      <c r="D822" s="11" t="s">
        <v>211</v>
      </c>
      <c r="E822" s="11" t="s">
        <v>1187</v>
      </c>
      <c r="F822" s="11" t="s">
        <v>5275</v>
      </c>
      <c r="G822" s="11" t="s">
        <v>5276</v>
      </c>
      <c r="H822" s="11" t="s">
        <v>4828</v>
      </c>
      <c r="I822" s="11" t="s">
        <v>512</v>
      </c>
      <c r="J822" s="11" t="s">
        <v>5277</v>
      </c>
      <c r="K822" s="11" t="s">
        <v>4830</v>
      </c>
      <c r="L822" s="11" t="s">
        <v>5278</v>
      </c>
      <c r="M822" s="11"/>
      <c r="N822" s="14" t="n">
        <v>3</v>
      </c>
      <c r="O822" s="14" t="n">
        <v>3</v>
      </c>
      <c r="P822" s="14" t="n">
        <v>2</v>
      </c>
      <c r="Q822" s="14"/>
      <c r="R822" s="12" t="n">
        <f aca="false">IF(OR(N822="",P822=""),"",ROUND(N822*O822/P822,1))</f>
        <v>4.5</v>
      </c>
      <c r="S822" s="13" t="n">
        <f aca="false">IF(R822="","",IF(Q822="Y",1,IF(P822&gt;='Read me'!$B$16,3,IF(AND(R822&gt;='Read me'!$B$14,P822&lt;='Read me'!$B$15),1,2))))</f>
        <v>2</v>
      </c>
    </row>
    <row r="823" customFormat="false" ht="23.85" hidden="false" customHeight="false" outlineLevel="0" collapsed="false">
      <c r="A823" s="11" t="s">
        <v>5279</v>
      </c>
      <c r="B823" s="11" t="s">
        <v>38</v>
      </c>
      <c r="C823" s="11" t="s">
        <v>210</v>
      </c>
      <c r="D823" s="11" t="s">
        <v>211</v>
      </c>
      <c r="E823" s="11" t="s">
        <v>1187</v>
      </c>
      <c r="F823" s="11" t="s">
        <v>5280</v>
      </c>
      <c r="G823" s="11" t="s">
        <v>5281</v>
      </c>
      <c r="H823" s="11" t="s">
        <v>1700</v>
      </c>
      <c r="I823" s="11" t="s">
        <v>512</v>
      </c>
      <c r="J823" s="11" t="s">
        <v>5282</v>
      </c>
      <c r="K823" s="11" t="s">
        <v>1702</v>
      </c>
      <c r="L823" s="11" t="s">
        <v>5283</v>
      </c>
      <c r="M823" s="11"/>
      <c r="N823" s="14" t="n">
        <v>2</v>
      </c>
      <c r="O823" s="14" t="n">
        <v>3</v>
      </c>
      <c r="P823" s="14" t="n">
        <v>3</v>
      </c>
      <c r="Q823" s="14"/>
      <c r="R823" s="12" t="n">
        <f aca="false">IF(OR(N823="",P823=""),"",ROUND(N823*O823/P823,1))</f>
        <v>2</v>
      </c>
      <c r="S823" s="13" t="n">
        <f aca="false">IF(R823="","",IF(Q823="Y",1,IF(P823&gt;='Read me'!$B$16,3,IF(AND(R823&gt;='Read me'!$B$14,P823&lt;='Read me'!$B$15),1,2))))</f>
        <v>2</v>
      </c>
    </row>
    <row r="824" customFormat="false" ht="23.85" hidden="false" customHeight="false" outlineLevel="0" collapsed="false">
      <c r="A824" s="11" t="s">
        <v>5284</v>
      </c>
      <c r="B824" s="11" t="s">
        <v>38</v>
      </c>
      <c r="C824" s="11" t="s">
        <v>210</v>
      </c>
      <c r="D824" s="11" t="s">
        <v>211</v>
      </c>
      <c r="E824" s="11" t="s">
        <v>1187</v>
      </c>
      <c r="F824" s="11" t="s">
        <v>5285</v>
      </c>
      <c r="G824" s="11" t="s">
        <v>4847</v>
      </c>
      <c r="H824" s="11" t="s">
        <v>5286</v>
      </c>
      <c r="I824" s="11" t="s">
        <v>5287</v>
      </c>
      <c r="J824" s="11" t="s">
        <v>5288</v>
      </c>
      <c r="K824" s="11" t="s">
        <v>4869</v>
      </c>
      <c r="L824" s="11" t="s">
        <v>5289</v>
      </c>
      <c r="M824" s="11"/>
      <c r="N824" s="14" t="n">
        <v>3</v>
      </c>
      <c r="O824" s="14" t="n">
        <v>3</v>
      </c>
      <c r="P824" s="14" t="n">
        <v>3</v>
      </c>
      <c r="Q824" s="14"/>
      <c r="R824" s="12" t="n">
        <f aca="false">IF(OR(N824="",P824=""),"",ROUND(N824*O824/P824,1))</f>
        <v>3</v>
      </c>
      <c r="S824" s="13" t="n">
        <f aca="false">IF(R824="","",IF(Q824="Y",1,IF(P824&gt;='Read me'!$B$16,3,IF(AND(R824&gt;='Read me'!$B$14,P824&lt;='Read me'!$B$15),1,2))))</f>
        <v>2</v>
      </c>
    </row>
    <row r="825" customFormat="false" ht="23.85" hidden="false" customHeight="false" outlineLevel="0" collapsed="false">
      <c r="A825" s="11" t="s">
        <v>5290</v>
      </c>
      <c r="B825" s="11" t="s">
        <v>38</v>
      </c>
      <c r="C825" s="11" t="s">
        <v>210</v>
      </c>
      <c r="D825" s="11" t="s">
        <v>211</v>
      </c>
      <c r="E825" s="11" t="s">
        <v>1187</v>
      </c>
      <c r="F825" s="11" t="s">
        <v>5285</v>
      </c>
      <c r="G825" s="11" t="s">
        <v>4847</v>
      </c>
      <c r="H825" s="11" t="s">
        <v>5291</v>
      </c>
      <c r="I825" s="11" t="s">
        <v>5292</v>
      </c>
      <c r="J825" s="11" t="s">
        <v>5293</v>
      </c>
      <c r="K825" s="11" t="s">
        <v>4857</v>
      </c>
      <c r="L825" s="11" t="s">
        <v>5294</v>
      </c>
      <c r="M825" s="11"/>
      <c r="N825" s="14" t="n">
        <v>2</v>
      </c>
      <c r="O825" s="14" t="n">
        <v>3</v>
      </c>
      <c r="P825" s="14" t="n">
        <v>3</v>
      </c>
      <c r="Q825" s="14"/>
      <c r="R825" s="12" t="n">
        <f aca="false">IF(OR(N825="",P825=""),"",ROUND(N825*O825/P825,1))</f>
        <v>2</v>
      </c>
      <c r="S825" s="13" t="n">
        <f aca="false">IF(R825="","",IF(Q825="Y",1,IF(P825&gt;='Read me'!$B$16,3,IF(AND(R825&gt;='Read me'!$B$14,P825&lt;='Read me'!$B$15),1,2))))</f>
        <v>2</v>
      </c>
    </row>
    <row r="826" customFormat="false" ht="23.85" hidden="false" customHeight="false" outlineLevel="0" collapsed="false">
      <c r="A826" s="11" t="s">
        <v>5295</v>
      </c>
      <c r="B826" s="11" t="s">
        <v>38</v>
      </c>
      <c r="C826" s="11" t="s">
        <v>210</v>
      </c>
      <c r="D826" s="11" t="s">
        <v>211</v>
      </c>
      <c r="E826" s="11" t="s">
        <v>1187</v>
      </c>
      <c r="F826" s="11" t="s">
        <v>5296</v>
      </c>
      <c r="G826" s="11" t="s">
        <v>5297</v>
      </c>
      <c r="H826" s="11"/>
      <c r="I826" s="11" t="s">
        <v>5298</v>
      </c>
      <c r="J826" s="11" t="s">
        <v>5299</v>
      </c>
      <c r="K826" s="11" t="s">
        <v>1151</v>
      </c>
      <c r="L826" s="11" t="s">
        <v>5300</v>
      </c>
      <c r="M826" s="11"/>
      <c r="N826" s="14" t="n">
        <v>1</v>
      </c>
      <c r="O826" s="14" t="n">
        <v>3</v>
      </c>
      <c r="P826" s="14" t="n">
        <v>5</v>
      </c>
      <c r="Q826" s="14"/>
      <c r="R826" s="12" t="n">
        <f aca="false">IF(OR(N826="",P826=""),"",ROUND(N826*O826/P826,1))</f>
        <v>0.6</v>
      </c>
      <c r="S826" s="13" t="n">
        <f aca="false">IF(R826="","",IF(Q826="Y",1,IF(P826&gt;='Read me'!$B$16,3,IF(AND(R826&gt;='Read me'!$B$14,P826&lt;='Read me'!$B$15),1,2))))</f>
        <v>3</v>
      </c>
    </row>
    <row r="827" customFormat="false" ht="23.85" hidden="false" customHeight="false" outlineLevel="0" collapsed="false">
      <c r="A827" s="11" t="s">
        <v>5301</v>
      </c>
      <c r="B827" s="11" t="s">
        <v>38</v>
      </c>
      <c r="C827" s="11" t="s">
        <v>210</v>
      </c>
      <c r="D827" s="11" t="s">
        <v>211</v>
      </c>
      <c r="E827" s="11" t="s">
        <v>1133</v>
      </c>
      <c r="F827" s="11" t="s">
        <v>1303</v>
      </c>
      <c r="G827" s="11" t="s">
        <v>5302</v>
      </c>
      <c r="H827" s="11"/>
      <c r="I827" s="11" t="s">
        <v>5303</v>
      </c>
      <c r="J827" s="11" t="s">
        <v>5304</v>
      </c>
      <c r="K827" s="11" t="s">
        <v>4446</v>
      </c>
      <c r="L827" s="11" t="s">
        <v>5305</v>
      </c>
      <c r="M827" s="11" t="s">
        <v>5306</v>
      </c>
      <c r="N827" s="14" t="n">
        <v>2</v>
      </c>
      <c r="O827" s="14" t="n">
        <v>2</v>
      </c>
      <c r="P827" s="14" t="n">
        <v>1</v>
      </c>
      <c r="Q827" s="14"/>
      <c r="R827" s="12" t="n">
        <f aca="false">IF(OR(N827="",P827=""),"",ROUND(N827*O827/P827,1))</f>
        <v>4</v>
      </c>
      <c r="S827" s="13" t="n">
        <f aca="false">IF(R827="","",IF(Q827="Y",1,IF(P827&gt;='Read me'!$B$16,3,IF(AND(R827&gt;='Read me'!$B$14,P827&lt;='Read me'!$B$15),1,2))))</f>
        <v>2</v>
      </c>
    </row>
    <row r="828" customFormat="false" ht="23.85" hidden="false" customHeight="false" outlineLevel="0" collapsed="false">
      <c r="A828" s="11" t="s">
        <v>5307</v>
      </c>
      <c r="B828" s="11" t="s">
        <v>38</v>
      </c>
      <c r="C828" s="11" t="s">
        <v>210</v>
      </c>
      <c r="D828" s="11" t="s">
        <v>211</v>
      </c>
      <c r="E828" s="11" t="s">
        <v>1133</v>
      </c>
      <c r="F828" s="11" t="s">
        <v>4354</v>
      </c>
      <c r="G828" s="11" t="s">
        <v>1135</v>
      </c>
      <c r="H828" s="11"/>
      <c r="I828" s="11" t="s">
        <v>1136</v>
      </c>
      <c r="J828" s="11" t="s">
        <v>5308</v>
      </c>
      <c r="K828" s="11" t="s">
        <v>1138</v>
      </c>
      <c r="L828" s="11" t="s">
        <v>3775</v>
      </c>
      <c r="M828" s="11"/>
      <c r="N828" s="14" t="n">
        <v>3</v>
      </c>
      <c r="O828" s="14" t="n">
        <v>1</v>
      </c>
      <c r="P828" s="14" t="n">
        <v>1</v>
      </c>
      <c r="Q828" s="14"/>
      <c r="R828" s="12" t="n">
        <f aca="false">IF(OR(N828="",P828=""),"",ROUND(N828*O828/P828,1))</f>
        <v>3</v>
      </c>
      <c r="S828" s="13" t="n">
        <f aca="false">IF(R828="","",IF(Q828="Y",1,IF(P828&gt;='Read me'!$B$16,3,IF(AND(R828&gt;='Read me'!$B$14,P828&lt;='Read me'!$B$15),1,2))))</f>
        <v>2</v>
      </c>
    </row>
    <row r="829" customFormat="false" ht="23.85" hidden="false" customHeight="false" outlineLevel="0" collapsed="false">
      <c r="A829" s="11" t="s">
        <v>5309</v>
      </c>
      <c r="B829" s="11" t="s">
        <v>39</v>
      </c>
      <c r="C829" s="11" t="s">
        <v>215</v>
      </c>
      <c r="D829" s="11" t="s">
        <v>216</v>
      </c>
      <c r="E829" s="11" t="s">
        <v>476</v>
      </c>
      <c r="F829" s="11" t="s">
        <v>5310</v>
      </c>
      <c r="G829" s="11" t="s">
        <v>526</v>
      </c>
      <c r="H829" s="11"/>
      <c r="I829" s="11" t="s">
        <v>5311</v>
      </c>
      <c r="J829" s="11" t="s">
        <v>5312</v>
      </c>
      <c r="K829" s="11" t="s">
        <v>5313</v>
      </c>
      <c r="L829" s="11" t="s">
        <v>5314</v>
      </c>
      <c r="M829" s="11"/>
      <c r="N829" s="14" t="n">
        <v>4</v>
      </c>
      <c r="O829" s="14" t="n">
        <v>5</v>
      </c>
      <c r="P829" s="14" t="n">
        <v>2</v>
      </c>
      <c r="Q829" s="14"/>
      <c r="R829" s="12" t="n">
        <f aca="false">IF(OR(N829="",P829=""),"",ROUND(N829*O829/P829,1))</f>
        <v>10</v>
      </c>
      <c r="S829" s="13" t="n">
        <f aca="false">IF(R829="","",IF(Q829="Y",1,IF(P829&gt;='Read me'!$B$16,3,IF(AND(R829&gt;='Read me'!$B$14,P829&lt;='Read me'!$B$15),1,2))))</f>
        <v>1</v>
      </c>
    </row>
    <row r="830" customFormat="false" ht="23.85" hidden="false" customHeight="false" outlineLevel="0" collapsed="false">
      <c r="A830" s="11" t="s">
        <v>5315</v>
      </c>
      <c r="B830" s="11" t="s">
        <v>39</v>
      </c>
      <c r="C830" s="11" t="s">
        <v>215</v>
      </c>
      <c r="D830" s="11" t="s">
        <v>216</v>
      </c>
      <c r="E830" s="11" t="s">
        <v>476</v>
      </c>
      <c r="F830" s="11" t="s">
        <v>5310</v>
      </c>
      <c r="G830" s="11" t="s">
        <v>597</v>
      </c>
      <c r="H830" s="11"/>
      <c r="I830" s="11" t="s">
        <v>5316</v>
      </c>
      <c r="J830" s="11" t="s">
        <v>5317</v>
      </c>
      <c r="K830" s="11" t="s">
        <v>5318</v>
      </c>
      <c r="L830" s="11" t="s">
        <v>5319</v>
      </c>
      <c r="M830" s="11"/>
      <c r="N830" s="14" t="n">
        <v>4</v>
      </c>
      <c r="O830" s="14" t="n">
        <v>5</v>
      </c>
      <c r="P830" s="14" t="n">
        <v>1</v>
      </c>
      <c r="Q830" s="14"/>
      <c r="R830" s="12" t="n">
        <f aca="false">IF(OR(N830="",P830=""),"",ROUND(N830*O830/P830,1))</f>
        <v>20</v>
      </c>
      <c r="S830" s="13" t="n">
        <f aca="false">IF(R830="","",IF(Q830="Y",1,IF(P830&gt;='Read me'!$B$16,3,IF(AND(R830&gt;='Read me'!$B$14,P830&lt;='Read me'!$B$15),1,2))))</f>
        <v>1</v>
      </c>
    </row>
    <row r="831" customFormat="false" ht="23.85" hidden="false" customHeight="false" outlineLevel="0" collapsed="false">
      <c r="A831" s="11" t="s">
        <v>5320</v>
      </c>
      <c r="B831" s="11" t="s">
        <v>39</v>
      </c>
      <c r="C831" s="11" t="s">
        <v>215</v>
      </c>
      <c r="D831" s="11" t="s">
        <v>216</v>
      </c>
      <c r="E831" s="11" t="s">
        <v>476</v>
      </c>
      <c r="F831" s="11" t="s">
        <v>5310</v>
      </c>
      <c r="G831" s="11" t="s">
        <v>1479</v>
      </c>
      <c r="H831" s="11"/>
      <c r="I831" s="11" t="s">
        <v>5321</v>
      </c>
      <c r="J831" s="11" t="s">
        <v>5322</v>
      </c>
      <c r="K831" s="11" t="s">
        <v>5323</v>
      </c>
      <c r="L831" s="11" t="s">
        <v>5324</v>
      </c>
      <c r="M831" s="11"/>
      <c r="N831" s="14" t="n">
        <v>2</v>
      </c>
      <c r="O831" s="14" t="n">
        <v>4</v>
      </c>
      <c r="P831" s="14" t="n">
        <v>1</v>
      </c>
      <c r="Q831" s="14"/>
      <c r="R831" s="12" t="n">
        <f aca="false">IF(OR(N831="",P831=""),"",ROUND(N831*O831/P831,1))</f>
        <v>8</v>
      </c>
      <c r="S831" s="13" t="n">
        <f aca="false">IF(R831="","",IF(Q831="Y",1,IF(P831&gt;='Read me'!$B$16,3,IF(AND(R831&gt;='Read me'!$B$14,P831&lt;='Read me'!$B$15),1,2))))</f>
        <v>1</v>
      </c>
    </row>
    <row r="832" customFormat="false" ht="35.05" hidden="false" customHeight="false" outlineLevel="0" collapsed="false">
      <c r="A832" s="11" t="s">
        <v>5325</v>
      </c>
      <c r="B832" s="11" t="s">
        <v>39</v>
      </c>
      <c r="C832" s="11" t="s">
        <v>215</v>
      </c>
      <c r="D832" s="11" t="s">
        <v>216</v>
      </c>
      <c r="E832" s="11" t="s">
        <v>476</v>
      </c>
      <c r="F832" s="11" t="s">
        <v>5326</v>
      </c>
      <c r="G832" s="11" t="s">
        <v>3867</v>
      </c>
      <c r="H832" s="11"/>
      <c r="I832" s="11" t="s">
        <v>5327</v>
      </c>
      <c r="J832" s="11" t="s">
        <v>5328</v>
      </c>
      <c r="K832" s="11" t="s">
        <v>5329</v>
      </c>
      <c r="L832" s="11" t="s">
        <v>5330</v>
      </c>
      <c r="M832" s="11" t="s">
        <v>5331</v>
      </c>
      <c r="N832" s="14" t="n">
        <v>3</v>
      </c>
      <c r="O832" s="14" t="n">
        <v>4</v>
      </c>
      <c r="P832" s="14" t="n">
        <v>1</v>
      </c>
      <c r="Q832" s="14"/>
      <c r="R832" s="12" t="n">
        <f aca="false">IF(OR(N832="",P832=""),"",ROUND(N832*O832/P832,1))</f>
        <v>12</v>
      </c>
      <c r="S832" s="13" t="n">
        <f aca="false">IF(R832="","",IF(Q832="Y",1,IF(P832&gt;='Read me'!$B$16,3,IF(AND(R832&gt;='Read me'!$B$14,P832&lt;='Read me'!$B$15),1,2))))</f>
        <v>1</v>
      </c>
    </row>
    <row r="833" customFormat="false" ht="23.85" hidden="false" customHeight="false" outlineLevel="0" collapsed="false">
      <c r="A833" s="11" t="s">
        <v>5332</v>
      </c>
      <c r="B833" s="11" t="s">
        <v>39</v>
      </c>
      <c r="C833" s="11" t="s">
        <v>215</v>
      </c>
      <c r="D833" s="11" t="s">
        <v>216</v>
      </c>
      <c r="E833" s="11" t="s">
        <v>476</v>
      </c>
      <c r="F833" s="11" t="s">
        <v>5333</v>
      </c>
      <c r="G833" s="11" t="s">
        <v>5334</v>
      </c>
      <c r="H833" s="11"/>
      <c r="I833" s="11" t="s">
        <v>512</v>
      </c>
      <c r="J833" s="11" t="s">
        <v>5335</v>
      </c>
      <c r="K833" s="11" t="s">
        <v>5336</v>
      </c>
      <c r="L833" s="11" t="s">
        <v>5337</v>
      </c>
      <c r="M833" s="11"/>
      <c r="N833" s="14" t="n">
        <v>3</v>
      </c>
      <c r="O833" s="14" t="n">
        <v>5</v>
      </c>
      <c r="P833" s="14" t="n">
        <v>2</v>
      </c>
      <c r="Q833" s="14"/>
      <c r="R833" s="12" t="n">
        <f aca="false">IF(OR(N833="",P833=""),"",ROUND(N833*O833/P833,1))</f>
        <v>7.5</v>
      </c>
      <c r="S833" s="13" t="n">
        <f aca="false">IF(R833="","",IF(Q833="Y",1,IF(P833&gt;='Read me'!$B$16,3,IF(AND(R833&gt;='Read me'!$B$14,P833&lt;='Read me'!$B$15),1,2))))</f>
        <v>1</v>
      </c>
    </row>
    <row r="834" customFormat="false" ht="23.85" hidden="false" customHeight="false" outlineLevel="0" collapsed="false">
      <c r="A834" s="11" t="s">
        <v>5338</v>
      </c>
      <c r="B834" s="11" t="s">
        <v>39</v>
      </c>
      <c r="C834" s="11" t="s">
        <v>215</v>
      </c>
      <c r="D834" s="11" t="s">
        <v>216</v>
      </c>
      <c r="E834" s="11" t="s">
        <v>476</v>
      </c>
      <c r="F834" s="11" t="s">
        <v>5339</v>
      </c>
      <c r="G834" s="11" t="s">
        <v>5340</v>
      </c>
      <c r="H834" s="11"/>
      <c r="I834" s="11" t="s">
        <v>5341</v>
      </c>
      <c r="J834" s="11" t="s">
        <v>5342</v>
      </c>
      <c r="K834" s="11" t="s">
        <v>1028</v>
      </c>
      <c r="L834" s="11" t="s">
        <v>5343</v>
      </c>
      <c r="M834" s="11"/>
      <c r="N834" s="14" t="n">
        <v>3</v>
      </c>
      <c r="O834" s="14" t="n">
        <v>2</v>
      </c>
      <c r="P834" s="14" t="n">
        <v>1</v>
      </c>
      <c r="Q834" s="14"/>
      <c r="R834" s="12" t="n">
        <f aca="false">IF(OR(N834="",P834=""),"",ROUND(N834*O834/P834,1))</f>
        <v>6</v>
      </c>
      <c r="S834" s="13" t="n">
        <f aca="false">IF(R834="","",IF(Q834="Y",1,IF(P834&gt;='Read me'!$B$16,3,IF(AND(R834&gt;='Read me'!$B$14,P834&lt;='Read me'!$B$15),1,2))))</f>
        <v>1</v>
      </c>
    </row>
    <row r="835" customFormat="false" ht="23.85" hidden="false" customHeight="false" outlineLevel="0" collapsed="false">
      <c r="A835" s="11" t="s">
        <v>5344</v>
      </c>
      <c r="B835" s="11" t="s">
        <v>39</v>
      </c>
      <c r="C835" s="11" t="s">
        <v>215</v>
      </c>
      <c r="D835" s="11" t="s">
        <v>216</v>
      </c>
      <c r="E835" s="11" t="s">
        <v>476</v>
      </c>
      <c r="F835" s="11" t="s">
        <v>5345</v>
      </c>
      <c r="G835" s="11" t="s">
        <v>5346</v>
      </c>
      <c r="H835" s="11"/>
      <c r="I835" s="11" t="s">
        <v>5347</v>
      </c>
      <c r="J835" s="11" t="s">
        <v>5348</v>
      </c>
      <c r="K835" s="11" t="s">
        <v>5349</v>
      </c>
      <c r="L835" s="11" t="s">
        <v>5350</v>
      </c>
      <c r="M835" s="11"/>
      <c r="N835" s="14" t="n">
        <v>2</v>
      </c>
      <c r="O835" s="14" t="n">
        <v>4</v>
      </c>
      <c r="P835" s="14" t="n">
        <v>3</v>
      </c>
      <c r="Q835" s="14"/>
      <c r="R835" s="12" t="n">
        <f aca="false">IF(OR(N835="",P835=""),"",ROUND(N835*O835/P835,1))</f>
        <v>2.7</v>
      </c>
      <c r="S835" s="13" t="n">
        <f aca="false">IF(R835="","",IF(Q835="Y",1,IF(P835&gt;='Read me'!$B$16,3,IF(AND(R835&gt;='Read me'!$B$14,P835&lt;='Read me'!$B$15),1,2))))</f>
        <v>2</v>
      </c>
    </row>
    <row r="836" customFormat="false" ht="23.85" hidden="false" customHeight="false" outlineLevel="0" collapsed="false">
      <c r="A836" s="11" t="s">
        <v>5351</v>
      </c>
      <c r="B836" s="11" t="s">
        <v>39</v>
      </c>
      <c r="C836" s="11" t="s">
        <v>215</v>
      </c>
      <c r="D836" s="11" t="s">
        <v>216</v>
      </c>
      <c r="E836" s="11" t="s">
        <v>476</v>
      </c>
      <c r="F836" s="11" t="s">
        <v>5352</v>
      </c>
      <c r="G836" s="11" t="s">
        <v>1267</v>
      </c>
      <c r="H836" s="11"/>
      <c r="I836" s="11" t="s">
        <v>5353</v>
      </c>
      <c r="J836" s="11" t="s">
        <v>5354</v>
      </c>
      <c r="K836" s="11" t="s">
        <v>5355</v>
      </c>
      <c r="L836" s="11" t="s">
        <v>5356</v>
      </c>
      <c r="M836" s="11" t="s">
        <v>5357</v>
      </c>
      <c r="N836" s="14" t="n">
        <v>2</v>
      </c>
      <c r="O836" s="14" t="n">
        <v>3</v>
      </c>
      <c r="P836" s="14" t="n">
        <v>3</v>
      </c>
      <c r="Q836" s="14"/>
      <c r="R836" s="12" t="n">
        <f aca="false">IF(OR(N836="",P836=""),"",ROUND(N836*O836/P836,1))</f>
        <v>2</v>
      </c>
      <c r="S836" s="13" t="n">
        <f aca="false">IF(R836="","",IF(Q836="Y",1,IF(P836&gt;='Read me'!$B$16,3,IF(AND(R836&gt;='Read me'!$B$14,P836&lt;='Read me'!$B$15),1,2))))</f>
        <v>2</v>
      </c>
    </row>
    <row r="837" customFormat="false" ht="23.85" hidden="false" customHeight="false" outlineLevel="0" collapsed="false">
      <c r="A837" s="11" t="s">
        <v>5358</v>
      </c>
      <c r="B837" s="11" t="s">
        <v>39</v>
      </c>
      <c r="C837" s="11" t="s">
        <v>215</v>
      </c>
      <c r="D837" s="11" t="s">
        <v>216</v>
      </c>
      <c r="E837" s="11" t="s">
        <v>476</v>
      </c>
      <c r="F837" s="11" t="s">
        <v>5359</v>
      </c>
      <c r="G837" s="11" t="s">
        <v>1473</v>
      </c>
      <c r="H837" s="11"/>
      <c r="I837" s="11" t="s">
        <v>5360</v>
      </c>
      <c r="J837" s="11" t="s">
        <v>5361</v>
      </c>
      <c r="K837" s="11" t="s">
        <v>5329</v>
      </c>
      <c r="L837" s="11" t="s">
        <v>5362</v>
      </c>
      <c r="M837" s="11"/>
      <c r="N837" s="14" t="n">
        <v>2</v>
      </c>
      <c r="O837" s="14" t="n">
        <v>3</v>
      </c>
      <c r="P837" s="14" t="n">
        <v>2</v>
      </c>
      <c r="Q837" s="14"/>
      <c r="R837" s="12" t="n">
        <f aca="false">IF(OR(N837="",P837=""),"",ROUND(N837*O837/P837,1))</f>
        <v>3</v>
      </c>
      <c r="S837" s="13" t="n">
        <f aca="false">IF(R837="","",IF(Q837="Y",1,IF(P837&gt;='Read me'!$B$16,3,IF(AND(R837&gt;='Read me'!$B$14,P837&lt;='Read me'!$B$15),1,2))))</f>
        <v>2</v>
      </c>
    </row>
    <row r="838" customFormat="false" ht="23.85" hidden="false" customHeight="false" outlineLevel="0" collapsed="false">
      <c r="A838" s="11" t="s">
        <v>5363</v>
      </c>
      <c r="B838" s="11" t="s">
        <v>39</v>
      </c>
      <c r="C838" s="11" t="s">
        <v>215</v>
      </c>
      <c r="D838" s="11" t="s">
        <v>216</v>
      </c>
      <c r="E838" s="11" t="s">
        <v>532</v>
      </c>
      <c r="F838" s="11" t="s">
        <v>5364</v>
      </c>
      <c r="G838" s="11" t="s">
        <v>5365</v>
      </c>
      <c r="H838" s="11"/>
      <c r="I838" s="11" t="s">
        <v>5366</v>
      </c>
      <c r="J838" s="11" t="s">
        <v>5367</v>
      </c>
      <c r="K838" s="11" t="s">
        <v>5368</v>
      </c>
      <c r="L838" s="11" t="s">
        <v>5369</v>
      </c>
      <c r="M838" s="11"/>
      <c r="N838" s="14" t="n">
        <v>4</v>
      </c>
      <c r="O838" s="14" t="n">
        <v>4</v>
      </c>
      <c r="P838" s="14" t="n">
        <v>1</v>
      </c>
      <c r="Q838" s="14"/>
      <c r="R838" s="12" t="n">
        <f aca="false">IF(OR(N838="",P838=""),"",ROUND(N838*O838/P838,1))</f>
        <v>16</v>
      </c>
      <c r="S838" s="13" t="n">
        <f aca="false">IF(R838="","",IF(Q838="Y",1,IF(P838&gt;='Read me'!$B$16,3,IF(AND(R838&gt;='Read me'!$B$14,P838&lt;='Read me'!$B$15),1,2))))</f>
        <v>1</v>
      </c>
    </row>
    <row r="839" customFormat="false" ht="23.85" hidden="false" customHeight="false" outlineLevel="0" collapsed="false">
      <c r="A839" s="11" t="s">
        <v>5370</v>
      </c>
      <c r="B839" s="11" t="s">
        <v>39</v>
      </c>
      <c r="C839" s="11" t="s">
        <v>215</v>
      </c>
      <c r="D839" s="11" t="s">
        <v>216</v>
      </c>
      <c r="E839" s="11" t="s">
        <v>532</v>
      </c>
      <c r="F839" s="11" t="s">
        <v>5371</v>
      </c>
      <c r="G839" s="11" t="s">
        <v>5372</v>
      </c>
      <c r="H839" s="11"/>
      <c r="I839" s="11" t="s">
        <v>5373</v>
      </c>
      <c r="J839" s="11" t="s">
        <v>5374</v>
      </c>
      <c r="K839" s="11" t="s">
        <v>5375</v>
      </c>
      <c r="L839" s="11"/>
      <c r="M839" s="11"/>
      <c r="N839" s="14" t="n">
        <v>4</v>
      </c>
      <c r="O839" s="14" t="n">
        <v>3</v>
      </c>
      <c r="P839" s="14" t="n">
        <v>1</v>
      </c>
      <c r="Q839" s="14"/>
      <c r="R839" s="12" t="n">
        <f aca="false">IF(OR(N839="",P839=""),"",ROUND(N839*O839/P839,1))</f>
        <v>12</v>
      </c>
      <c r="S839" s="13" t="n">
        <f aca="false">IF(R839="","",IF(Q839="Y",1,IF(P839&gt;='Read me'!$B$16,3,IF(AND(R839&gt;='Read me'!$B$14,P839&lt;='Read me'!$B$15),1,2))))</f>
        <v>1</v>
      </c>
    </row>
    <row r="840" customFormat="false" ht="15" hidden="false" customHeight="false" outlineLevel="0" collapsed="false">
      <c r="A840" s="11" t="s">
        <v>5376</v>
      </c>
      <c r="B840" s="11" t="s">
        <v>39</v>
      </c>
      <c r="C840" s="11" t="s">
        <v>215</v>
      </c>
      <c r="D840" s="11" t="s">
        <v>216</v>
      </c>
      <c r="E840" s="11" t="s">
        <v>532</v>
      </c>
      <c r="F840" s="11" t="s">
        <v>5377</v>
      </c>
      <c r="G840" s="11" t="s">
        <v>2866</v>
      </c>
      <c r="H840" s="11"/>
      <c r="I840" s="11" t="s">
        <v>5378</v>
      </c>
      <c r="J840" s="11" t="s">
        <v>5379</v>
      </c>
      <c r="K840" s="11" t="s">
        <v>4369</v>
      </c>
      <c r="L840" s="11" t="s">
        <v>5380</v>
      </c>
      <c r="M840" s="11"/>
      <c r="N840" s="14" t="n">
        <v>3</v>
      </c>
      <c r="O840" s="14" t="n">
        <v>3</v>
      </c>
      <c r="P840" s="14" t="n">
        <v>1</v>
      </c>
      <c r="Q840" s="14"/>
      <c r="R840" s="12" t="n">
        <f aca="false">IF(OR(N840="",P840=""),"",ROUND(N840*O840/P840,1))</f>
        <v>9</v>
      </c>
      <c r="S840" s="13" t="n">
        <f aca="false">IF(R840="","",IF(Q840="Y",1,IF(P840&gt;='Read me'!$B$16,3,IF(AND(R840&gt;='Read me'!$B$14,P840&lt;='Read me'!$B$15),1,2))))</f>
        <v>1</v>
      </c>
    </row>
    <row r="841" customFormat="false" ht="23.85" hidden="false" customHeight="false" outlineLevel="0" collapsed="false">
      <c r="A841" s="11" t="s">
        <v>5381</v>
      </c>
      <c r="B841" s="11" t="s">
        <v>39</v>
      </c>
      <c r="C841" s="11" t="s">
        <v>215</v>
      </c>
      <c r="D841" s="11" t="s">
        <v>216</v>
      </c>
      <c r="E841" s="11" t="s">
        <v>532</v>
      </c>
      <c r="F841" s="11" t="s">
        <v>5382</v>
      </c>
      <c r="G841" s="11" t="s">
        <v>5383</v>
      </c>
      <c r="H841" s="11" t="s">
        <v>686</v>
      </c>
      <c r="I841" s="11" t="s">
        <v>5384</v>
      </c>
      <c r="J841" s="11" t="s">
        <v>5385</v>
      </c>
      <c r="K841" s="11" t="s">
        <v>5386</v>
      </c>
      <c r="L841" s="11" t="s">
        <v>5387</v>
      </c>
      <c r="M841" s="11"/>
      <c r="N841" s="14" t="n">
        <v>3</v>
      </c>
      <c r="O841" s="14" t="n">
        <v>3</v>
      </c>
      <c r="P841" s="14" t="n">
        <v>1</v>
      </c>
      <c r="Q841" s="14"/>
      <c r="R841" s="12" t="n">
        <f aca="false">IF(OR(N841="",P841=""),"",ROUND(N841*O841/P841,1))</f>
        <v>9</v>
      </c>
      <c r="S841" s="13" t="n">
        <f aca="false">IF(R841="","",IF(Q841="Y",1,IF(P841&gt;='Read me'!$B$16,3,IF(AND(R841&gt;='Read me'!$B$14,P841&lt;='Read me'!$B$15),1,2))))</f>
        <v>1</v>
      </c>
    </row>
    <row r="842" customFormat="false" ht="23.85" hidden="false" customHeight="false" outlineLevel="0" collapsed="false">
      <c r="A842" s="11" t="s">
        <v>5388</v>
      </c>
      <c r="B842" s="11" t="s">
        <v>39</v>
      </c>
      <c r="C842" s="11" t="s">
        <v>215</v>
      </c>
      <c r="D842" s="11" t="s">
        <v>216</v>
      </c>
      <c r="E842" s="11" t="s">
        <v>532</v>
      </c>
      <c r="F842" s="11" t="s">
        <v>5389</v>
      </c>
      <c r="G842" s="11" t="s">
        <v>5390</v>
      </c>
      <c r="H842" s="11" t="s">
        <v>612</v>
      </c>
      <c r="I842" s="11" t="s">
        <v>614</v>
      </c>
      <c r="J842" s="11" t="s">
        <v>5391</v>
      </c>
      <c r="K842" s="11" t="s">
        <v>935</v>
      </c>
      <c r="L842" s="11" t="s">
        <v>5392</v>
      </c>
      <c r="M842" s="11"/>
      <c r="N842" s="14" t="n">
        <v>2</v>
      </c>
      <c r="O842" s="14" t="n">
        <v>2</v>
      </c>
      <c r="P842" s="14" t="n">
        <v>2</v>
      </c>
      <c r="Q842" s="14"/>
      <c r="R842" s="12" t="n">
        <f aca="false">IF(OR(N842="",P842=""),"",ROUND(N842*O842/P842,1))</f>
        <v>2</v>
      </c>
      <c r="S842" s="13" t="n">
        <f aca="false">IF(R842="","",IF(Q842="Y",1,IF(P842&gt;='Read me'!$B$16,3,IF(AND(R842&gt;='Read me'!$B$14,P842&lt;='Read me'!$B$15),1,2))))</f>
        <v>2</v>
      </c>
    </row>
    <row r="843" customFormat="false" ht="23.85" hidden="false" customHeight="false" outlineLevel="0" collapsed="false">
      <c r="A843" s="11" t="s">
        <v>5393</v>
      </c>
      <c r="B843" s="11" t="s">
        <v>39</v>
      </c>
      <c r="C843" s="11" t="s">
        <v>215</v>
      </c>
      <c r="D843" s="11" t="s">
        <v>216</v>
      </c>
      <c r="E843" s="11" t="s">
        <v>626</v>
      </c>
      <c r="F843" s="11" t="s">
        <v>5394</v>
      </c>
      <c r="G843" s="11" t="s">
        <v>5395</v>
      </c>
      <c r="H843" s="11"/>
      <c r="I843" s="11" t="s">
        <v>5396</v>
      </c>
      <c r="J843" s="11" t="s">
        <v>5397</v>
      </c>
      <c r="K843" s="11" t="s">
        <v>529</v>
      </c>
      <c r="L843" s="11" t="s">
        <v>5398</v>
      </c>
      <c r="M843" s="11"/>
      <c r="N843" s="14" t="n">
        <v>4</v>
      </c>
      <c r="O843" s="14" t="n">
        <v>4</v>
      </c>
      <c r="P843" s="14" t="n">
        <v>1</v>
      </c>
      <c r="Q843" s="14"/>
      <c r="R843" s="12" t="n">
        <f aca="false">IF(OR(N843="",P843=""),"",ROUND(N843*O843/P843,1))</f>
        <v>16</v>
      </c>
      <c r="S843" s="13" t="n">
        <f aca="false">IF(R843="","",IF(Q843="Y",1,IF(P843&gt;='Read me'!$B$16,3,IF(AND(R843&gt;='Read me'!$B$14,P843&lt;='Read me'!$B$15),1,2))))</f>
        <v>1</v>
      </c>
    </row>
    <row r="844" customFormat="false" ht="23.85" hidden="false" customHeight="false" outlineLevel="0" collapsed="false">
      <c r="A844" s="11" t="s">
        <v>5399</v>
      </c>
      <c r="B844" s="11" t="s">
        <v>39</v>
      </c>
      <c r="C844" s="11" t="s">
        <v>215</v>
      </c>
      <c r="D844" s="11" t="s">
        <v>216</v>
      </c>
      <c r="E844" s="11" t="s">
        <v>626</v>
      </c>
      <c r="F844" s="11" t="s">
        <v>5400</v>
      </c>
      <c r="G844" s="11" t="s">
        <v>5401</v>
      </c>
      <c r="H844" s="11"/>
      <c r="I844" s="11" t="s">
        <v>5402</v>
      </c>
      <c r="J844" s="11" t="s">
        <v>5403</v>
      </c>
      <c r="K844" s="11" t="s">
        <v>5404</v>
      </c>
      <c r="L844" s="11" t="s">
        <v>5405</v>
      </c>
      <c r="M844" s="11"/>
      <c r="N844" s="14" t="n">
        <v>4</v>
      </c>
      <c r="O844" s="14" t="n">
        <v>3</v>
      </c>
      <c r="P844" s="14" t="n">
        <v>1</v>
      </c>
      <c r="Q844" s="14"/>
      <c r="R844" s="12" t="n">
        <f aca="false">IF(OR(N844="",P844=""),"",ROUND(N844*O844/P844,1))</f>
        <v>12</v>
      </c>
      <c r="S844" s="13" t="n">
        <f aca="false">IF(R844="","",IF(Q844="Y",1,IF(P844&gt;='Read me'!$B$16,3,IF(AND(R844&gt;='Read me'!$B$14,P844&lt;='Read me'!$B$15),1,2))))</f>
        <v>1</v>
      </c>
    </row>
    <row r="845" customFormat="false" ht="23.85" hidden="false" customHeight="false" outlineLevel="0" collapsed="false">
      <c r="A845" s="11" t="s">
        <v>5406</v>
      </c>
      <c r="B845" s="11" t="s">
        <v>39</v>
      </c>
      <c r="C845" s="11" t="s">
        <v>215</v>
      </c>
      <c r="D845" s="11" t="s">
        <v>216</v>
      </c>
      <c r="E845" s="11" t="s">
        <v>626</v>
      </c>
      <c r="F845" s="11" t="s">
        <v>5400</v>
      </c>
      <c r="G845" s="11" t="s">
        <v>5407</v>
      </c>
      <c r="H845" s="11" t="s">
        <v>686</v>
      </c>
      <c r="I845" s="11" t="s">
        <v>5408</v>
      </c>
      <c r="J845" s="11" t="s">
        <v>5409</v>
      </c>
      <c r="K845" s="11" t="s">
        <v>5410</v>
      </c>
      <c r="L845" s="11" t="s">
        <v>5411</v>
      </c>
      <c r="M845" s="11"/>
      <c r="N845" s="14" t="n">
        <v>2</v>
      </c>
      <c r="O845" s="14" t="n">
        <v>2</v>
      </c>
      <c r="P845" s="14" t="n">
        <v>1</v>
      </c>
      <c r="Q845" s="14"/>
      <c r="R845" s="12" t="n">
        <f aca="false">IF(OR(N845="",P845=""),"",ROUND(N845*O845/P845,1))</f>
        <v>4</v>
      </c>
      <c r="S845" s="13" t="n">
        <f aca="false">IF(R845="","",IF(Q845="Y",1,IF(P845&gt;='Read me'!$B$16,3,IF(AND(R845&gt;='Read me'!$B$14,P845&lt;='Read me'!$B$15),1,2))))</f>
        <v>2</v>
      </c>
    </row>
    <row r="846" customFormat="false" ht="23.85" hidden="false" customHeight="false" outlineLevel="0" collapsed="false">
      <c r="A846" s="11" t="s">
        <v>5412</v>
      </c>
      <c r="B846" s="11" t="s">
        <v>39</v>
      </c>
      <c r="C846" s="11" t="s">
        <v>215</v>
      </c>
      <c r="D846" s="11" t="s">
        <v>216</v>
      </c>
      <c r="E846" s="11" t="s">
        <v>626</v>
      </c>
      <c r="F846" s="11" t="s">
        <v>5413</v>
      </c>
      <c r="G846" s="11" t="s">
        <v>5414</v>
      </c>
      <c r="H846" s="11"/>
      <c r="I846" s="11" t="s">
        <v>5415</v>
      </c>
      <c r="J846" s="11" t="s">
        <v>5416</v>
      </c>
      <c r="K846" s="11" t="s">
        <v>4977</v>
      </c>
      <c r="L846" s="11" t="s">
        <v>5417</v>
      </c>
      <c r="M846" s="11"/>
      <c r="N846" s="14" t="n">
        <v>3</v>
      </c>
      <c r="O846" s="14" t="n">
        <v>2</v>
      </c>
      <c r="P846" s="14" t="n">
        <v>3</v>
      </c>
      <c r="Q846" s="14"/>
      <c r="R846" s="12" t="n">
        <f aca="false">IF(OR(N846="",P846=""),"",ROUND(N846*O846/P846,1))</f>
        <v>2</v>
      </c>
      <c r="S846" s="13" t="n">
        <f aca="false">IF(R846="","",IF(Q846="Y",1,IF(P846&gt;='Read me'!$B$16,3,IF(AND(R846&gt;='Read me'!$B$14,P846&lt;='Read me'!$B$15),1,2))))</f>
        <v>2</v>
      </c>
    </row>
    <row r="847" customFormat="false" ht="23.85" hidden="false" customHeight="false" outlineLevel="0" collapsed="false">
      <c r="A847" s="11" t="s">
        <v>5418</v>
      </c>
      <c r="B847" s="11" t="s">
        <v>39</v>
      </c>
      <c r="C847" s="11" t="s">
        <v>215</v>
      </c>
      <c r="D847" s="11" t="s">
        <v>216</v>
      </c>
      <c r="E847" s="11" t="s">
        <v>626</v>
      </c>
      <c r="F847" s="11" t="s">
        <v>5419</v>
      </c>
      <c r="G847" s="11" t="s">
        <v>5420</v>
      </c>
      <c r="H847" s="11"/>
      <c r="I847" s="11" t="s">
        <v>5421</v>
      </c>
      <c r="J847" s="11" t="s">
        <v>5422</v>
      </c>
      <c r="K847" s="11" t="s">
        <v>5423</v>
      </c>
      <c r="L847" s="11" t="s">
        <v>5424</v>
      </c>
      <c r="M847" s="11"/>
      <c r="N847" s="14" t="n">
        <v>3</v>
      </c>
      <c r="O847" s="14" t="n">
        <v>3</v>
      </c>
      <c r="P847" s="14" t="n">
        <v>2</v>
      </c>
      <c r="Q847" s="14"/>
      <c r="R847" s="12" t="n">
        <f aca="false">IF(OR(N847="",P847=""),"",ROUND(N847*O847/P847,1))</f>
        <v>4.5</v>
      </c>
      <c r="S847" s="13" t="n">
        <f aca="false">IF(R847="","",IF(Q847="Y",1,IF(P847&gt;='Read me'!$B$16,3,IF(AND(R847&gt;='Read me'!$B$14,P847&lt;='Read me'!$B$15),1,2))))</f>
        <v>2</v>
      </c>
    </row>
    <row r="848" customFormat="false" ht="23.85" hidden="false" customHeight="false" outlineLevel="0" collapsed="false">
      <c r="A848" s="11" t="s">
        <v>5425</v>
      </c>
      <c r="B848" s="11" t="s">
        <v>39</v>
      </c>
      <c r="C848" s="11" t="s">
        <v>215</v>
      </c>
      <c r="D848" s="11" t="s">
        <v>216</v>
      </c>
      <c r="E848" s="11" t="s">
        <v>626</v>
      </c>
      <c r="F848" s="11" t="s">
        <v>5426</v>
      </c>
      <c r="G848" s="11" t="s">
        <v>5427</v>
      </c>
      <c r="H848" s="11"/>
      <c r="I848" s="11" t="s">
        <v>5428</v>
      </c>
      <c r="J848" s="11" t="s">
        <v>5429</v>
      </c>
      <c r="K848" s="11" t="s">
        <v>5430</v>
      </c>
      <c r="L848" s="11" t="s">
        <v>5431</v>
      </c>
      <c r="M848" s="11" t="s">
        <v>5432</v>
      </c>
      <c r="N848" s="14" t="n">
        <v>2</v>
      </c>
      <c r="O848" s="14" t="n">
        <v>3</v>
      </c>
      <c r="P848" s="14" t="n">
        <v>3</v>
      </c>
      <c r="Q848" s="14"/>
      <c r="R848" s="12" t="n">
        <f aca="false">IF(OR(N848="",P848=""),"",ROUND(N848*O848/P848,1))</f>
        <v>2</v>
      </c>
      <c r="S848" s="13" t="n">
        <f aca="false">IF(R848="","",IF(Q848="Y",1,IF(P848&gt;='Read me'!$B$16,3,IF(AND(R848&gt;='Read me'!$B$14,P848&lt;='Read me'!$B$15),1,2))))</f>
        <v>2</v>
      </c>
    </row>
    <row r="849" customFormat="false" ht="23.85" hidden="false" customHeight="false" outlineLevel="0" collapsed="false">
      <c r="A849" s="11" t="s">
        <v>5433</v>
      </c>
      <c r="B849" s="11" t="s">
        <v>39</v>
      </c>
      <c r="C849" s="11" t="s">
        <v>215</v>
      </c>
      <c r="D849" s="11" t="s">
        <v>216</v>
      </c>
      <c r="E849" s="11" t="s">
        <v>626</v>
      </c>
      <c r="F849" s="11" t="s">
        <v>5434</v>
      </c>
      <c r="G849" s="11" t="s">
        <v>5435</v>
      </c>
      <c r="H849" s="11"/>
      <c r="I849" s="11" t="s">
        <v>5436</v>
      </c>
      <c r="J849" s="11" t="s">
        <v>5437</v>
      </c>
      <c r="K849" s="11" t="s">
        <v>5430</v>
      </c>
      <c r="L849" s="11" t="s">
        <v>5438</v>
      </c>
      <c r="M849" s="11" t="s">
        <v>4885</v>
      </c>
      <c r="N849" s="14" t="n">
        <v>4</v>
      </c>
      <c r="O849" s="14" t="n">
        <v>3</v>
      </c>
      <c r="P849" s="14" t="n">
        <v>2</v>
      </c>
      <c r="Q849" s="14"/>
      <c r="R849" s="12" t="n">
        <f aca="false">IF(OR(N849="",P849=""),"",ROUND(N849*O849/P849,1))</f>
        <v>6</v>
      </c>
      <c r="S849" s="13" t="n">
        <f aca="false">IF(R849="","",IF(Q849="Y",1,IF(P849&gt;='Read me'!$B$16,3,IF(AND(R849&gt;='Read me'!$B$14,P849&lt;='Read me'!$B$15),1,2))))</f>
        <v>1</v>
      </c>
    </row>
    <row r="850" customFormat="false" ht="23.85" hidden="false" customHeight="false" outlineLevel="0" collapsed="false">
      <c r="A850" s="11" t="s">
        <v>5439</v>
      </c>
      <c r="B850" s="11" t="s">
        <v>39</v>
      </c>
      <c r="C850" s="11" t="s">
        <v>215</v>
      </c>
      <c r="D850" s="11" t="s">
        <v>216</v>
      </c>
      <c r="E850" s="11" t="s">
        <v>626</v>
      </c>
      <c r="F850" s="11" t="s">
        <v>5440</v>
      </c>
      <c r="G850" s="11" t="s">
        <v>5441</v>
      </c>
      <c r="H850" s="11"/>
      <c r="I850" s="11" t="s">
        <v>5442</v>
      </c>
      <c r="J850" s="11" t="s">
        <v>5443</v>
      </c>
      <c r="K850" s="11" t="s">
        <v>2368</v>
      </c>
      <c r="L850" s="11" t="s">
        <v>5444</v>
      </c>
      <c r="M850" s="11" t="s">
        <v>5306</v>
      </c>
      <c r="N850" s="14" t="n">
        <v>2</v>
      </c>
      <c r="O850" s="14" t="n">
        <v>3</v>
      </c>
      <c r="P850" s="14" t="n">
        <v>2</v>
      </c>
      <c r="Q850" s="14"/>
      <c r="R850" s="12" t="n">
        <f aca="false">IF(OR(N850="",P850=""),"",ROUND(N850*O850/P850,1))</f>
        <v>3</v>
      </c>
      <c r="S850" s="13" t="n">
        <f aca="false">IF(R850="","",IF(Q850="Y",1,IF(P850&gt;='Read me'!$B$16,3,IF(AND(R850&gt;='Read me'!$B$14,P850&lt;='Read me'!$B$15),1,2))))</f>
        <v>2</v>
      </c>
    </row>
    <row r="851" customFormat="false" ht="23.85" hidden="false" customHeight="false" outlineLevel="0" collapsed="false">
      <c r="A851" s="11" t="s">
        <v>5445</v>
      </c>
      <c r="B851" s="11" t="s">
        <v>39</v>
      </c>
      <c r="C851" s="11" t="s">
        <v>215</v>
      </c>
      <c r="D851" s="11" t="s">
        <v>216</v>
      </c>
      <c r="E851" s="11" t="s">
        <v>751</v>
      </c>
      <c r="F851" s="11" t="s">
        <v>5446</v>
      </c>
      <c r="G851" s="11" t="s">
        <v>1252</v>
      </c>
      <c r="H851" s="11"/>
      <c r="I851" s="11" t="s">
        <v>5447</v>
      </c>
      <c r="J851" s="11" t="s">
        <v>5448</v>
      </c>
      <c r="K851" s="11" t="s">
        <v>1254</v>
      </c>
      <c r="L851" s="11" t="s">
        <v>5449</v>
      </c>
      <c r="M851" s="11" t="s">
        <v>1577</v>
      </c>
      <c r="N851" s="14" t="n">
        <v>5</v>
      </c>
      <c r="O851" s="14" t="n">
        <v>5</v>
      </c>
      <c r="P851" s="14" t="n">
        <v>3</v>
      </c>
      <c r="Q851" s="14"/>
      <c r="R851" s="12" t="n">
        <f aca="false">IF(OR(N851="",P851=""),"",ROUND(N851*O851/P851,1))</f>
        <v>8.3</v>
      </c>
      <c r="S851" s="13" t="n">
        <f aca="false">IF(R851="","",IF(Q851="Y",1,IF(P851&gt;='Read me'!$B$16,3,IF(AND(R851&gt;='Read me'!$B$14,P851&lt;='Read me'!$B$15),1,2))))</f>
        <v>2</v>
      </c>
    </row>
    <row r="852" customFormat="false" ht="23.85" hidden="false" customHeight="false" outlineLevel="0" collapsed="false">
      <c r="A852" s="11" t="s">
        <v>5450</v>
      </c>
      <c r="B852" s="11" t="s">
        <v>39</v>
      </c>
      <c r="C852" s="11" t="s">
        <v>215</v>
      </c>
      <c r="D852" s="11" t="s">
        <v>216</v>
      </c>
      <c r="E852" s="11" t="s">
        <v>751</v>
      </c>
      <c r="F852" s="11" t="s">
        <v>5446</v>
      </c>
      <c r="G852" s="11" t="s">
        <v>1259</v>
      </c>
      <c r="H852" s="11"/>
      <c r="I852" s="11" t="s">
        <v>1260</v>
      </c>
      <c r="J852" s="11" t="s">
        <v>1579</v>
      </c>
      <c r="K852" s="11" t="s">
        <v>1262</v>
      </c>
      <c r="L852" s="11" t="s">
        <v>1263</v>
      </c>
      <c r="M852" s="11" t="s">
        <v>1577</v>
      </c>
      <c r="N852" s="14" t="n">
        <v>5</v>
      </c>
      <c r="O852" s="14" t="n">
        <v>5</v>
      </c>
      <c r="P852" s="14" t="n">
        <v>3</v>
      </c>
      <c r="Q852" s="14"/>
      <c r="R852" s="12" t="n">
        <f aca="false">IF(OR(N852="",P852=""),"",ROUND(N852*O852/P852,1))</f>
        <v>8.3</v>
      </c>
      <c r="S852" s="13" t="n">
        <f aca="false">IF(R852="","",IF(Q852="Y",1,IF(P852&gt;='Read me'!$B$16,3,IF(AND(R852&gt;='Read me'!$B$14,P852&lt;='Read me'!$B$15),1,2))))</f>
        <v>2</v>
      </c>
    </row>
    <row r="853" customFormat="false" ht="23.85" hidden="false" customHeight="false" outlineLevel="0" collapsed="false">
      <c r="A853" s="11" t="s">
        <v>5451</v>
      </c>
      <c r="B853" s="11" t="s">
        <v>39</v>
      </c>
      <c r="C853" s="11" t="s">
        <v>215</v>
      </c>
      <c r="D853" s="11" t="s">
        <v>216</v>
      </c>
      <c r="E853" s="11" t="s">
        <v>751</v>
      </c>
      <c r="F853" s="11" t="s">
        <v>5446</v>
      </c>
      <c r="G853" s="11" t="s">
        <v>1279</v>
      </c>
      <c r="H853" s="11" t="s">
        <v>1280</v>
      </c>
      <c r="I853" s="11" t="s">
        <v>5452</v>
      </c>
      <c r="J853" s="11" t="s">
        <v>5453</v>
      </c>
      <c r="K853" s="11" t="s">
        <v>5454</v>
      </c>
      <c r="L853" s="11" t="s">
        <v>5455</v>
      </c>
      <c r="M853" s="11"/>
      <c r="N853" s="14" t="n">
        <v>4</v>
      </c>
      <c r="O853" s="14" t="n">
        <v>4</v>
      </c>
      <c r="P853" s="14" t="n">
        <v>2</v>
      </c>
      <c r="Q853" s="14"/>
      <c r="R853" s="12" t="n">
        <f aca="false">IF(OR(N853="",P853=""),"",ROUND(N853*O853/P853,1))</f>
        <v>8</v>
      </c>
      <c r="S853" s="13" t="n">
        <f aca="false">IF(R853="","",IF(Q853="Y",1,IF(P853&gt;='Read me'!$B$16,3,IF(AND(R853&gt;='Read me'!$B$14,P853&lt;='Read me'!$B$15),1,2))))</f>
        <v>1</v>
      </c>
    </row>
    <row r="854" customFormat="false" ht="23.85" hidden="false" customHeight="false" outlineLevel="0" collapsed="false">
      <c r="A854" s="11" t="s">
        <v>5456</v>
      </c>
      <c r="B854" s="11" t="s">
        <v>39</v>
      </c>
      <c r="C854" s="11" t="s">
        <v>215</v>
      </c>
      <c r="D854" s="11" t="s">
        <v>216</v>
      </c>
      <c r="E854" s="11" t="s">
        <v>751</v>
      </c>
      <c r="F854" s="11" t="s">
        <v>1311</v>
      </c>
      <c r="G854" s="11" t="s">
        <v>1312</v>
      </c>
      <c r="H854" s="11"/>
      <c r="I854" s="11" t="s">
        <v>5457</v>
      </c>
      <c r="J854" s="11" t="s">
        <v>5458</v>
      </c>
      <c r="K854" s="11" t="s">
        <v>5459</v>
      </c>
      <c r="L854" s="11" t="s">
        <v>5460</v>
      </c>
      <c r="M854" s="11" t="s">
        <v>1591</v>
      </c>
      <c r="N854" s="14" t="n">
        <v>2</v>
      </c>
      <c r="O854" s="14" t="n">
        <v>4</v>
      </c>
      <c r="P854" s="14" t="n">
        <v>4</v>
      </c>
      <c r="Q854" s="14"/>
      <c r="R854" s="12" t="n">
        <f aca="false">IF(OR(N854="",P854=""),"",ROUND(N854*O854/P854,1))</f>
        <v>2</v>
      </c>
      <c r="S854" s="13" t="n">
        <f aca="false">IF(R854="","",IF(Q854="Y",1,IF(P854&gt;='Read me'!$B$16,3,IF(AND(R854&gt;='Read me'!$B$14,P854&lt;='Read me'!$B$15),1,2))))</f>
        <v>3</v>
      </c>
    </row>
    <row r="855" customFormat="false" ht="23.85" hidden="false" customHeight="false" outlineLevel="0" collapsed="false">
      <c r="A855" s="11" t="s">
        <v>5461</v>
      </c>
      <c r="B855" s="11" t="s">
        <v>39</v>
      </c>
      <c r="C855" s="11" t="s">
        <v>215</v>
      </c>
      <c r="D855" s="11" t="s">
        <v>216</v>
      </c>
      <c r="E855" s="11" t="s">
        <v>751</v>
      </c>
      <c r="F855" s="11" t="s">
        <v>5446</v>
      </c>
      <c r="G855" s="11" t="s">
        <v>1299</v>
      </c>
      <c r="H855" s="11" t="s">
        <v>1564</v>
      </c>
      <c r="I855" s="11" t="s">
        <v>754</v>
      </c>
      <c r="J855" s="11" t="s">
        <v>5462</v>
      </c>
      <c r="K855" s="11" t="s">
        <v>1959</v>
      </c>
      <c r="L855" s="11" t="s">
        <v>1301</v>
      </c>
      <c r="M855" s="11"/>
      <c r="N855" s="14" t="n">
        <v>3</v>
      </c>
      <c r="O855" s="14" t="n">
        <v>3</v>
      </c>
      <c r="P855" s="14" t="n">
        <v>4</v>
      </c>
      <c r="Q855" s="14"/>
      <c r="R855" s="12" t="n">
        <f aca="false">IF(OR(N855="",P855=""),"",ROUND(N855*O855/P855,1))</f>
        <v>2.3</v>
      </c>
      <c r="S855" s="13" t="n">
        <f aca="false">IF(R855="","",IF(Q855="Y",1,IF(P855&gt;='Read me'!$B$16,3,IF(AND(R855&gt;='Read me'!$B$14,P855&lt;='Read me'!$B$15),1,2))))</f>
        <v>3</v>
      </c>
    </row>
    <row r="856" customFormat="false" ht="23.85" hidden="false" customHeight="false" outlineLevel="0" collapsed="false">
      <c r="A856" s="11" t="s">
        <v>5463</v>
      </c>
      <c r="B856" s="11" t="s">
        <v>39</v>
      </c>
      <c r="C856" s="11" t="s">
        <v>215</v>
      </c>
      <c r="D856" s="11" t="s">
        <v>216</v>
      </c>
      <c r="E856" s="11" t="s">
        <v>751</v>
      </c>
      <c r="F856" s="11" t="s">
        <v>5446</v>
      </c>
      <c r="G856" s="11" t="s">
        <v>4791</v>
      </c>
      <c r="H856" s="11" t="s">
        <v>1284</v>
      </c>
      <c r="I856" s="11" t="s">
        <v>754</v>
      </c>
      <c r="J856" s="11" t="s">
        <v>5464</v>
      </c>
      <c r="K856" s="11" t="s">
        <v>935</v>
      </c>
      <c r="L856" s="11" t="s">
        <v>5465</v>
      </c>
      <c r="M856" s="11"/>
      <c r="N856" s="14" t="n">
        <v>2</v>
      </c>
      <c r="O856" s="14" t="n">
        <v>3</v>
      </c>
      <c r="P856" s="14" t="n">
        <v>4</v>
      </c>
      <c r="Q856" s="14"/>
      <c r="R856" s="12" t="n">
        <f aca="false">IF(OR(N856="",P856=""),"",ROUND(N856*O856/P856,1))</f>
        <v>1.5</v>
      </c>
      <c r="S856" s="13" t="n">
        <f aca="false">IF(R856="","",IF(Q856="Y",1,IF(P856&gt;='Read me'!$B$16,3,IF(AND(R856&gt;='Read me'!$B$14,P856&lt;='Read me'!$B$15),1,2))))</f>
        <v>3</v>
      </c>
    </row>
    <row r="857" customFormat="false" ht="23.85" hidden="false" customHeight="false" outlineLevel="0" collapsed="false">
      <c r="A857" s="11" t="s">
        <v>5466</v>
      </c>
      <c r="B857" s="11" t="s">
        <v>39</v>
      </c>
      <c r="C857" s="11" t="s">
        <v>215</v>
      </c>
      <c r="D857" s="11" t="s">
        <v>216</v>
      </c>
      <c r="E857" s="11" t="s">
        <v>751</v>
      </c>
      <c r="F857" s="11" t="s">
        <v>5467</v>
      </c>
      <c r="G857" s="11" t="s">
        <v>5468</v>
      </c>
      <c r="H857" s="11" t="s">
        <v>5469</v>
      </c>
      <c r="I857" s="11" t="s">
        <v>5470</v>
      </c>
      <c r="J857" s="11" t="s">
        <v>5471</v>
      </c>
      <c r="K857" s="11" t="s">
        <v>675</v>
      </c>
      <c r="L857" s="11" t="s">
        <v>5472</v>
      </c>
      <c r="M857" s="11"/>
      <c r="N857" s="14" t="n">
        <v>1</v>
      </c>
      <c r="O857" s="14" t="n">
        <v>3</v>
      </c>
      <c r="P857" s="14" t="n">
        <v>5</v>
      </c>
      <c r="Q857" s="14"/>
      <c r="R857" s="12" t="n">
        <f aca="false">IF(OR(N857="",P857=""),"",ROUND(N857*O857/P857,1))</f>
        <v>0.6</v>
      </c>
      <c r="S857" s="13" t="n">
        <f aca="false">IF(R857="","",IF(Q857="Y",1,IF(P857&gt;='Read me'!$B$16,3,IF(AND(R857&gt;='Read me'!$B$14,P857&lt;='Read me'!$B$15),1,2))))</f>
        <v>3</v>
      </c>
    </row>
    <row r="858" customFormat="false" ht="35.05" hidden="false" customHeight="false" outlineLevel="0" collapsed="false">
      <c r="A858" s="11" t="s">
        <v>5473</v>
      </c>
      <c r="B858" s="11" t="s">
        <v>39</v>
      </c>
      <c r="C858" s="11" t="s">
        <v>215</v>
      </c>
      <c r="D858" s="11" t="s">
        <v>216</v>
      </c>
      <c r="E858" s="11" t="s">
        <v>802</v>
      </c>
      <c r="F858" s="11" t="s">
        <v>5474</v>
      </c>
      <c r="G858" s="11" t="s">
        <v>5475</v>
      </c>
      <c r="H858" s="11"/>
      <c r="I858" s="11" t="s">
        <v>5476</v>
      </c>
      <c r="J858" s="11" t="s">
        <v>5477</v>
      </c>
      <c r="K858" s="11" t="s">
        <v>4507</v>
      </c>
      <c r="L858" s="11" t="s">
        <v>5478</v>
      </c>
      <c r="M858" s="11" t="s">
        <v>5479</v>
      </c>
      <c r="N858" s="14" t="n">
        <v>2</v>
      </c>
      <c r="O858" s="14" t="n">
        <v>3</v>
      </c>
      <c r="P858" s="14" t="n">
        <v>4</v>
      </c>
      <c r="Q858" s="14"/>
      <c r="R858" s="12" t="n">
        <f aca="false">IF(OR(N858="",P858=""),"",ROUND(N858*O858/P858,1))</f>
        <v>1.5</v>
      </c>
      <c r="S858" s="13" t="n">
        <f aca="false">IF(R858="","",IF(Q858="Y",1,IF(P858&gt;='Read me'!$B$16,3,IF(AND(R858&gt;='Read me'!$B$14,P858&lt;='Read me'!$B$15),1,2))))</f>
        <v>3</v>
      </c>
    </row>
    <row r="859" customFormat="false" ht="23.85" hidden="false" customHeight="false" outlineLevel="0" collapsed="false">
      <c r="A859" s="11" t="s">
        <v>5480</v>
      </c>
      <c r="B859" s="11" t="s">
        <v>39</v>
      </c>
      <c r="C859" s="11" t="s">
        <v>215</v>
      </c>
      <c r="D859" s="11" t="s">
        <v>216</v>
      </c>
      <c r="E859" s="11" t="s">
        <v>802</v>
      </c>
      <c r="F859" s="11" t="s">
        <v>5481</v>
      </c>
      <c r="G859" s="11" t="s">
        <v>5482</v>
      </c>
      <c r="H859" s="11"/>
      <c r="I859" s="11" t="s">
        <v>5483</v>
      </c>
      <c r="J859" s="11" t="s">
        <v>5484</v>
      </c>
      <c r="K859" s="11" t="s">
        <v>5485</v>
      </c>
      <c r="L859" s="11" t="s">
        <v>5486</v>
      </c>
      <c r="M859" s="11" t="s">
        <v>5487</v>
      </c>
      <c r="N859" s="14" t="n">
        <v>2</v>
      </c>
      <c r="O859" s="14" t="n">
        <v>3</v>
      </c>
      <c r="P859" s="14" t="n">
        <v>3</v>
      </c>
      <c r="Q859" s="14"/>
      <c r="R859" s="12" t="n">
        <f aca="false">IF(OR(N859="",P859=""),"",ROUND(N859*O859/P859,1))</f>
        <v>2</v>
      </c>
      <c r="S859" s="13" t="n">
        <f aca="false">IF(R859="","",IF(Q859="Y",1,IF(P859&gt;='Read me'!$B$16,3,IF(AND(R859&gt;='Read me'!$B$14,P859&lt;='Read me'!$B$15),1,2))))</f>
        <v>2</v>
      </c>
    </row>
    <row r="860" customFormat="false" ht="23.85" hidden="false" customHeight="false" outlineLevel="0" collapsed="false">
      <c r="A860" s="11" t="s">
        <v>5488</v>
      </c>
      <c r="B860" s="11" t="s">
        <v>39</v>
      </c>
      <c r="C860" s="11" t="s">
        <v>215</v>
      </c>
      <c r="D860" s="11" t="s">
        <v>216</v>
      </c>
      <c r="E860" s="11" t="s">
        <v>802</v>
      </c>
      <c r="F860" s="11" t="s">
        <v>5489</v>
      </c>
      <c r="G860" s="11" t="s">
        <v>5490</v>
      </c>
      <c r="H860" s="11"/>
      <c r="I860" s="11" t="s">
        <v>5491</v>
      </c>
      <c r="J860" s="11" t="s">
        <v>5492</v>
      </c>
      <c r="K860" s="11" t="s">
        <v>5493</v>
      </c>
      <c r="L860" s="11" t="s">
        <v>5494</v>
      </c>
      <c r="M860" s="11"/>
      <c r="N860" s="14" t="n">
        <v>3</v>
      </c>
      <c r="O860" s="14" t="n">
        <v>3</v>
      </c>
      <c r="P860" s="14" t="n">
        <v>1</v>
      </c>
      <c r="Q860" s="14"/>
      <c r="R860" s="12" t="n">
        <f aca="false">IF(OR(N860="",P860=""),"",ROUND(N860*O860/P860,1))</f>
        <v>9</v>
      </c>
      <c r="S860" s="13" t="n">
        <f aca="false">IF(R860="","",IF(Q860="Y",1,IF(P860&gt;='Read me'!$B$16,3,IF(AND(R860&gt;='Read me'!$B$14,P860&lt;='Read me'!$B$15),1,2))))</f>
        <v>1</v>
      </c>
    </row>
    <row r="861" customFormat="false" ht="23.85" hidden="false" customHeight="false" outlineLevel="0" collapsed="false">
      <c r="A861" s="11" t="s">
        <v>5495</v>
      </c>
      <c r="B861" s="11" t="s">
        <v>39</v>
      </c>
      <c r="C861" s="11" t="s">
        <v>215</v>
      </c>
      <c r="D861" s="11" t="s">
        <v>216</v>
      </c>
      <c r="E861" s="11" t="s">
        <v>802</v>
      </c>
      <c r="F861" s="11" t="s">
        <v>5496</v>
      </c>
      <c r="G861" s="11" t="s">
        <v>5497</v>
      </c>
      <c r="H861" s="11"/>
      <c r="I861" s="11" t="s">
        <v>5498</v>
      </c>
      <c r="J861" s="11" t="s">
        <v>5499</v>
      </c>
      <c r="K861" s="11" t="s">
        <v>5500</v>
      </c>
      <c r="L861" s="11" t="s">
        <v>5501</v>
      </c>
      <c r="M861" s="11"/>
      <c r="N861" s="14" t="n">
        <v>2</v>
      </c>
      <c r="O861" s="14" t="n">
        <v>3</v>
      </c>
      <c r="P861" s="14" t="n">
        <v>2</v>
      </c>
      <c r="Q861" s="14"/>
      <c r="R861" s="12" t="n">
        <f aca="false">IF(OR(N861="",P861=""),"",ROUND(N861*O861/P861,1))</f>
        <v>3</v>
      </c>
      <c r="S861" s="13" t="n">
        <f aca="false">IF(R861="","",IF(Q861="Y",1,IF(P861&gt;='Read me'!$B$16,3,IF(AND(R861&gt;='Read me'!$B$14,P861&lt;='Read me'!$B$15),1,2))))</f>
        <v>2</v>
      </c>
    </row>
    <row r="862" customFormat="false" ht="46.25" hidden="false" customHeight="false" outlineLevel="0" collapsed="false">
      <c r="A862" s="11" t="s">
        <v>5502</v>
      </c>
      <c r="B862" s="11" t="s">
        <v>39</v>
      </c>
      <c r="C862" s="11" t="s">
        <v>215</v>
      </c>
      <c r="D862" s="11" t="s">
        <v>216</v>
      </c>
      <c r="E862" s="11" t="s">
        <v>765</v>
      </c>
      <c r="F862" s="11" t="s">
        <v>5503</v>
      </c>
      <c r="G862" s="11" t="s">
        <v>1990</v>
      </c>
      <c r="H862" s="11"/>
      <c r="I862" s="11" t="s">
        <v>5504</v>
      </c>
      <c r="J862" s="11" t="s">
        <v>5505</v>
      </c>
      <c r="K862" s="11" t="s">
        <v>4819</v>
      </c>
      <c r="L862" s="11" t="s">
        <v>5506</v>
      </c>
      <c r="M862" s="11" t="s">
        <v>5507</v>
      </c>
      <c r="N862" s="14" t="n">
        <v>2</v>
      </c>
      <c r="O862" s="14" t="n">
        <v>3</v>
      </c>
      <c r="P862" s="14" t="n">
        <v>3</v>
      </c>
      <c r="Q862" s="14"/>
      <c r="R862" s="12" t="n">
        <f aca="false">IF(OR(N862="",P862=""),"",ROUND(N862*O862/P862,1))</f>
        <v>2</v>
      </c>
      <c r="S862" s="13" t="n">
        <f aca="false">IF(R862="","",IF(Q862="Y",1,IF(P862&gt;='Read me'!$B$16,3,IF(AND(R862&gt;='Read me'!$B$14,P862&lt;='Read me'!$B$15),1,2))))</f>
        <v>2</v>
      </c>
    </row>
    <row r="863" customFormat="false" ht="23.85" hidden="false" customHeight="false" outlineLevel="0" collapsed="false">
      <c r="A863" s="11" t="s">
        <v>5508</v>
      </c>
      <c r="B863" s="11" t="s">
        <v>39</v>
      </c>
      <c r="C863" s="11" t="s">
        <v>215</v>
      </c>
      <c r="D863" s="11" t="s">
        <v>216</v>
      </c>
      <c r="E863" s="11" t="s">
        <v>1372</v>
      </c>
      <c r="F863" s="11" t="s">
        <v>5509</v>
      </c>
      <c r="G863" s="11" t="s">
        <v>5510</v>
      </c>
      <c r="H863" s="11"/>
      <c r="I863" s="11" t="s">
        <v>5511</v>
      </c>
      <c r="J863" s="11" t="s">
        <v>5512</v>
      </c>
      <c r="K863" s="11" t="s">
        <v>5513</v>
      </c>
      <c r="L863" s="11" t="s">
        <v>5514</v>
      </c>
      <c r="M863" s="11"/>
      <c r="N863" s="14" t="n">
        <v>2</v>
      </c>
      <c r="O863" s="14" t="n">
        <v>4</v>
      </c>
      <c r="P863" s="14" t="n">
        <v>1</v>
      </c>
      <c r="Q863" s="14"/>
      <c r="R863" s="12" t="n">
        <f aca="false">IF(OR(N863="",P863=""),"",ROUND(N863*O863/P863,1))</f>
        <v>8</v>
      </c>
      <c r="S863" s="13" t="n">
        <f aca="false">IF(R863="","",IF(Q863="Y",1,IF(P863&gt;='Read me'!$B$16,3,IF(AND(R863&gt;='Read me'!$B$14,P863&lt;='Read me'!$B$15),1,2))))</f>
        <v>1</v>
      </c>
    </row>
    <row r="864" customFormat="false" ht="23.85" hidden="false" customHeight="false" outlineLevel="0" collapsed="false">
      <c r="A864" s="11" t="s">
        <v>5515</v>
      </c>
      <c r="B864" s="11" t="s">
        <v>39</v>
      </c>
      <c r="C864" s="11" t="s">
        <v>215</v>
      </c>
      <c r="D864" s="11" t="s">
        <v>216</v>
      </c>
      <c r="E864" s="11" t="s">
        <v>1372</v>
      </c>
      <c r="F864" s="11" t="s">
        <v>5516</v>
      </c>
      <c r="G864" s="11" t="s">
        <v>5517</v>
      </c>
      <c r="H864" s="11"/>
      <c r="I864" s="11" t="s">
        <v>512</v>
      </c>
      <c r="J864" s="11" t="s">
        <v>5518</v>
      </c>
      <c r="K864" s="11" t="s">
        <v>5519</v>
      </c>
      <c r="L864" s="11" t="s">
        <v>5520</v>
      </c>
      <c r="M864" s="11"/>
      <c r="N864" s="14" t="n">
        <v>2</v>
      </c>
      <c r="O864" s="14" t="n">
        <v>4</v>
      </c>
      <c r="P864" s="14" t="n">
        <v>1</v>
      </c>
      <c r="Q864" s="14"/>
      <c r="R864" s="12" t="n">
        <f aca="false">IF(OR(N864="",P864=""),"",ROUND(N864*O864/P864,1))</f>
        <v>8</v>
      </c>
      <c r="S864" s="13" t="n">
        <f aca="false">IF(R864="","",IF(Q864="Y",1,IF(P864&gt;='Read me'!$B$16,3,IF(AND(R864&gt;='Read me'!$B$14,P864&lt;='Read me'!$B$15),1,2))))</f>
        <v>1</v>
      </c>
    </row>
    <row r="865" customFormat="false" ht="35.05" hidden="false" customHeight="false" outlineLevel="0" collapsed="false">
      <c r="A865" s="11" t="s">
        <v>5521</v>
      </c>
      <c r="B865" s="11" t="s">
        <v>39</v>
      </c>
      <c r="C865" s="11" t="s">
        <v>220</v>
      </c>
      <c r="D865" s="11" t="s">
        <v>221</v>
      </c>
      <c r="E865" s="11" t="s">
        <v>476</v>
      </c>
      <c r="F865" s="11" t="s">
        <v>5522</v>
      </c>
      <c r="G865" s="11" t="s">
        <v>3783</v>
      </c>
      <c r="H865" s="11"/>
      <c r="I865" s="11" t="s">
        <v>5523</v>
      </c>
      <c r="J865" s="11" t="s">
        <v>5524</v>
      </c>
      <c r="K865" s="11" t="s">
        <v>5329</v>
      </c>
      <c r="L865" s="11" t="s">
        <v>5525</v>
      </c>
      <c r="M865" s="11" t="s">
        <v>5331</v>
      </c>
      <c r="N865" s="14" t="n">
        <v>3</v>
      </c>
      <c r="O865" s="14" t="n">
        <v>4</v>
      </c>
      <c r="P865" s="14" t="n">
        <v>1</v>
      </c>
      <c r="Q865" s="14"/>
      <c r="R865" s="12" t="n">
        <f aca="false">IF(OR(N865="",P865=""),"",ROUND(N865*O865/P865,1))</f>
        <v>12</v>
      </c>
      <c r="S865" s="13" t="n">
        <f aca="false">IF(R865="","",IF(Q865="Y",1,IF(P865&gt;='Read me'!$B$16,3,IF(AND(R865&gt;='Read me'!$B$14,P865&lt;='Read me'!$B$15),1,2))))</f>
        <v>1</v>
      </c>
    </row>
    <row r="866" customFormat="false" ht="23.85" hidden="false" customHeight="false" outlineLevel="0" collapsed="false">
      <c r="A866" s="11" t="s">
        <v>5526</v>
      </c>
      <c r="B866" s="11" t="s">
        <v>39</v>
      </c>
      <c r="C866" s="11" t="s">
        <v>220</v>
      </c>
      <c r="D866" s="11" t="s">
        <v>221</v>
      </c>
      <c r="E866" s="11" t="s">
        <v>476</v>
      </c>
      <c r="F866" s="11" t="s">
        <v>5527</v>
      </c>
      <c r="G866" s="11" t="s">
        <v>3867</v>
      </c>
      <c r="H866" s="11"/>
      <c r="I866" s="11" t="s">
        <v>5528</v>
      </c>
      <c r="J866" s="11" t="s">
        <v>5529</v>
      </c>
      <c r="K866" s="11" t="s">
        <v>5493</v>
      </c>
      <c r="L866" s="11" t="s">
        <v>5530</v>
      </c>
      <c r="M866" s="11"/>
      <c r="N866" s="14" t="n">
        <v>3</v>
      </c>
      <c r="O866" s="14" t="n">
        <v>4</v>
      </c>
      <c r="P866" s="14" t="n">
        <v>1</v>
      </c>
      <c r="Q866" s="14"/>
      <c r="R866" s="12" t="n">
        <f aca="false">IF(OR(N866="",P866=""),"",ROUND(N866*O866/P866,1))</f>
        <v>12</v>
      </c>
      <c r="S866" s="13" t="n">
        <f aca="false">IF(R866="","",IF(Q866="Y",1,IF(P866&gt;='Read me'!$B$16,3,IF(AND(R866&gt;='Read me'!$B$14,P866&lt;='Read me'!$B$15),1,2))))</f>
        <v>1</v>
      </c>
    </row>
    <row r="867" customFormat="false" ht="23.85" hidden="false" customHeight="false" outlineLevel="0" collapsed="false">
      <c r="A867" s="11" t="s">
        <v>5531</v>
      </c>
      <c r="B867" s="11" t="s">
        <v>39</v>
      </c>
      <c r="C867" s="11" t="s">
        <v>220</v>
      </c>
      <c r="D867" s="11" t="s">
        <v>221</v>
      </c>
      <c r="E867" s="11" t="s">
        <v>476</v>
      </c>
      <c r="F867" s="11" t="s">
        <v>5532</v>
      </c>
      <c r="G867" s="11" t="s">
        <v>5533</v>
      </c>
      <c r="H867" s="11"/>
      <c r="I867" s="11" t="s">
        <v>5534</v>
      </c>
      <c r="J867" s="11" t="s">
        <v>5535</v>
      </c>
      <c r="K867" s="11" t="s">
        <v>1145</v>
      </c>
      <c r="L867" s="11" t="s">
        <v>5536</v>
      </c>
      <c r="M867" s="11"/>
      <c r="N867" s="14" t="n">
        <v>2</v>
      </c>
      <c r="O867" s="14" t="n">
        <v>2</v>
      </c>
      <c r="P867" s="14" t="n">
        <v>1</v>
      </c>
      <c r="Q867" s="14"/>
      <c r="R867" s="12" t="n">
        <f aca="false">IF(OR(N867="",P867=""),"",ROUND(N867*O867/P867,1))</f>
        <v>4</v>
      </c>
      <c r="S867" s="13" t="n">
        <f aca="false">IF(R867="","",IF(Q867="Y",1,IF(P867&gt;='Read me'!$B$16,3,IF(AND(R867&gt;='Read me'!$B$14,P867&lt;='Read me'!$B$15),1,2))))</f>
        <v>2</v>
      </c>
    </row>
    <row r="868" customFormat="false" ht="35.05" hidden="false" customHeight="false" outlineLevel="0" collapsed="false">
      <c r="A868" s="11" t="s">
        <v>5537</v>
      </c>
      <c r="B868" s="11" t="s">
        <v>39</v>
      </c>
      <c r="C868" s="11" t="s">
        <v>220</v>
      </c>
      <c r="D868" s="11" t="s">
        <v>221</v>
      </c>
      <c r="E868" s="11" t="s">
        <v>476</v>
      </c>
      <c r="F868" s="11" t="s">
        <v>5538</v>
      </c>
      <c r="G868" s="11" t="s">
        <v>5539</v>
      </c>
      <c r="H868" s="11"/>
      <c r="I868" s="11" t="s">
        <v>512</v>
      </c>
      <c r="J868" s="11" t="s">
        <v>5540</v>
      </c>
      <c r="K868" s="11" t="s">
        <v>4502</v>
      </c>
      <c r="L868" s="11" t="s">
        <v>5541</v>
      </c>
      <c r="M868" s="11" t="s">
        <v>4716</v>
      </c>
      <c r="N868" s="14" t="n">
        <v>3</v>
      </c>
      <c r="O868" s="14" t="n">
        <v>3</v>
      </c>
      <c r="P868" s="14" t="n">
        <v>2</v>
      </c>
      <c r="Q868" s="14"/>
      <c r="R868" s="12" t="n">
        <f aca="false">IF(OR(N868="",P868=""),"",ROUND(N868*O868/P868,1))</f>
        <v>4.5</v>
      </c>
      <c r="S868" s="13" t="n">
        <f aca="false">IF(R868="","",IF(Q868="Y",1,IF(P868&gt;='Read me'!$B$16,3,IF(AND(R868&gt;='Read me'!$B$14,P868&lt;='Read me'!$B$15),1,2))))</f>
        <v>2</v>
      </c>
    </row>
    <row r="869" customFormat="false" ht="23.85" hidden="false" customHeight="false" outlineLevel="0" collapsed="false">
      <c r="A869" s="11" t="s">
        <v>5542</v>
      </c>
      <c r="B869" s="11" t="s">
        <v>39</v>
      </c>
      <c r="C869" s="11" t="s">
        <v>220</v>
      </c>
      <c r="D869" s="11" t="s">
        <v>221</v>
      </c>
      <c r="E869" s="11" t="s">
        <v>532</v>
      </c>
      <c r="F869" s="11" t="s">
        <v>5543</v>
      </c>
      <c r="G869" s="11" t="s">
        <v>5544</v>
      </c>
      <c r="H869" s="11"/>
      <c r="I869" s="11" t="s">
        <v>5545</v>
      </c>
      <c r="J869" s="11" t="s">
        <v>5546</v>
      </c>
      <c r="K869" s="11" t="s">
        <v>5547</v>
      </c>
      <c r="L869" s="11" t="s">
        <v>5548</v>
      </c>
      <c r="M869" s="11"/>
      <c r="N869" s="14" t="n">
        <v>2</v>
      </c>
      <c r="O869" s="14" t="n">
        <v>3</v>
      </c>
      <c r="P869" s="14" t="n">
        <v>2</v>
      </c>
      <c r="Q869" s="14"/>
      <c r="R869" s="12" t="n">
        <f aca="false">IF(OR(N869="",P869=""),"",ROUND(N869*O869/P869,1))</f>
        <v>3</v>
      </c>
      <c r="S869" s="13" t="n">
        <f aca="false">IF(R869="","",IF(Q869="Y",1,IF(P869&gt;='Read me'!$B$16,3,IF(AND(R869&gt;='Read me'!$B$14,P869&lt;='Read me'!$B$15),1,2))))</f>
        <v>2</v>
      </c>
    </row>
    <row r="870" customFormat="false" ht="35.05" hidden="false" customHeight="false" outlineLevel="0" collapsed="false">
      <c r="A870" s="11" t="s">
        <v>5549</v>
      </c>
      <c r="B870" s="11" t="s">
        <v>39</v>
      </c>
      <c r="C870" s="11" t="s">
        <v>220</v>
      </c>
      <c r="D870" s="11" t="s">
        <v>221</v>
      </c>
      <c r="E870" s="11" t="s">
        <v>532</v>
      </c>
      <c r="F870" s="11" t="s">
        <v>5550</v>
      </c>
      <c r="G870" s="11" t="s">
        <v>5551</v>
      </c>
      <c r="H870" s="11"/>
      <c r="I870" s="11" t="s">
        <v>5552</v>
      </c>
      <c r="J870" s="11" t="s">
        <v>5553</v>
      </c>
      <c r="K870" s="11" t="s">
        <v>5375</v>
      </c>
      <c r="L870" s="11"/>
      <c r="M870" s="11" t="s">
        <v>5331</v>
      </c>
      <c r="N870" s="14" t="n">
        <v>2</v>
      </c>
      <c r="O870" s="14" t="n">
        <v>3</v>
      </c>
      <c r="P870" s="14" t="n">
        <v>1</v>
      </c>
      <c r="Q870" s="14"/>
      <c r="R870" s="12" t="n">
        <f aca="false">IF(OR(N870="",P870=""),"",ROUND(N870*O870/P870,1))</f>
        <v>6</v>
      </c>
      <c r="S870" s="13" t="n">
        <f aca="false">IF(R870="","",IF(Q870="Y",1,IF(P870&gt;='Read me'!$B$16,3,IF(AND(R870&gt;='Read me'!$B$14,P870&lt;='Read me'!$B$15),1,2))))</f>
        <v>1</v>
      </c>
    </row>
    <row r="871" customFormat="false" ht="15" hidden="false" customHeight="false" outlineLevel="0" collapsed="false">
      <c r="A871" s="11" t="s">
        <v>5554</v>
      </c>
      <c r="B871" s="11" t="s">
        <v>39</v>
      </c>
      <c r="C871" s="11" t="s">
        <v>220</v>
      </c>
      <c r="D871" s="11" t="s">
        <v>221</v>
      </c>
      <c r="E871" s="11" t="s">
        <v>532</v>
      </c>
      <c r="F871" s="11" t="s">
        <v>5555</v>
      </c>
      <c r="G871" s="11" t="s">
        <v>5556</v>
      </c>
      <c r="H871" s="11"/>
      <c r="I871" s="11" t="s">
        <v>5557</v>
      </c>
      <c r="J871" s="11" t="s">
        <v>5558</v>
      </c>
      <c r="K871" s="11" t="s">
        <v>5559</v>
      </c>
      <c r="L871" s="11" t="s">
        <v>5560</v>
      </c>
      <c r="M871" s="11"/>
      <c r="N871" s="14" t="n">
        <v>2</v>
      </c>
      <c r="O871" s="14" t="n">
        <v>3</v>
      </c>
      <c r="P871" s="14" t="n">
        <v>1</v>
      </c>
      <c r="Q871" s="14"/>
      <c r="R871" s="12" t="n">
        <f aca="false">IF(OR(N871="",P871=""),"",ROUND(N871*O871/P871,1))</f>
        <v>6</v>
      </c>
      <c r="S871" s="13" t="n">
        <f aca="false">IF(R871="","",IF(Q871="Y",1,IF(P871&gt;='Read me'!$B$16,3,IF(AND(R871&gt;='Read me'!$B$14,P871&lt;='Read me'!$B$15),1,2))))</f>
        <v>1</v>
      </c>
    </row>
    <row r="872" customFormat="false" ht="23.85" hidden="false" customHeight="false" outlineLevel="0" collapsed="false">
      <c r="A872" s="11" t="s">
        <v>5561</v>
      </c>
      <c r="B872" s="11" t="s">
        <v>39</v>
      </c>
      <c r="C872" s="11" t="s">
        <v>220</v>
      </c>
      <c r="D872" s="11" t="s">
        <v>221</v>
      </c>
      <c r="E872" s="11" t="s">
        <v>532</v>
      </c>
      <c r="F872" s="11" t="s">
        <v>5562</v>
      </c>
      <c r="G872" s="11" t="s">
        <v>5563</v>
      </c>
      <c r="H872" s="11" t="s">
        <v>686</v>
      </c>
      <c r="I872" s="11" t="s">
        <v>5564</v>
      </c>
      <c r="J872" s="11" t="s">
        <v>5565</v>
      </c>
      <c r="K872" s="11" t="s">
        <v>5386</v>
      </c>
      <c r="L872" s="11" t="s">
        <v>5566</v>
      </c>
      <c r="M872" s="11"/>
      <c r="N872" s="14" t="n">
        <v>3</v>
      </c>
      <c r="O872" s="14" t="n">
        <v>3</v>
      </c>
      <c r="P872" s="14" t="n">
        <v>1</v>
      </c>
      <c r="Q872" s="14"/>
      <c r="R872" s="12" t="n">
        <f aca="false">IF(OR(N872="",P872=""),"",ROUND(N872*O872/P872,1))</f>
        <v>9</v>
      </c>
      <c r="S872" s="13" t="n">
        <f aca="false">IF(R872="","",IF(Q872="Y",1,IF(P872&gt;='Read me'!$B$16,3,IF(AND(R872&gt;='Read me'!$B$14,P872&lt;='Read me'!$B$15),1,2))))</f>
        <v>1</v>
      </c>
    </row>
    <row r="873" customFormat="false" ht="23.85" hidden="false" customHeight="false" outlineLevel="0" collapsed="false">
      <c r="A873" s="11" t="s">
        <v>5567</v>
      </c>
      <c r="B873" s="11" t="s">
        <v>39</v>
      </c>
      <c r="C873" s="11" t="s">
        <v>220</v>
      </c>
      <c r="D873" s="11" t="s">
        <v>221</v>
      </c>
      <c r="E873" s="11" t="s">
        <v>626</v>
      </c>
      <c r="F873" s="11" t="s">
        <v>5568</v>
      </c>
      <c r="G873" s="11" t="s">
        <v>5569</v>
      </c>
      <c r="H873" s="11"/>
      <c r="I873" s="11" t="s">
        <v>5570</v>
      </c>
      <c r="J873" s="11" t="s">
        <v>5571</v>
      </c>
      <c r="K873" s="11" t="s">
        <v>5572</v>
      </c>
      <c r="L873" s="11" t="s">
        <v>5573</v>
      </c>
      <c r="M873" s="11" t="s">
        <v>5574</v>
      </c>
      <c r="N873" s="14" t="n">
        <v>4</v>
      </c>
      <c r="O873" s="14" t="n">
        <v>4</v>
      </c>
      <c r="P873" s="14" t="n">
        <v>2</v>
      </c>
      <c r="Q873" s="14"/>
      <c r="R873" s="12" t="n">
        <f aca="false">IF(OR(N873="",P873=""),"",ROUND(N873*O873/P873,1))</f>
        <v>8</v>
      </c>
      <c r="S873" s="13" t="n">
        <f aca="false">IF(R873="","",IF(Q873="Y",1,IF(P873&gt;='Read me'!$B$16,3,IF(AND(R873&gt;='Read me'!$B$14,P873&lt;='Read me'!$B$15),1,2))))</f>
        <v>1</v>
      </c>
    </row>
    <row r="874" customFormat="false" ht="23.85" hidden="false" customHeight="false" outlineLevel="0" collapsed="false">
      <c r="A874" s="11" t="s">
        <v>5575</v>
      </c>
      <c r="B874" s="11" t="s">
        <v>39</v>
      </c>
      <c r="C874" s="11" t="s">
        <v>220</v>
      </c>
      <c r="D874" s="11" t="s">
        <v>221</v>
      </c>
      <c r="E874" s="11" t="s">
        <v>626</v>
      </c>
      <c r="F874" s="11" t="s">
        <v>5568</v>
      </c>
      <c r="G874" s="11" t="s">
        <v>5576</v>
      </c>
      <c r="H874" s="11"/>
      <c r="I874" s="11" t="s">
        <v>5577</v>
      </c>
      <c r="J874" s="11" t="s">
        <v>5578</v>
      </c>
      <c r="K874" s="11" t="s">
        <v>5579</v>
      </c>
      <c r="L874" s="11" t="s">
        <v>5580</v>
      </c>
      <c r="M874" s="11" t="s">
        <v>5581</v>
      </c>
      <c r="N874" s="14" t="n">
        <v>3</v>
      </c>
      <c r="O874" s="14" t="n">
        <v>3</v>
      </c>
      <c r="P874" s="14" t="n">
        <v>2</v>
      </c>
      <c r="Q874" s="14"/>
      <c r="R874" s="12" t="n">
        <f aca="false">IF(OR(N874="",P874=""),"",ROUND(N874*O874/P874,1))</f>
        <v>4.5</v>
      </c>
      <c r="S874" s="13" t="n">
        <f aca="false">IF(R874="","",IF(Q874="Y",1,IF(P874&gt;='Read me'!$B$16,3,IF(AND(R874&gt;='Read me'!$B$14,P874&lt;='Read me'!$B$15),1,2))))</f>
        <v>2</v>
      </c>
    </row>
    <row r="875" customFormat="false" ht="15" hidden="false" customHeight="false" outlineLevel="0" collapsed="false">
      <c r="A875" s="11" t="s">
        <v>5582</v>
      </c>
      <c r="B875" s="11" t="s">
        <v>39</v>
      </c>
      <c r="C875" s="11" t="s">
        <v>220</v>
      </c>
      <c r="D875" s="11" t="s">
        <v>221</v>
      </c>
      <c r="E875" s="11" t="s">
        <v>626</v>
      </c>
      <c r="F875" s="11" t="s">
        <v>5583</v>
      </c>
      <c r="G875" s="11" t="s">
        <v>5584</v>
      </c>
      <c r="H875" s="11"/>
      <c r="I875" s="11" t="s">
        <v>5585</v>
      </c>
      <c r="J875" s="11" t="s">
        <v>5586</v>
      </c>
      <c r="K875" s="11" t="s">
        <v>5430</v>
      </c>
      <c r="L875" s="11" t="s">
        <v>5587</v>
      </c>
      <c r="M875" s="11"/>
      <c r="N875" s="14" t="n">
        <v>2</v>
      </c>
      <c r="O875" s="14" t="n">
        <v>2</v>
      </c>
      <c r="P875" s="14" t="n">
        <v>1</v>
      </c>
      <c r="Q875" s="14"/>
      <c r="R875" s="12" t="n">
        <f aca="false">IF(OR(N875="",P875=""),"",ROUND(N875*O875/P875,1))</f>
        <v>4</v>
      </c>
      <c r="S875" s="13" t="n">
        <f aca="false">IF(R875="","",IF(Q875="Y",1,IF(P875&gt;='Read me'!$B$16,3,IF(AND(R875&gt;='Read me'!$B$14,P875&lt;='Read me'!$B$15),1,2))))</f>
        <v>2</v>
      </c>
    </row>
    <row r="876" customFormat="false" ht="23.85" hidden="false" customHeight="false" outlineLevel="0" collapsed="false">
      <c r="A876" s="11" t="s">
        <v>5588</v>
      </c>
      <c r="B876" s="11" t="s">
        <v>39</v>
      </c>
      <c r="C876" s="11" t="s">
        <v>220</v>
      </c>
      <c r="D876" s="11" t="s">
        <v>221</v>
      </c>
      <c r="E876" s="11" t="s">
        <v>626</v>
      </c>
      <c r="F876" s="11" t="s">
        <v>5589</v>
      </c>
      <c r="G876" s="11" t="s">
        <v>5590</v>
      </c>
      <c r="H876" s="11"/>
      <c r="I876" s="11" t="s">
        <v>5591</v>
      </c>
      <c r="J876" s="11" t="s">
        <v>5592</v>
      </c>
      <c r="K876" s="11" t="s">
        <v>5593</v>
      </c>
      <c r="L876" s="11" t="s">
        <v>5594</v>
      </c>
      <c r="M876" s="11"/>
      <c r="N876" s="14" t="n">
        <v>2</v>
      </c>
      <c r="O876" s="14" t="n">
        <v>3</v>
      </c>
      <c r="P876" s="14" t="n">
        <v>2</v>
      </c>
      <c r="Q876" s="14"/>
      <c r="R876" s="12" t="n">
        <f aca="false">IF(OR(N876="",P876=""),"",ROUND(N876*O876/P876,1))</f>
        <v>3</v>
      </c>
      <c r="S876" s="13" t="n">
        <f aca="false">IF(R876="","",IF(Q876="Y",1,IF(P876&gt;='Read me'!$B$16,3,IF(AND(R876&gt;='Read me'!$B$14,P876&lt;='Read me'!$B$15),1,2))))</f>
        <v>2</v>
      </c>
    </row>
    <row r="877" customFormat="false" ht="23.85" hidden="false" customHeight="false" outlineLevel="0" collapsed="false">
      <c r="A877" s="11" t="s">
        <v>5595</v>
      </c>
      <c r="B877" s="11" t="s">
        <v>39</v>
      </c>
      <c r="C877" s="11" t="s">
        <v>220</v>
      </c>
      <c r="D877" s="11" t="s">
        <v>221</v>
      </c>
      <c r="E877" s="11" t="s">
        <v>626</v>
      </c>
      <c r="F877" s="11" t="s">
        <v>5596</v>
      </c>
      <c r="G877" s="11" t="s">
        <v>5597</v>
      </c>
      <c r="H877" s="11"/>
      <c r="I877" s="11" t="s">
        <v>5598</v>
      </c>
      <c r="J877" s="11" t="s">
        <v>5599</v>
      </c>
      <c r="K877" s="11" t="s">
        <v>1028</v>
      </c>
      <c r="L877" s="11" t="s">
        <v>5600</v>
      </c>
      <c r="M877" s="11"/>
      <c r="N877" s="14" t="n">
        <v>2</v>
      </c>
      <c r="O877" s="14" t="n">
        <v>3</v>
      </c>
      <c r="P877" s="14" t="n">
        <v>3</v>
      </c>
      <c r="Q877" s="14"/>
      <c r="R877" s="12" t="n">
        <f aca="false">IF(OR(N877="",P877=""),"",ROUND(N877*O877/P877,1))</f>
        <v>2</v>
      </c>
      <c r="S877" s="13" t="n">
        <f aca="false">IF(R877="","",IF(Q877="Y",1,IF(P877&gt;='Read me'!$B$16,3,IF(AND(R877&gt;='Read me'!$B$14,P877&lt;='Read me'!$B$15),1,2))))</f>
        <v>2</v>
      </c>
    </row>
    <row r="878" customFormat="false" ht="15" hidden="false" customHeight="false" outlineLevel="0" collapsed="false">
      <c r="A878" s="11" t="s">
        <v>5601</v>
      </c>
      <c r="B878" s="11" t="s">
        <v>39</v>
      </c>
      <c r="C878" s="11" t="s">
        <v>220</v>
      </c>
      <c r="D878" s="11" t="s">
        <v>221</v>
      </c>
      <c r="E878" s="11" t="s">
        <v>626</v>
      </c>
      <c r="F878" s="11" t="s">
        <v>5602</v>
      </c>
      <c r="G878" s="11" t="s">
        <v>5603</v>
      </c>
      <c r="H878" s="11"/>
      <c r="I878" s="11" t="s">
        <v>5604</v>
      </c>
      <c r="J878" s="11" t="s">
        <v>5605</v>
      </c>
      <c r="K878" s="11" t="s">
        <v>5606</v>
      </c>
      <c r="L878" s="11" t="s">
        <v>5607</v>
      </c>
      <c r="M878" s="11"/>
      <c r="N878" s="14" t="n">
        <v>2</v>
      </c>
      <c r="O878" s="14" t="n">
        <v>3</v>
      </c>
      <c r="P878" s="14" t="n">
        <v>3</v>
      </c>
      <c r="Q878" s="14"/>
      <c r="R878" s="12" t="n">
        <f aca="false">IF(OR(N878="",P878=""),"",ROUND(N878*O878/P878,1))</f>
        <v>2</v>
      </c>
      <c r="S878" s="13" t="n">
        <f aca="false">IF(R878="","",IF(Q878="Y",1,IF(P878&gt;='Read me'!$B$16,3,IF(AND(R878&gt;='Read me'!$B$14,P878&lt;='Read me'!$B$15),1,2))))</f>
        <v>2</v>
      </c>
    </row>
    <row r="879" customFormat="false" ht="23.85" hidden="false" customHeight="false" outlineLevel="0" collapsed="false">
      <c r="A879" s="11" t="s">
        <v>5608</v>
      </c>
      <c r="B879" s="11" t="s">
        <v>39</v>
      </c>
      <c r="C879" s="11" t="s">
        <v>220</v>
      </c>
      <c r="D879" s="11" t="s">
        <v>221</v>
      </c>
      <c r="E879" s="11" t="s">
        <v>626</v>
      </c>
      <c r="F879" s="11" t="s">
        <v>5609</v>
      </c>
      <c r="G879" s="11" t="s">
        <v>1479</v>
      </c>
      <c r="H879" s="11"/>
      <c r="I879" s="11" t="s">
        <v>5610</v>
      </c>
      <c r="J879" s="11" t="s">
        <v>5611</v>
      </c>
      <c r="K879" s="11" t="s">
        <v>5612</v>
      </c>
      <c r="L879" s="11" t="s">
        <v>4664</v>
      </c>
      <c r="M879" s="11" t="s">
        <v>282</v>
      </c>
      <c r="N879" s="14" t="n">
        <v>1</v>
      </c>
      <c r="O879" s="14" t="n">
        <v>4</v>
      </c>
      <c r="P879" s="14" t="n">
        <v>1</v>
      </c>
      <c r="Q879" s="14"/>
      <c r="R879" s="12" t="n">
        <f aca="false">IF(OR(N879="",P879=""),"",ROUND(N879*O879/P879,1))</f>
        <v>4</v>
      </c>
      <c r="S879" s="13" t="n">
        <f aca="false">IF(R879="","",IF(Q879="Y",1,IF(P879&gt;='Read me'!$B$16,3,IF(AND(R879&gt;='Read me'!$B$14,P879&lt;='Read me'!$B$15),1,2))))</f>
        <v>2</v>
      </c>
    </row>
    <row r="880" customFormat="false" ht="23.85" hidden="false" customHeight="false" outlineLevel="0" collapsed="false">
      <c r="A880" s="11" t="s">
        <v>5613</v>
      </c>
      <c r="B880" s="11" t="s">
        <v>39</v>
      </c>
      <c r="C880" s="11" t="s">
        <v>220</v>
      </c>
      <c r="D880" s="11" t="s">
        <v>221</v>
      </c>
      <c r="E880" s="11" t="s">
        <v>751</v>
      </c>
      <c r="F880" s="11" t="s">
        <v>5614</v>
      </c>
      <c r="G880" s="11" t="s">
        <v>1252</v>
      </c>
      <c r="H880" s="11"/>
      <c r="I880" s="11" t="s">
        <v>5615</v>
      </c>
      <c r="J880" s="11" t="s">
        <v>5616</v>
      </c>
      <c r="K880" s="11" t="s">
        <v>1254</v>
      </c>
      <c r="L880" s="11" t="s">
        <v>5617</v>
      </c>
      <c r="M880" s="11" t="s">
        <v>1577</v>
      </c>
      <c r="N880" s="14" t="n">
        <v>5</v>
      </c>
      <c r="O880" s="14" t="n">
        <v>4</v>
      </c>
      <c r="P880" s="14" t="n">
        <v>3</v>
      </c>
      <c r="Q880" s="14"/>
      <c r="R880" s="12" t="n">
        <f aca="false">IF(OR(N880="",P880=""),"",ROUND(N880*O880/P880,1))</f>
        <v>6.7</v>
      </c>
      <c r="S880" s="13" t="n">
        <f aca="false">IF(R880="","",IF(Q880="Y",1,IF(P880&gt;='Read me'!$B$16,3,IF(AND(R880&gt;='Read me'!$B$14,P880&lt;='Read me'!$B$15),1,2))))</f>
        <v>2</v>
      </c>
    </row>
    <row r="881" customFormat="false" ht="23.85" hidden="false" customHeight="false" outlineLevel="0" collapsed="false">
      <c r="A881" s="11" t="s">
        <v>5618</v>
      </c>
      <c r="B881" s="11" t="s">
        <v>39</v>
      </c>
      <c r="C881" s="11" t="s">
        <v>220</v>
      </c>
      <c r="D881" s="11" t="s">
        <v>221</v>
      </c>
      <c r="E881" s="11" t="s">
        <v>751</v>
      </c>
      <c r="F881" s="11" t="s">
        <v>5614</v>
      </c>
      <c r="G881" s="11" t="s">
        <v>1259</v>
      </c>
      <c r="H881" s="11"/>
      <c r="I881" s="11" t="s">
        <v>1781</v>
      </c>
      <c r="J881" s="11" t="s">
        <v>5249</v>
      </c>
      <c r="K881" s="11" t="s">
        <v>1262</v>
      </c>
      <c r="L881" s="11" t="s">
        <v>1263</v>
      </c>
      <c r="M881" s="11" t="s">
        <v>1577</v>
      </c>
      <c r="N881" s="14" t="n">
        <v>4</v>
      </c>
      <c r="O881" s="14" t="n">
        <v>4</v>
      </c>
      <c r="P881" s="14" t="n">
        <v>3</v>
      </c>
      <c r="Q881" s="14"/>
      <c r="R881" s="12" t="n">
        <f aca="false">IF(OR(N881="",P881=""),"",ROUND(N881*O881/P881,1))</f>
        <v>5.3</v>
      </c>
      <c r="S881" s="13" t="n">
        <f aca="false">IF(R881="","",IF(Q881="Y",1,IF(P881&gt;='Read me'!$B$16,3,IF(AND(R881&gt;='Read me'!$B$14,P881&lt;='Read me'!$B$15),1,2))))</f>
        <v>2</v>
      </c>
    </row>
    <row r="882" customFormat="false" ht="23.85" hidden="false" customHeight="false" outlineLevel="0" collapsed="false">
      <c r="A882" s="11" t="s">
        <v>5619</v>
      </c>
      <c r="B882" s="11" t="s">
        <v>39</v>
      </c>
      <c r="C882" s="11" t="s">
        <v>220</v>
      </c>
      <c r="D882" s="11" t="s">
        <v>221</v>
      </c>
      <c r="E882" s="11" t="s">
        <v>751</v>
      </c>
      <c r="F882" s="11" t="s">
        <v>5614</v>
      </c>
      <c r="G882" s="11" t="s">
        <v>5620</v>
      </c>
      <c r="H882" s="11" t="s">
        <v>1564</v>
      </c>
      <c r="I882" s="11" t="s">
        <v>754</v>
      </c>
      <c r="J882" s="11" t="s">
        <v>5621</v>
      </c>
      <c r="K882" s="11" t="s">
        <v>1959</v>
      </c>
      <c r="L882" s="11" t="s">
        <v>1301</v>
      </c>
      <c r="M882" s="11"/>
      <c r="N882" s="14" t="n">
        <v>2</v>
      </c>
      <c r="O882" s="14" t="n">
        <v>3</v>
      </c>
      <c r="P882" s="14" t="n">
        <v>3</v>
      </c>
      <c r="Q882" s="14"/>
      <c r="R882" s="12" t="n">
        <f aca="false">IF(OR(N882="",P882=""),"",ROUND(N882*O882/P882,1))</f>
        <v>2</v>
      </c>
      <c r="S882" s="13" t="n">
        <f aca="false">IF(R882="","",IF(Q882="Y",1,IF(P882&gt;='Read me'!$B$16,3,IF(AND(R882&gt;='Read me'!$B$14,P882&lt;='Read me'!$B$15),1,2))))</f>
        <v>2</v>
      </c>
    </row>
    <row r="883" customFormat="false" ht="23.85" hidden="false" customHeight="false" outlineLevel="0" collapsed="false">
      <c r="A883" s="11" t="s">
        <v>5622</v>
      </c>
      <c r="B883" s="11" t="s">
        <v>39</v>
      </c>
      <c r="C883" s="11" t="s">
        <v>220</v>
      </c>
      <c r="D883" s="11" t="s">
        <v>221</v>
      </c>
      <c r="E883" s="11" t="s">
        <v>802</v>
      </c>
      <c r="F883" s="11" t="s">
        <v>5623</v>
      </c>
      <c r="G883" s="11" t="s">
        <v>5624</v>
      </c>
      <c r="H883" s="11"/>
      <c r="I883" s="11" t="s">
        <v>5625</v>
      </c>
      <c r="J883" s="11" t="s">
        <v>5626</v>
      </c>
      <c r="K883" s="11" t="s">
        <v>5627</v>
      </c>
      <c r="L883" s="11" t="s">
        <v>5628</v>
      </c>
      <c r="M883" s="11"/>
      <c r="N883" s="14" t="n">
        <v>2</v>
      </c>
      <c r="O883" s="14" t="n">
        <v>2</v>
      </c>
      <c r="P883" s="14" t="n">
        <v>1</v>
      </c>
      <c r="Q883" s="14"/>
      <c r="R883" s="12" t="n">
        <f aca="false">IF(OR(N883="",P883=""),"",ROUND(N883*O883/P883,1))</f>
        <v>4</v>
      </c>
      <c r="S883" s="13" t="n">
        <f aca="false">IF(R883="","",IF(Q883="Y",1,IF(P883&gt;='Read me'!$B$16,3,IF(AND(R883&gt;='Read me'!$B$14,P883&lt;='Read me'!$B$15),1,2))))</f>
        <v>2</v>
      </c>
    </row>
    <row r="884" customFormat="false" ht="23.85" hidden="false" customHeight="false" outlineLevel="0" collapsed="false">
      <c r="A884" s="11" t="s">
        <v>5629</v>
      </c>
      <c r="B884" s="11" t="s">
        <v>39</v>
      </c>
      <c r="C884" s="11" t="s">
        <v>220</v>
      </c>
      <c r="D884" s="11" t="s">
        <v>221</v>
      </c>
      <c r="E884" s="11" t="s">
        <v>802</v>
      </c>
      <c r="F884" s="11" t="s">
        <v>5630</v>
      </c>
      <c r="G884" s="11" t="s">
        <v>5631</v>
      </c>
      <c r="H884" s="11"/>
      <c r="I884" s="11" t="s">
        <v>5632</v>
      </c>
      <c r="J884" s="11" t="s">
        <v>5633</v>
      </c>
      <c r="K884" s="11" t="s">
        <v>5634</v>
      </c>
      <c r="L884" s="11" t="s">
        <v>5635</v>
      </c>
      <c r="M884" s="11"/>
      <c r="N884" s="14" t="n">
        <v>2</v>
      </c>
      <c r="O884" s="14" t="n">
        <v>3</v>
      </c>
      <c r="P884" s="14" t="n">
        <v>3</v>
      </c>
      <c r="Q884" s="14"/>
      <c r="R884" s="12" t="n">
        <f aca="false">IF(OR(N884="",P884=""),"",ROUND(N884*O884/P884,1))</f>
        <v>2</v>
      </c>
      <c r="S884" s="13" t="n">
        <f aca="false">IF(R884="","",IF(Q884="Y",1,IF(P884&gt;='Read me'!$B$16,3,IF(AND(R884&gt;='Read me'!$B$14,P884&lt;='Read me'!$B$15),1,2))))</f>
        <v>2</v>
      </c>
    </row>
    <row r="885" customFormat="false" ht="46.25" hidden="false" customHeight="false" outlineLevel="0" collapsed="false">
      <c r="A885" s="11" t="s">
        <v>5636</v>
      </c>
      <c r="B885" s="11" t="s">
        <v>39</v>
      </c>
      <c r="C885" s="11" t="s">
        <v>220</v>
      </c>
      <c r="D885" s="11" t="s">
        <v>221</v>
      </c>
      <c r="E885" s="11" t="s">
        <v>765</v>
      </c>
      <c r="F885" s="11" t="s">
        <v>5637</v>
      </c>
      <c r="G885" s="11" t="s">
        <v>1990</v>
      </c>
      <c r="H885" s="11"/>
      <c r="I885" s="11" t="s">
        <v>5638</v>
      </c>
      <c r="J885" s="11" t="s">
        <v>5639</v>
      </c>
      <c r="K885" s="11" t="s">
        <v>990</v>
      </c>
      <c r="L885" s="11" t="s">
        <v>5640</v>
      </c>
      <c r="M885" s="11" t="s">
        <v>5507</v>
      </c>
      <c r="N885" s="14" t="n">
        <v>2</v>
      </c>
      <c r="O885" s="14" t="n">
        <v>2</v>
      </c>
      <c r="P885" s="14" t="n">
        <v>2</v>
      </c>
      <c r="Q885" s="14"/>
      <c r="R885" s="12" t="n">
        <f aca="false">IF(OR(N885="",P885=""),"",ROUND(N885*O885/P885,1))</f>
        <v>2</v>
      </c>
      <c r="S885" s="13" t="n">
        <f aca="false">IF(R885="","",IF(Q885="Y",1,IF(P885&gt;='Read me'!$B$16,3,IF(AND(R885&gt;='Read me'!$B$14,P885&lt;='Read me'!$B$15),1,2))))</f>
        <v>2</v>
      </c>
    </row>
    <row r="886" customFormat="false" ht="46.25" hidden="false" customHeight="false" outlineLevel="0" collapsed="false">
      <c r="A886" s="11" t="s">
        <v>5641</v>
      </c>
      <c r="B886" s="11" t="s">
        <v>39</v>
      </c>
      <c r="C886" s="11" t="s">
        <v>220</v>
      </c>
      <c r="D886" s="11" t="s">
        <v>221</v>
      </c>
      <c r="E886" s="11" t="s">
        <v>1187</v>
      </c>
      <c r="F886" s="11" t="s">
        <v>5642</v>
      </c>
      <c r="G886" s="11" t="s">
        <v>5643</v>
      </c>
      <c r="H886" s="11" t="s">
        <v>5644</v>
      </c>
      <c r="I886" s="11" t="s">
        <v>5645</v>
      </c>
      <c r="J886" s="11" t="s">
        <v>5646</v>
      </c>
      <c r="K886" s="11" t="s">
        <v>5647</v>
      </c>
      <c r="L886" s="11" t="s">
        <v>5648</v>
      </c>
      <c r="M886" s="11" t="s">
        <v>5507</v>
      </c>
      <c r="N886" s="14" t="n">
        <v>3</v>
      </c>
      <c r="O886" s="14" t="n">
        <v>3</v>
      </c>
      <c r="P886" s="14" t="n">
        <v>2</v>
      </c>
      <c r="Q886" s="14"/>
      <c r="R886" s="12" t="n">
        <f aca="false">IF(OR(N886="",P886=""),"",ROUND(N886*O886/P886,1))</f>
        <v>4.5</v>
      </c>
      <c r="S886" s="13" t="n">
        <f aca="false">IF(R886="","",IF(Q886="Y",1,IF(P886&gt;='Read me'!$B$16,3,IF(AND(R886&gt;='Read me'!$B$14,P886&lt;='Read me'!$B$15),1,2))))</f>
        <v>2</v>
      </c>
    </row>
    <row r="887" customFormat="false" ht="46.25" hidden="false" customHeight="false" outlineLevel="0" collapsed="false">
      <c r="A887" s="11" t="s">
        <v>5649</v>
      </c>
      <c r="B887" s="11" t="s">
        <v>39</v>
      </c>
      <c r="C887" s="11" t="s">
        <v>220</v>
      </c>
      <c r="D887" s="11" t="s">
        <v>221</v>
      </c>
      <c r="E887" s="11" t="s">
        <v>1187</v>
      </c>
      <c r="F887" s="11" t="s">
        <v>5650</v>
      </c>
      <c r="G887" s="11" t="s">
        <v>5651</v>
      </c>
      <c r="H887" s="11" t="s">
        <v>3569</v>
      </c>
      <c r="I887" s="11" t="s">
        <v>5652</v>
      </c>
      <c r="J887" s="11" t="s">
        <v>5653</v>
      </c>
      <c r="K887" s="11" t="s">
        <v>5654</v>
      </c>
      <c r="L887" s="11" t="s">
        <v>5655</v>
      </c>
      <c r="M887" s="11" t="s">
        <v>5656</v>
      </c>
      <c r="N887" s="14" t="n">
        <v>2</v>
      </c>
      <c r="O887" s="14" t="n">
        <v>3</v>
      </c>
      <c r="P887" s="14" t="n">
        <v>3</v>
      </c>
      <c r="Q887" s="14"/>
      <c r="R887" s="12" t="n">
        <f aca="false">IF(OR(N887="",P887=""),"",ROUND(N887*O887/P887,1))</f>
        <v>2</v>
      </c>
      <c r="S887" s="13" t="n">
        <f aca="false">IF(R887="","",IF(Q887="Y",1,IF(P887&gt;='Read me'!$B$16,3,IF(AND(R887&gt;='Read me'!$B$14,P887&lt;='Read me'!$B$15),1,2))))</f>
        <v>2</v>
      </c>
    </row>
    <row r="888" customFormat="false" ht="23.85" hidden="false" customHeight="false" outlineLevel="0" collapsed="false">
      <c r="A888" s="11" t="s">
        <v>5657</v>
      </c>
      <c r="B888" s="11" t="s">
        <v>39</v>
      </c>
      <c r="C888" s="11" t="s">
        <v>220</v>
      </c>
      <c r="D888" s="11" t="s">
        <v>221</v>
      </c>
      <c r="E888" s="11" t="s">
        <v>1187</v>
      </c>
      <c r="F888" s="11" t="s">
        <v>5658</v>
      </c>
      <c r="G888" s="11" t="s">
        <v>5659</v>
      </c>
      <c r="H888" s="11" t="s">
        <v>5660</v>
      </c>
      <c r="I888" s="11" t="s">
        <v>5661</v>
      </c>
      <c r="J888" s="11" t="s">
        <v>5662</v>
      </c>
      <c r="K888" s="11" t="s">
        <v>5663</v>
      </c>
      <c r="L888" s="11" t="s">
        <v>5664</v>
      </c>
      <c r="M888" s="11" t="s">
        <v>5665</v>
      </c>
      <c r="N888" s="14" t="n">
        <v>2</v>
      </c>
      <c r="O888" s="14" t="n">
        <v>2</v>
      </c>
      <c r="P888" s="14" t="n">
        <v>2</v>
      </c>
      <c r="Q888" s="14"/>
      <c r="R888" s="12" t="n">
        <f aca="false">IF(OR(N888="",P888=""),"",ROUND(N888*O888/P888,1))</f>
        <v>2</v>
      </c>
      <c r="S888" s="13" t="n">
        <f aca="false">IF(R888="","",IF(Q888="Y",1,IF(P888&gt;='Read me'!$B$16,3,IF(AND(R888&gt;='Read me'!$B$14,P888&lt;='Read me'!$B$15),1,2))))</f>
        <v>2</v>
      </c>
    </row>
    <row r="889" customFormat="false" ht="23.85" hidden="false" customHeight="false" outlineLevel="0" collapsed="false">
      <c r="A889" s="11" t="s">
        <v>5666</v>
      </c>
      <c r="B889" s="11" t="s">
        <v>39</v>
      </c>
      <c r="C889" s="11" t="s">
        <v>220</v>
      </c>
      <c r="D889" s="11" t="s">
        <v>221</v>
      </c>
      <c r="E889" s="11" t="s">
        <v>1187</v>
      </c>
      <c r="F889" s="11" t="s">
        <v>5667</v>
      </c>
      <c r="G889" s="11" t="s">
        <v>5668</v>
      </c>
      <c r="H889" s="11"/>
      <c r="I889" s="11" t="s">
        <v>5669</v>
      </c>
      <c r="J889" s="11" t="s">
        <v>5670</v>
      </c>
      <c r="K889" s="11" t="s">
        <v>1151</v>
      </c>
      <c r="L889" s="11" t="s">
        <v>5671</v>
      </c>
      <c r="M889" s="11"/>
      <c r="N889" s="14" t="n">
        <v>1</v>
      </c>
      <c r="O889" s="14" t="n">
        <v>2</v>
      </c>
      <c r="P889" s="14" t="n">
        <v>5</v>
      </c>
      <c r="Q889" s="14"/>
      <c r="R889" s="12" t="n">
        <f aca="false">IF(OR(N889="",P889=""),"",ROUND(N889*O889/P889,1))</f>
        <v>0.4</v>
      </c>
      <c r="S889" s="13" t="n">
        <f aca="false">IF(R889="","",IF(Q889="Y",1,IF(P889&gt;='Read me'!$B$16,3,IF(AND(R889&gt;='Read me'!$B$14,P889&lt;='Read me'!$B$15),1,2))))</f>
        <v>3</v>
      </c>
    </row>
    <row r="890" customFormat="false" ht="23.85" hidden="false" customHeight="false" outlineLevel="0" collapsed="false">
      <c r="A890" s="11" t="s">
        <v>5672</v>
      </c>
      <c r="B890" s="11" t="s">
        <v>39</v>
      </c>
      <c r="C890" s="11" t="s">
        <v>220</v>
      </c>
      <c r="D890" s="11" t="s">
        <v>221</v>
      </c>
      <c r="E890" s="11" t="s">
        <v>1187</v>
      </c>
      <c r="F890" s="11" t="s">
        <v>5673</v>
      </c>
      <c r="G890" s="11" t="s">
        <v>4797</v>
      </c>
      <c r="H890" s="11" t="s">
        <v>5674</v>
      </c>
      <c r="I890" s="11" t="s">
        <v>5675</v>
      </c>
      <c r="J890" s="11" t="s">
        <v>5676</v>
      </c>
      <c r="K890" s="11" t="s">
        <v>5150</v>
      </c>
      <c r="L890" s="11" t="s">
        <v>5677</v>
      </c>
      <c r="M890" s="11"/>
      <c r="N890" s="14" t="n">
        <v>1</v>
      </c>
      <c r="O890" s="14" t="n">
        <v>3</v>
      </c>
      <c r="P890" s="14" t="n">
        <v>4</v>
      </c>
      <c r="Q890" s="14"/>
      <c r="R890" s="12" t="n">
        <f aca="false">IF(OR(N890="",P890=""),"",ROUND(N890*O890/P890,1))</f>
        <v>0.8</v>
      </c>
      <c r="S890" s="13" t="n">
        <f aca="false">IF(R890="","",IF(Q890="Y",1,IF(P890&gt;='Read me'!$B$16,3,IF(AND(R890&gt;='Read me'!$B$14,P890&lt;='Read me'!$B$15),1,2))))</f>
        <v>3</v>
      </c>
    </row>
    <row r="891" customFormat="false" ht="35.05" hidden="false" customHeight="false" outlineLevel="0" collapsed="false">
      <c r="A891" s="11" t="s">
        <v>5678</v>
      </c>
      <c r="B891" s="11" t="s">
        <v>39</v>
      </c>
      <c r="C891" s="11" t="s">
        <v>220</v>
      </c>
      <c r="D891" s="11" t="s">
        <v>221</v>
      </c>
      <c r="E891" s="11" t="s">
        <v>1372</v>
      </c>
      <c r="F891" s="11" t="s">
        <v>5679</v>
      </c>
      <c r="G891" s="11" t="s">
        <v>4366</v>
      </c>
      <c r="H891" s="11"/>
      <c r="I891" s="11" t="s">
        <v>5680</v>
      </c>
      <c r="J891" s="11" t="s">
        <v>5681</v>
      </c>
      <c r="K891" s="11" t="s">
        <v>870</v>
      </c>
      <c r="L891" s="11" t="s">
        <v>5682</v>
      </c>
      <c r="M891" s="11" t="s">
        <v>4716</v>
      </c>
      <c r="N891" s="14" t="n">
        <v>2</v>
      </c>
      <c r="O891" s="14" t="n">
        <v>3</v>
      </c>
      <c r="P891" s="14" t="n">
        <v>1</v>
      </c>
      <c r="Q891" s="14"/>
      <c r="R891" s="12" t="n">
        <f aca="false">IF(OR(N891="",P891=""),"",ROUND(N891*O891/P891,1))</f>
        <v>6</v>
      </c>
      <c r="S891" s="13" t="n">
        <f aca="false">IF(R891="","",IF(Q891="Y",1,IF(P891&gt;='Read me'!$B$16,3,IF(AND(R891&gt;='Read me'!$B$14,P891&lt;='Read me'!$B$15),1,2))))</f>
        <v>1</v>
      </c>
    </row>
    <row r="892" customFormat="false" ht="23.85" hidden="false" customHeight="false" outlineLevel="0" collapsed="false">
      <c r="A892" s="11" t="s">
        <v>5683</v>
      </c>
      <c r="B892" s="11" t="s">
        <v>39</v>
      </c>
      <c r="C892" s="11" t="s">
        <v>224</v>
      </c>
      <c r="D892" s="11" t="s">
        <v>225</v>
      </c>
      <c r="E892" s="11" t="s">
        <v>476</v>
      </c>
      <c r="F892" s="11" t="s">
        <v>5684</v>
      </c>
      <c r="G892" s="11" t="s">
        <v>5685</v>
      </c>
      <c r="H892" s="11"/>
      <c r="I892" s="11" t="s">
        <v>5686</v>
      </c>
      <c r="J892" s="11" t="s">
        <v>5687</v>
      </c>
      <c r="K892" s="11" t="s">
        <v>5313</v>
      </c>
      <c r="L892" s="11" t="s">
        <v>5688</v>
      </c>
      <c r="M892" s="11"/>
      <c r="N892" s="14" t="n">
        <v>4</v>
      </c>
      <c r="O892" s="14" t="n">
        <v>4</v>
      </c>
      <c r="P892" s="14" t="n">
        <v>1</v>
      </c>
      <c r="Q892" s="14"/>
      <c r="R892" s="12" t="n">
        <f aca="false">IF(OR(N892="",P892=""),"",ROUND(N892*O892/P892,1))</f>
        <v>16</v>
      </c>
      <c r="S892" s="13" t="n">
        <f aca="false">IF(R892="","",IF(Q892="Y",1,IF(P892&gt;='Read me'!$B$16,3,IF(AND(R892&gt;='Read me'!$B$14,P892&lt;='Read me'!$B$15),1,2))))</f>
        <v>1</v>
      </c>
    </row>
    <row r="893" customFormat="false" ht="23.85" hidden="false" customHeight="false" outlineLevel="0" collapsed="false">
      <c r="A893" s="11" t="s">
        <v>5689</v>
      </c>
      <c r="B893" s="11" t="s">
        <v>39</v>
      </c>
      <c r="C893" s="11" t="s">
        <v>224</v>
      </c>
      <c r="D893" s="11" t="s">
        <v>225</v>
      </c>
      <c r="E893" s="11" t="s">
        <v>476</v>
      </c>
      <c r="F893" s="11" t="s">
        <v>5690</v>
      </c>
      <c r="G893" s="11" t="s">
        <v>5691</v>
      </c>
      <c r="H893" s="11"/>
      <c r="I893" s="11" t="s">
        <v>5692</v>
      </c>
      <c r="J893" s="11" t="s">
        <v>5693</v>
      </c>
      <c r="K893" s="11" t="s">
        <v>4984</v>
      </c>
      <c r="L893" s="11" t="s">
        <v>5694</v>
      </c>
      <c r="M893" s="11"/>
      <c r="N893" s="14" t="n">
        <v>2</v>
      </c>
      <c r="O893" s="14" t="n">
        <v>4</v>
      </c>
      <c r="P893" s="14" t="n">
        <v>1</v>
      </c>
      <c r="Q893" s="14"/>
      <c r="R893" s="12" t="n">
        <f aca="false">IF(OR(N893="",P893=""),"",ROUND(N893*O893/P893,1))</f>
        <v>8</v>
      </c>
      <c r="S893" s="13" t="n">
        <f aca="false">IF(R893="","",IF(Q893="Y",1,IF(P893&gt;='Read me'!$B$16,3,IF(AND(R893&gt;='Read me'!$B$14,P893&lt;='Read me'!$B$15),1,2))))</f>
        <v>1</v>
      </c>
    </row>
    <row r="894" customFormat="false" ht="35.05" hidden="false" customHeight="false" outlineLevel="0" collapsed="false">
      <c r="A894" s="11" t="s">
        <v>5695</v>
      </c>
      <c r="B894" s="11" t="s">
        <v>39</v>
      </c>
      <c r="C894" s="11" t="s">
        <v>224</v>
      </c>
      <c r="D894" s="11" t="s">
        <v>225</v>
      </c>
      <c r="E894" s="11" t="s">
        <v>476</v>
      </c>
      <c r="F894" s="11" t="s">
        <v>5696</v>
      </c>
      <c r="G894" s="11" t="s">
        <v>5624</v>
      </c>
      <c r="H894" s="11"/>
      <c r="I894" s="11" t="s">
        <v>5697</v>
      </c>
      <c r="J894" s="11" t="s">
        <v>5698</v>
      </c>
      <c r="K894" s="11" t="s">
        <v>5493</v>
      </c>
      <c r="L894" s="11" t="s">
        <v>5699</v>
      </c>
      <c r="M894" s="11" t="s">
        <v>5331</v>
      </c>
      <c r="N894" s="14" t="n">
        <v>2</v>
      </c>
      <c r="O894" s="14" t="n">
        <v>3</v>
      </c>
      <c r="P894" s="14" t="n">
        <v>1</v>
      </c>
      <c r="Q894" s="14"/>
      <c r="R894" s="12" t="n">
        <f aca="false">IF(OR(N894="",P894=""),"",ROUND(N894*O894/P894,1))</f>
        <v>6</v>
      </c>
      <c r="S894" s="13" t="n">
        <f aca="false">IF(R894="","",IF(Q894="Y",1,IF(P894&gt;='Read me'!$B$16,3,IF(AND(R894&gt;='Read me'!$B$14,P894&lt;='Read me'!$B$15),1,2))))</f>
        <v>1</v>
      </c>
    </row>
    <row r="895" customFormat="false" ht="15" hidden="false" customHeight="false" outlineLevel="0" collapsed="false">
      <c r="A895" s="11" t="s">
        <v>5700</v>
      </c>
      <c r="B895" s="11" t="s">
        <v>39</v>
      </c>
      <c r="C895" s="11" t="s">
        <v>224</v>
      </c>
      <c r="D895" s="11" t="s">
        <v>225</v>
      </c>
      <c r="E895" s="11" t="s">
        <v>532</v>
      </c>
      <c r="F895" s="11" t="s">
        <v>5701</v>
      </c>
      <c r="G895" s="11" t="s">
        <v>5702</v>
      </c>
      <c r="H895" s="11"/>
      <c r="I895" s="11" t="s">
        <v>5703</v>
      </c>
      <c r="J895" s="11" t="s">
        <v>5704</v>
      </c>
      <c r="K895" s="11" t="s">
        <v>556</v>
      </c>
      <c r="L895" s="11"/>
      <c r="M895" s="11"/>
      <c r="N895" s="14" t="n">
        <v>3</v>
      </c>
      <c r="O895" s="14" t="n">
        <v>2</v>
      </c>
      <c r="P895" s="14" t="n">
        <v>1</v>
      </c>
      <c r="Q895" s="14"/>
      <c r="R895" s="12" t="n">
        <f aca="false">IF(OR(N895="",P895=""),"",ROUND(N895*O895/P895,1))</f>
        <v>6</v>
      </c>
      <c r="S895" s="13" t="n">
        <f aca="false">IF(R895="","",IF(Q895="Y",1,IF(P895&gt;='Read me'!$B$16,3,IF(AND(R895&gt;='Read me'!$B$14,P895&lt;='Read me'!$B$15),1,2))))</f>
        <v>1</v>
      </c>
    </row>
    <row r="896" customFormat="false" ht="23.85" hidden="false" customHeight="false" outlineLevel="0" collapsed="false">
      <c r="A896" s="11" t="s">
        <v>5705</v>
      </c>
      <c r="B896" s="11" t="s">
        <v>39</v>
      </c>
      <c r="C896" s="11" t="s">
        <v>224</v>
      </c>
      <c r="D896" s="11" t="s">
        <v>225</v>
      </c>
      <c r="E896" s="11" t="s">
        <v>532</v>
      </c>
      <c r="F896" s="11" t="s">
        <v>5382</v>
      </c>
      <c r="G896" s="11" t="s">
        <v>5383</v>
      </c>
      <c r="H896" s="11" t="s">
        <v>686</v>
      </c>
      <c r="I896" s="11" t="s">
        <v>5384</v>
      </c>
      <c r="J896" s="11" t="s">
        <v>5706</v>
      </c>
      <c r="K896" s="11" t="s">
        <v>5386</v>
      </c>
      <c r="L896" s="11" t="s">
        <v>5707</v>
      </c>
      <c r="M896" s="11"/>
      <c r="N896" s="14" t="n">
        <v>2</v>
      </c>
      <c r="O896" s="14" t="n">
        <v>2</v>
      </c>
      <c r="P896" s="14" t="n">
        <v>1</v>
      </c>
      <c r="Q896" s="14"/>
      <c r="R896" s="12" t="n">
        <f aca="false">IF(OR(N896="",P896=""),"",ROUND(N896*O896/P896,1))</f>
        <v>4</v>
      </c>
      <c r="S896" s="13" t="n">
        <f aca="false">IF(R896="","",IF(Q896="Y",1,IF(P896&gt;='Read me'!$B$16,3,IF(AND(R896&gt;='Read me'!$B$14,P896&lt;='Read me'!$B$15),1,2))))</f>
        <v>2</v>
      </c>
    </row>
    <row r="897" customFormat="false" ht="23.85" hidden="false" customHeight="false" outlineLevel="0" collapsed="false">
      <c r="A897" s="11" t="s">
        <v>5708</v>
      </c>
      <c r="B897" s="11" t="s">
        <v>39</v>
      </c>
      <c r="C897" s="11" t="s">
        <v>224</v>
      </c>
      <c r="D897" s="11" t="s">
        <v>225</v>
      </c>
      <c r="E897" s="11" t="s">
        <v>626</v>
      </c>
      <c r="F897" s="11" t="s">
        <v>5709</v>
      </c>
      <c r="G897" s="11" t="s">
        <v>5710</v>
      </c>
      <c r="H897" s="11"/>
      <c r="I897" s="11" t="s">
        <v>5711</v>
      </c>
      <c r="J897" s="11" t="s">
        <v>5712</v>
      </c>
      <c r="K897" s="11" t="s">
        <v>5430</v>
      </c>
      <c r="L897" s="11" t="s">
        <v>5713</v>
      </c>
      <c r="M897" s="11"/>
      <c r="N897" s="14" t="n">
        <v>3</v>
      </c>
      <c r="O897" s="14" t="n">
        <v>3</v>
      </c>
      <c r="P897" s="14" t="n">
        <v>3</v>
      </c>
      <c r="Q897" s="14"/>
      <c r="R897" s="12" t="n">
        <f aca="false">IF(OR(N897="",P897=""),"",ROUND(N897*O897/P897,1))</f>
        <v>3</v>
      </c>
      <c r="S897" s="13" t="n">
        <f aca="false">IF(R897="","",IF(Q897="Y",1,IF(P897&gt;='Read me'!$B$16,3,IF(AND(R897&gt;='Read me'!$B$14,P897&lt;='Read me'!$B$15),1,2))))</f>
        <v>2</v>
      </c>
    </row>
    <row r="898" customFormat="false" ht="23.85" hidden="false" customHeight="false" outlineLevel="0" collapsed="false">
      <c r="A898" s="11" t="s">
        <v>5714</v>
      </c>
      <c r="B898" s="11" t="s">
        <v>39</v>
      </c>
      <c r="C898" s="11" t="s">
        <v>224</v>
      </c>
      <c r="D898" s="11" t="s">
        <v>225</v>
      </c>
      <c r="E898" s="11" t="s">
        <v>626</v>
      </c>
      <c r="F898" s="11" t="s">
        <v>5715</v>
      </c>
      <c r="G898" s="11" t="s">
        <v>5716</v>
      </c>
      <c r="H898" s="11"/>
      <c r="I898" s="11" t="s">
        <v>5717</v>
      </c>
      <c r="J898" s="11" t="s">
        <v>5718</v>
      </c>
      <c r="K898" s="11" t="s">
        <v>529</v>
      </c>
      <c r="L898" s="11" t="s">
        <v>5719</v>
      </c>
      <c r="M898" s="11" t="s">
        <v>5720</v>
      </c>
      <c r="N898" s="14" t="n">
        <v>3</v>
      </c>
      <c r="O898" s="14" t="n">
        <v>3</v>
      </c>
      <c r="P898" s="14" t="n">
        <v>1</v>
      </c>
      <c r="Q898" s="14"/>
      <c r="R898" s="12" t="n">
        <f aca="false">IF(OR(N898="",P898=""),"",ROUND(N898*O898/P898,1))</f>
        <v>9</v>
      </c>
      <c r="S898" s="13" t="n">
        <f aca="false">IF(R898="","",IF(Q898="Y",1,IF(P898&gt;='Read me'!$B$16,3,IF(AND(R898&gt;='Read me'!$B$14,P898&lt;='Read me'!$B$15),1,2))))</f>
        <v>1</v>
      </c>
    </row>
    <row r="899" customFormat="false" ht="23.85" hidden="false" customHeight="false" outlineLevel="0" collapsed="false">
      <c r="A899" s="11" t="s">
        <v>5721</v>
      </c>
      <c r="B899" s="11" t="s">
        <v>39</v>
      </c>
      <c r="C899" s="11" t="s">
        <v>224</v>
      </c>
      <c r="D899" s="11" t="s">
        <v>225</v>
      </c>
      <c r="E899" s="11" t="s">
        <v>626</v>
      </c>
      <c r="F899" s="11" t="s">
        <v>5722</v>
      </c>
      <c r="G899" s="11" t="s">
        <v>5723</v>
      </c>
      <c r="H899" s="11"/>
      <c r="I899" s="11" t="s">
        <v>5724</v>
      </c>
      <c r="J899" s="11" t="s">
        <v>5725</v>
      </c>
      <c r="K899" s="11" t="s">
        <v>529</v>
      </c>
      <c r="L899" s="11" t="s">
        <v>5398</v>
      </c>
      <c r="M899" s="11"/>
      <c r="N899" s="14" t="n">
        <v>3</v>
      </c>
      <c r="O899" s="14" t="n">
        <v>3</v>
      </c>
      <c r="P899" s="14" t="n">
        <v>1</v>
      </c>
      <c r="Q899" s="14"/>
      <c r="R899" s="12" t="n">
        <f aca="false">IF(OR(N899="",P899=""),"",ROUND(N899*O899/P899,1))</f>
        <v>9</v>
      </c>
      <c r="S899" s="13" t="n">
        <f aca="false">IF(R899="","",IF(Q899="Y",1,IF(P899&gt;='Read me'!$B$16,3,IF(AND(R899&gt;='Read me'!$B$14,P899&lt;='Read me'!$B$15),1,2))))</f>
        <v>1</v>
      </c>
    </row>
    <row r="900" customFormat="false" ht="23.85" hidden="false" customHeight="false" outlineLevel="0" collapsed="false">
      <c r="A900" s="11" t="s">
        <v>5726</v>
      </c>
      <c r="B900" s="11" t="s">
        <v>39</v>
      </c>
      <c r="C900" s="11" t="s">
        <v>224</v>
      </c>
      <c r="D900" s="11" t="s">
        <v>225</v>
      </c>
      <c r="E900" s="11" t="s">
        <v>626</v>
      </c>
      <c r="F900" s="11" t="s">
        <v>5727</v>
      </c>
      <c r="G900" s="11" t="s">
        <v>5728</v>
      </c>
      <c r="H900" s="11"/>
      <c r="I900" s="11" t="s">
        <v>5729</v>
      </c>
      <c r="J900" s="11" t="s">
        <v>5730</v>
      </c>
      <c r="K900" s="11" t="s">
        <v>5430</v>
      </c>
      <c r="L900" s="11" t="s">
        <v>5731</v>
      </c>
      <c r="M900" s="11" t="s">
        <v>5432</v>
      </c>
      <c r="N900" s="14" t="n">
        <v>2</v>
      </c>
      <c r="O900" s="14" t="n">
        <v>2</v>
      </c>
      <c r="P900" s="14" t="n">
        <v>3</v>
      </c>
      <c r="Q900" s="14"/>
      <c r="R900" s="12" t="n">
        <f aca="false">IF(OR(N900="",P900=""),"",ROUND(N900*O900/P900,1))</f>
        <v>1.3</v>
      </c>
      <c r="S900" s="13" t="n">
        <f aca="false">IF(R900="","",IF(Q900="Y",1,IF(P900&gt;='Read me'!$B$16,3,IF(AND(R900&gt;='Read me'!$B$14,P900&lt;='Read me'!$B$15),1,2))))</f>
        <v>2</v>
      </c>
    </row>
    <row r="901" customFormat="false" ht="23.85" hidden="false" customHeight="false" outlineLevel="0" collapsed="false">
      <c r="A901" s="11" t="s">
        <v>5732</v>
      </c>
      <c r="B901" s="11" t="s">
        <v>39</v>
      </c>
      <c r="C901" s="11" t="s">
        <v>224</v>
      </c>
      <c r="D901" s="11" t="s">
        <v>225</v>
      </c>
      <c r="E901" s="11" t="s">
        <v>751</v>
      </c>
      <c r="F901" s="11" t="s">
        <v>5614</v>
      </c>
      <c r="G901" s="11" t="s">
        <v>1252</v>
      </c>
      <c r="H901" s="11"/>
      <c r="I901" s="11" t="s">
        <v>5447</v>
      </c>
      <c r="J901" s="11" t="s">
        <v>5733</v>
      </c>
      <c r="K901" s="11" t="s">
        <v>1254</v>
      </c>
      <c r="L901" s="11" t="s">
        <v>5617</v>
      </c>
      <c r="M901" s="11" t="s">
        <v>1577</v>
      </c>
      <c r="N901" s="14" t="n">
        <v>4</v>
      </c>
      <c r="O901" s="14" t="n">
        <v>4</v>
      </c>
      <c r="P901" s="14" t="n">
        <v>3</v>
      </c>
      <c r="Q901" s="14"/>
      <c r="R901" s="12" t="n">
        <f aca="false">IF(OR(N901="",P901=""),"",ROUND(N901*O901/P901,1))</f>
        <v>5.3</v>
      </c>
      <c r="S901" s="13" t="n">
        <f aca="false">IF(R901="","",IF(Q901="Y",1,IF(P901&gt;='Read me'!$B$16,3,IF(AND(R901&gt;='Read me'!$B$14,P901&lt;='Read me'!$B$15),1,2))))</f>
        <v>2</v>
      </c>
    </row>
    <row r="902" customFormat="false" ht="23.85" hidden="false" customHeight="false" outlineLevel="0" collapsed="false">
      <c r="A902" s="11" t="s">
        <v>5734</v>
      </c>
      <c r="B902" s="11" t="s">
        <v>39</v>
      </c>
      <c r="C902" s="11" t="s">
        <v>224</v>
      </c>
      <c r="D902" s="11" t="s">
        <v>225</v>
      </c>
      <c r="E902" s="11" t="s">
        <v>751</v>
      </c>
      <c r="F902" s="11" t="s">
        <v>5614</v>
      </c>
      <c r="G902" s="11" t="s">
        <v>1259</v>
      </c>
      <c r="H902" s="11"/>
      <c r="I902" s="11" t="s">
        <v>5735</v>
      </c>
      <c r="J902" s="11" t="s">
        <v>5249</v>
      </c>
      <c r="K902" s="11" t="s">
        <v>1262</v>
      </c>
      <c r="L902" s="11" t="s">
        <v>1263</v>
      </c>
      <c r="M902" s="11" t="s">
        <v>1577</v>
      </c>
      <c r="N902" s="14" t="n">
        <v>4</v>
      </c>
      <c r="O902" s="14" t="n">
        <v>4</v>
      </c>
      <c r="P902" s="14" t="n">
        <v>3</v>
      </c>
      <c r="Q902" s="14"/>
      <c r="R902" s="12" t="n">
        <f aca="false">IF(OR(N902="",P902=""),"",ROUND(N902*O902/P902,1))</f>
        <v>5.3</v>
      </c>
      <c r="S902" s="13" t="n">
        <f aca="false">IF(R902="","",IF(Q902="Y",1,IF(P902&gt;='Read me'!$B$16,3,IF(AND(R902&gt;='Read me'!$B$14,P902&lt;='Read me'!$B$15),1,2))))</f>
        <v>2</v>
      </c>
    </row>
    <row r="903" customFormat="false" ht="23.85" hidden="false" customHeight="false" outlineLevel="0" collapsed="false">
      <c r="A903" s="11" t="s">
        <v>5736</v>
      </c>
      <c r="B903" s="11" t="s">
        <v>39</v>
      </c>
      <c r="C903" s="11" t="s">
        <v>224</v>
      </c>
      <c r="D903" s="11" t="s">
        <v>225</v>
      </c>
      <c r="E903" s="11" t="s">
        <v>751</v>
      </c>
      <c r="F903" s="11" t="s">
        <v>1311</v>
      </c>
      <c r="G903" s="11" t="s">
        <v>5737</v>
      </c>
      <c r="H903" s="11"/>
      <c r="I903" s="11" t="s">
        <v>5738</v>
      </c>
      <c r="J903" s="11" t="s">
        <v>5739</v>
      </c>
      <c r="K903" s="11" t="s">
        <v>5459</v>
      </c>
      <c r="L903" s="11" t="s">
        <v>1315</v>
      </c>
      <c r="M903" s="11" t="s">
        <v>1591</v>
      </c>
      <c r="N903" s="14" t="n">
        <v>2</v>
      </c>
      <c r="O903" s="14" t="n">
        <v>4</v>
      </c>
      <c r="P903" s="14" t="n">
        <v>4</v>
      </c>
      <c r="Q903" s="14"/>
      <c r="R903" s="12" t="n">
        <f aca="false">IF(OR(N903="",P903=""),"",ROUND(N903*O903/P903,1))</f>
        <v>2</v>
      </c>
      <c r="S903" s="13" t="n">
        <f aca="false">IF(R903="","",IF(Q903="Y",1,IF(P903&gt;='Read me'!$B$16,3,IF(AND(R903&gt;='Read me'!$B$14,P903&lt;='Read me'!$B$15),1,2))))</f>
        <v>3</v>
      </c>
    </row>
    <row r="904" customFormat="false" ht="23.85" hidden="false" customHeight="false" outlineLevel="0" collapsed="false">
      <c r="A904" s="11" t="s">
        <v>5740</v>
      </c>
      <c r="B904" s="11" t="s">
        <v>39</v>
      </c>
      <c r="C904" s="11" t="s">
        <v>224</v>
      </c>
      <c r="D904" s="11" t="s">
        <v>225</v>
      </c>
      <c r="E904" s="11" t="s">
        <v>751</v>
      </c>
      <c r="F904" s="11" t="s">
        <v>5614</v>
      </c>
      <c r="G904" s="11" t="s">
        <v>4791</v>
      </c>
      <c r="H904" s="11" t="s">
        <v>1284</v>
      </c>
      <c r="I904" s="11" t="s">
        <v>754</v>
      </c>
      <c r="J904" s="11" t="s">
        <v>5741</v>
      </c>
      <c r="K904" s="11" t="s">
        <v>4793</v>
      </c>
      <c r="L904" s="11" t="s">
        <v>5465</v>
      </c>
      <c r="M904" s="11"/>
      <c r="N904" s="14" t="n">
        <v>2</v>
      </c>
      <c r="O904" s="14" t="n">
        <v>3</v>
      </c>
      <c r="P904" s="14" t="n">
        <v>4</v>
      </c>
      <c r="Q904" s="14"/>
      <c r="R904" s="12" t="n">
        <f aca="false">IF(OR(N904="",P904=""),"",ROUND(N904*O904/P904,1))</f>
        <v>1.5</v>
      </c>
      <c r="S904" s="13" t="n">
        <f aca="false">IF(R904="","",IF(Q904="Y",1,IF(P904&gt;='Read me'!$B$16,3,IF(AND(R904&gt;='Read me'!$B$14,P904&lt;='Read me'!$B$15),1,2))))</f>
        <v>3</v>
      </c>
    </row>
    <row r="905" customFormat="false" ht="23.85" hidden="false" customHeight="false" outlineLevel="0" collapsed="false">
      <c r="A905" s="11" t="s">
        <v>5742</v>
      </c>
      <c r="B905" s="11" t="s">
        <v>39</v>
      </c>
      <c r="C905" s="11" t="s">
        <v>224</v>
      </c>
      <c r="D905" s="11" t="s">
        <v>225</v>
      </c>
      <c r="E905" s="11" t="s">
        <v>802</v>
      </c>
      <c r="F905" s="11" t="s">
        <v>5743</v>
      </c>
      <c r="G905" s="11" t="s">
        <v>5737</v>
      </c>
      <c r="H905" s="11"/>
      <c r="I905" s="11" t="s">
        <v>5744</v>
      </c>
      <c r="J905" s="11" t="s">
        <v>5745</v>
      </c>
      <c r="K905" s="11" t="s">
        <v>5500</v>
      </c>
      <c r="L905" s="11" t="s">
        <v>5746</v>
      </c>
      <c r="M905" s="11" t="s">
        <v>5747</v>
      </c>
      <c r="N905" s="14" t="n">
        <v>2</v>
      </c>
      <c r="O905" s="14" t="n">
        <v>3</v>
      </c>
      <c r="P905" s="14" t="n">
        <v>2</v>
      </c>
      <c r="Q905" s="14"/>
      <c r="R905" s="12" t="n">
        <f aca="false">IF(OR(N905="",P905=""),"",ROUND(N905*O905/P905,1))</f>
        <v>3</v>
      </c>
      <c r="S905" s="13" t="n">
        <f aca="false">IF(R905="","",IF(Q905="Y",1,IF(P905&gt;='Read me'!$B$16,3,IF(AND(R905&gt;='Read me'!$B$14,P905&lt;='Read me'!$B$15),1,2))))</f>
        <v>2</v>
      </c>
    </row>
    <row r="906" customFormat="false" ht="23.85" hidden="false" customHeight="false" outlineLevel="0" collapsed="false">
      <c r="A906" s="11" t="s">
        <v>5748</v>
      </c>
      <c r="B906" s="11" t="s">
        <v>39</v>
      </c>
      <c r="C906" s="11" t="s">
        <v>224</v>
      </c>
      <c r="D906" s="11" t="s">
        <v>225</v>
      </c>
      <c r="E906" s="11" t="s">
        <v>802</v>
      </c>
      <c r="F906" s="11" t="s">
        <v>5749</v>
      </c>
      <c r="G906" s="11" t="s">
        <v>5750</v>
      </c>
      <c r="H906" s="11"/>
      <c r="I906" s="11" t="s">
        <v>512</v>
      </c>
      <c r="J906" s="11" t="s">
        <v>5751</v>
      </c>
      <c r="K906" s="11" t="s">
        <v>5519</v>
      </c>
      <c r="L906" s="11" t="s">
        <v>5752</v>
      </c>
      <c r="M906" s="11" t="s">
        <v>5753</v>
      </c>
      <c r="N906" s="14" t="n">
        <v>2</v>
      </c>
      <c r="O906" s="14" t="n">
        <v>3</v>
      </c>
      <c r="P906" s="14" t="n">
        <v>2</v>
      </c>
      <c r="Q906" s="14"/>
      <c r="R906" s="12" t="n">
        <f aca="false">IF(OR(N906="",P906=""),"",ROUND(N906*O906/P906,1))</f>
        <v>3</v>
      </c>
      <c r="S906" s="13" t="n">
        <f aca="false">IF(R906="","",IF(Q906="Y",1,IF(P906&gt;='Read me'!$B$16,3,IF(AND(R906&gt;='Read me'!$B$14,P906&lt;='Read me'!$B$15),1,2))))</f>
        <v>2</v>
      </c>
    </row>
    <row r="907" customFormat="false" ht="23.85" hidden="false" customHeight="false" outlineLevel="0" collapsed="false">
      <c r="A907" s="11" t="s">
        <v>5754</v>
      </c>
      <c r="B907" s="11" t="s">
        <v>39</v>
      </c>
      <c r="C907" s="11" t="s">
        <v>224</v>
      </c>
      <c r="D907" s="11" t="s">
        <v>225</v>
      </c>
      <c r="E907" s="11" t="s">
        <v>765</v>
      </c>
      <c r="F907" s="11" t="s">
        <v>5755</v>
      </c>
      <c r="G907" s="11" t="s">
        <v>5756</v>
      </c>
      <c r="H907" s="11"/>
      <c r="I907" s="11" t="s">
        <v>5757</v>
      </c>
      <c r="J907" s="11" t="s">
        <v>5758</v>
      </c>
      <c r="K907" s="11" t="s">
        <v>5759</v>
      </c>
      <c r="L907" s="11" t="s">
        <v>5760</v>
      </c>
      <c r="M907" s="11"/>
      <c r="N907" s="14" t="n">
        <v>2</v>
      </c>
      <c r="O907" s="14" t="n">
        <v>3</v>
      </c>
      <c r="P907" s="14" t="n">
        <v>2</v>
      </c>
      <c r="Q907" s="14"/>
      <c r="R907" s="12" t="n">
        <f aca="false">IF(OR(N907="",P907=""),"",ROUND(N907*O907/P907,1))</f>
        <v>3</v>
      </c>
      <c r="S907" s="13" t="n">
        <f aca="false">IF(R907="","",IF(Q907="Y",1,IF(P907&gt;='Read me'!$B$16,3,IF(AND(R907&gt;='Read me'!$B$14,P907&lt;='Read me'!$B$15),1,2))))</f>
        <v>2</v>
      </c>
    </row>
    <row r="908" customFormat="false" ht="23.85" hidden="false" customHeight="false" outlineLevel="0" collapsed="false">
      <c r="A908" s="11" t="s">
        <v>5761</v>
      </c>
      <c r="B908" s="11" t="s">
        <v>39</v>
      </c>
      <c r="C908" s="11" t="s">
        <v>224</v>
      </c>
      <c r="D908" s="11" t="s">
        <v>225</v>
      </c>
      <c r="E908" s="11" t="s">
        <v>765</v>
      </c>
      <c r="F908" s="11" t="s">
        <v>5762</v>
      </c>
      <c r="G908" s="11" t="s">
        <v>5763</v>
      </c>
      <c r="H908" s="11"/>
      <c r="I908" s="11" t="s">
        <v>5764</v>
      </c>
      <c r="J908" s="11" t="s">
        <v>5765</v>
      </c>
      <c r="K908" s="11" t="s">
        <v>5766</v>
      </c>
      <c r="L908" s="11" t="s">
        <v>5767</v>
      </c>
      <c r="M908" s="11"/>
      <c r="N908" s="14" t="n">
        <v>2</v>
      </c>
      <c r="O908" s="14" t="n">
        <v>2</v>
      </c>
      <c r="P908" s="14" t="n">
        <v>2</v>
      </c>
      <c r="Q908" s="14"/>
      <c r="R908" s="12" t="n">
        <f aca="false">IF(OR(N908="",P908=""),"",ROUND(N908*O908/P908,1))</f>
        <v>2</v>
      </c>
      <c r="S908" s="13" t="n">
        <f aca="false">IF(R908="","",IF(Q908="Y",1,IF(P908&gt;='Read me'!$B$16,3,IF(AND(R908&gt;='Read me'!$B$14,P908&lt;='Read me'!$B$15),1,2))))</f>
        <v>2</v>
      </c>
    </row>
    <row r="909" customFormat="false" ht="46.25" hidden="false" customHeight="false" outlineLevel="0" collapsed="false">
      <c r="A909" s="11" t="s">
        <v>5768</v>
      </c>
      <c r="B909" s="11" t="s">
        <v>39</v>
      </c>
      <c r="C909" s="11" t="s">
        <v>224</v>
      </c>
      <c r="D909" s="11" t="s">
        <v>225</v>
      </c>
      <c r="E909" s="11" t="s">
        <v>765</v>
      </c>
      <c r="F909" s="11" t="s">
        <v>5637</v>
      </c>
      <c r="G909" s="11" t="s">
        <v>1990</v>
      </c>
      <c r="H909" s="11"/>
      <c r="I909" s="11" t="s">
        <v>5769</v>
      </c>
      <c r="J909" s="11" t="s">
        <v>5639</v>
      </c>
      <c r="K909" s="11" t="s">
        <v>990</v>
      </c>
      <c r="L909" s="11" t="s">
        <v>5770</v>
      </c>
      <c r="M909" s="11" t="s">
        <v>5507</v>
      </c>
      <c r="N909" s="14" t="n">
        <v>2</v>
      </c>
      <c r="O909" s="14" t="n">
        <v>3</v>
      </c>
      <c r="P909" s="14" t="n">
        <v>3</v>
      </c>
      <c r="Q909" s="14"/>
      <c r="R909" s="12" t="n">
        <f aca="false">IF(OR(N909="",P909=""),"",ROUND(N909*O909/P909,1))</f>
        <v>2</v>
      </c>
      <c r="S909" s="13" t="n">
        <f aca="false">IF(R909="","",IF(Q909="Y",1,IF(P909&gt;='Read me'!$B$16,3,IF(AND(R909&gt;='Read me'!$B$14,P909&lt;='Read me'!$B$15),1,2))))</f>
        <v>2</v>
      </c>
    </row>
    <row r="910" customFormat="false" ht="35.05" hidden="false" customHeight="false" outlineLevel="0" collapsed="false">
      <c r="A910" s="11" t="s">
        <v>5771</v>
      </c>
      <c r="B910" s="11" t="s">
        <v>39</v>
      </c>
      <c r="C910" s="11" t="s">
        <v>224</v>
      </c>
      <c r="D910" s="11" t="s">
        <v>225</v>
      </c>
      <c r="E910" s="11" t="s">
        <v>765</v>
      </c>
      <c r="F910" s="11" t="s">
        <v>5772</v>
      </c>
      <c r="G910" s="11" t="s">
        <v>1944</v>
      </c>
      <c r="H910" s="11"/>
      <c r="I910" s="11" t="s">
        <v>512</v>
      </c>
      <c r="J910" s="11" t="s">
        <v>5773</v>
      </c>
      <c r="K910" s="11" t="s">
        <v>4621</v>
      </c>
      <c r="L910" s="11" t="s">
        <v>5774</v>
      </c>
      <c r="M910" s="11"/>
      <c r="N910" s="14" t="n">
        <v>2</v>
      </c>
      <c r="O910" s="14" t="n">
        <v>3</v>
      </c>
      <c r="P910" s="14" t="n">
        <v>1</v>
      </c>
      <c r="Q910" s="14"/>
      <c r="R910" s="12" t="n">
        <f aca="false">IF(OR(N910="",P910=""),"",ROUND(N910*O910/P910,1))</f>
        <v>6</v>
      </c>
      <c r="S910" s="13" t="n">
        <f aca="false">IF(R910="","",IF(Q910="Y",1,IF(P910&gt;='Read me'!$B$16,3,IF(AND(R910&gt;='Read me'!$B$14,P910&lt;='Read me'!$B$15),1,2))))</f>
        <v>1</v>
      </c>
    </row>
    <row r="911" customFormat="false" ht="46.25" hidden="false" customHeight="false" outlineLevel="0" collapsed="false">
      <c r="A911" s="11" t="s">
        <v>5775</v>
      </c>
      <c r="B911" s="11" t="s">
        <v>39</v>
      </c>
      <c r="C911" s="11" t="s">
        <v>224</v>
      </c>
      <c r="D911" s="11" t="s">
        <v>225</v>
      </c>
      <c r="E911" s="11" t="s">
        <v>1187</v>
      </c>
      <c r="F911" s="11" t="s">
        <v>5776</v>
      </c>
      <c r="G911" s="11" t="s">
        <v>5777</v>
      </c>
      <c r="H911" s="11" t="s">
        <v>2663</v>
      </c>
      <c r="I911" s="11" t="s">
        <v>5778</v>
      </c>
      <c r="J911" s="11" t="s">
        <v>5779</v>
      </c>
      <c r="K911" s="11" t="s">
        <v>5780</v>
      </c>
      <c r="L911" s="11" t="s">
        <v>5781</v>
      </c>
      <c r="M911" s="11" t="s">
        <v>5656</v>
      </c>
      <c r="N911" s="14" t="n">
        <v>2</v>
      </c>
      <c r="O911" s="14" t="n">
        <v>3</v>
      </c>
      <c r="P911" s="14" t="n">
        <v>3</v>
      </c>
      <c r="Q911" s="14"/>
      <c r="R911" s="12" t="n">
        <f aca="false">IF(OR(N911="",P911=""),"",ROUND(N911*O911/P911,1))</f>
        <v>2</v>
      </c>
      <c r="S911" s="13" t="n">
        <f aca="false">IF(R911="","",IF(Q911="Y",1,IF(P911&gt;='Read me'!$B$16,3,IF(AND(R911&gt;='Read me'!$B$14,P911&lt;='Read me'!$B$15),1,2))))</f>
        <v>2</v>
      </c>
    </row>
    <row r="912" customFormat="false" ht="23.85" hidden="false" customHeight="false" outlineLevel="0" collapsed="false">
      <c r="A912" s="11" t="s">
        <v>5782</v>
      </c>
      <c r="B912" s="11" t="s">
        <v>39</v>
      </c>
      <c r="C912" s="11" t="s">
        <v>224</v>
      </c>
      <c r="D912" s="11" t="s">
        <v>225</v>
      </c>
      <c r="E912" s="11" t="s">
        <v>1187</v>
      </c>
      <c r="F912" s="11" t="s">
        <v>5783</v>
      </c>
      <c r="G912" s="11" t="s">
        <v>1165</v>
      </c>
      <c r="H912" s="11" t="s">
        <v>5784</v>
      </c>
      <c r="I912" s="11" t="s">
        <v>5785</v>
      </c>
      <c r="J912" s="11" t="s">
        <v>5786</v>
      </c>
      <c r="K912" s="11" t="s">
        <v>5787</v>
      </c>
      <c r="L912" s="11" t="s">
        <v>5788</v>
      </c>
      <c r="M912" s="11"/>
      <c r="N912" s="14" t="n">
        <v>2</v>
      </c>
      <c r="O912" s="14" t="n">
        <v>3</v>
      </c>
      <c r="P912" s="14" t="n">
        <v>2</v>
      </c>
      <c r="Q912" s="14"/>
      <c r="R912" s="12" t="n">
        <f aca="false">IF(OR(N912="",P912=""),"",ROUND(N912*O912/P912,1))</f>
        <v>3</v>
      </c>
      <c r="S912" s="13" t="n">
        <f aca="false">IF(R912="","",IF(Q912="Y",1,IF(P912&gt;='Read me'!$B$16,3,IF(AND(R912&gt;='Read me'!$B$14,P912&lt;='Read me'!$B$15),1,2))))</f>
        <v>2</v>
      </c>
    </row>
    <row r="913" customFormat="false" ht="46.25" hidden="false" customHeight="false" outlineLevel="0" collapsed="false">
      <c r="A913" s="11" t="s">
        <v>5789</v>
      </c>
      <c r="B913" s="11" t="s">
        <v>39</v>
      </c>
      <c r="C913" s="11" t="s">
        <v>224</v>
      </c>
      <c r="D913" s="11" t="s">
        <v>225</v>
      </c>
      <c r="E913" s="11" t="s">
        <v>1187</v>
      </c>
      <c r="F913" s="11" t="s">
        <v>5790</v>
      </c>
      <c r="G913" s="11" t="s">
        <v>5791</v>
      </c>
      <c r="H913" s="11" t="s">
        <v>5792</v>
      </c>
      <c r="I913" s="11" t="s">
        <v>5793</v>
      </c>
      <c r="J913" s="11" t="s">
        <v>5794</v>
      </c>
      <c r="K913" s="11" t="s">
        <v>5795</v>
      </c>
      <c r="L913" s="11" t="s">
        <v>5796</v>
      </c>
      <c r="M913" s="11" t="s">
        <v>5507</v>
      </c>
      <c r="N913" s="14" t="n">
        <v>2</v>
      </c>
      <c r="O913" s="14" t="n">
        <v>2</v>
      </c>
      <c r="P913" s="14" t="n">
        <v>2</v>
      </c>
      <c r="Q913" s="14"/>
      <c r="R913" s="12" t="n">
        <f aca="false">IF(OR(N913="",P913=""),"",ROUND(N913*O913/P913,1))</f>
        <v>2</v>
      </c>
      <c r="S913" s="13" t="n">
        <f aca="false">IF(R913="","",IF(Q913="Y",1,IF(P913&gt;='Read me'!$B$16,3,IF(AND(R913&gt;='Read me'!$B$14,P913&lt;='Read me'!$B$15),1,2))))</f>
        <v>2</v>
      </c>
    </row>
    <row r="914" customFormat="false" ht="23.85" hidden="false" customHeight="false" outlineLevel="0" collapsed="false">
      <c r="A914" s="11" t="s">
        <v>5797</v>
      </c>
      <c r="B914" s="11" t="s">
        <v>39</v>
      </c>
      <c r="C914" s="11" t="s">
        <v>224</v>
      </c>
      <c r="D914" s="11" t="s">
        <v>225</v>
      </c>
      <c r="E914" s="11" t="s">
        <v>1187</v>
      </c>
      <c r="F914" s="11" t="s">
        <v>5798</v>
      </c>
      <c r="G914" s="11" t="s">
        <v>5799</v>
      </c>
      <c r="H914" s="11"/>
      <c r="I914" s="11" t="s">
        <v>5800</v>
      </c>
      <c r="J914" s="11" t="s">
        <v>5801</v>
      </c>
      <c r="K914" s="11" t="s">
        <v>1151</v>
      </c>
      <c r="L914" s="11" t="s">
        <v>5802</v>
      </c>
      <c r="M914" s="11"/>
      <c r="N914" s="14" t="n">
        <v>1</v>
      </c>
      <c r="O914" s="14" t="n">
        <v>3</v>
      </c>
      <c r="P914" s="14" t="n">
        <v>5</v>
      </c>
      <c r="Q914" s="14"/>
      <c r="R914" s="12" t="n">
        <f aca="false">IF(OR(N914="",P914=""),"",ROUND(N914*O914/P914,1))</f>
        <v>0.6</v>
      </c>
      <c r="S914" s="13" t="n">
        <f aca="false">IF(R914="","",IF(Q914="Y",1,IF(P914&gt;='Read me'!$B$16,3,IF(AND(R914&gt;='Read me'!$B$14,P914&lt;='Read me'!$B$15),1,2))))</f>
        <v>3</v>
      </c>
    </row>
    <row r="915" customFormat="false" ht="23.85" hidden="false" customHeight="false" outlineLevel="0" collapsed="false">
      <c r="A915" s="11" t="s">
        <v>5803</v>
      </c>
      <c r="B915" s="11" t="s">
        <v>39</v>
      </c>
      <c r="C915" s="11" t="s">
        <v>224</v>
      </c>
      <c r="D915" s="11" t="s">
        <v>225</v>
      </c>
      <c r="E915" s="11" t="s">
        <v>1133</v>
      </c>
      <c r="F915" s="11" t="s">
        <v>5804</v>
      </c>
      <c r="G915" s="11" t="s">
        <v>5805</v>
      </c>
      <c r="H915" s="11"/>
      <c r="I915" s="11" t="s">
        <v>5806</v>
      </c>
      <c r="J915" s="11" t="s">
        <v>5807</v>
      </c>
      <c r="K915" s="11" t="s">
        <v>5808</v>
      </c>
      <c r="L915" s="11" t="s">
        <v>5809</v>
      </c>
      <c r="M915" s="11"/>
      <c r="N915" s="14" t="n">
        <v>2</v>
      </c>
      <c r="O915" s="14" t="n">
        <v>2</v>
      </c>
      <c r="P915" s="14" t="n">
        <v>1</v>
      </c>
      <c r="Q915" s="14"/>
      <c r="R915" s="12" t="n">
        <f aca="false">IF(OR(N915="",P915=""),"",ROUND(N915*O915/P915,1))</f>
        <v>4</v>
      </c>
      <c r="S915" s="13" t="n">
        <f aca="false">IF(R915="","",IF(Q915="Y",1,IF(P915&gt;='Read me'!$B$16,3,IF(AND(R915&gt;='Read me'!$B$14,P915&lt;='Read me'!$B$15),1,2))))</f>
        <v>2</v>
      </c>
    </row>
    <row r="916" customFormat="false" ht="23.85" hidden="false" customHeight="false" outlineLevel="0" collapsed="false">
      <c r="A916" s="11" t="s">
        <v>5810</v>
      </c>
      <c r="B916" s="11" t="s">
        <v>39</v>
      </c>
      <c r="C916" s="11" t="s">
        <v>228</v>
      </c>
      <c r="D916" s="11" t="s">
        <v>229</v>
      </c>
      <c r="E916" s="11" t="s">
        <v>476</v>
      </c>
      <c r="F916" s="11" t="s">
        <v>5811</v>
      </c>
      <c r="G916" s="11" t="s">
        <v>1374</v>
      </c>
      <c r="H916" s="11"/>
      <c r="I916" s="11" t="s">
        <v>5812</v>
      </c>
      <c r="J916" s="11" t="s">
        <v>5813</v>
      </c>
      <c r="K916" s="11" t="s">
        <v>5318</v>
      </c>
      <c r="L916" s="11" t="s">
        <v>5814</v>
      </c>
      <c r="M916" s="11"/>
      <c r="N916" s="14" t="n">
        <v>5</v>
      </c>
      <c r="O916" s="14" t="n">
        <v>5</v>
      </c>
      <c r="P916" s="14" t="n">
        <v>1</v>
      </c>
      <c r="Q916" s="14"/>
      <c r="R916" s="12" t="n">
        <f aca="false">IF(OR(N916="",P916=""),"",ROUND(N916*O916/P916,1))</f>
        <v>25</v>
      </c>
      <c r="S916" s="13" t="n">
        <f aca="false">IF(R916="","",IF(Q916="Y",1,IF(P916&gt;='Read me'!$B$16,3,IF(AND(R916&gt;='Read me'!$B$14,P916&lt;='Read me'!$B$15),1,2))))</f>
        <v>1</v>
      </c>
    </row>
    <row r="917" customFormat="false" ht="23.85" hidden="false" customHeight="false" outlineLevel="0" collapsed="false">
      <c r="A917" s="11" t="s">
        <v>5815</v>
      </c>
      <c r="B917" s="11" t="s">
        <v>39</v>
      </c>
      <c r="C917" s="11" t="s">
        <v>228</v>
      </c>
      <c r="D917" s="11" t="s">
        <v>229</v>
      </c>
      <c r="E917" s="11" t="s">
        <v>476</v>
      </c>
      <c r="F917" s="11" t="s">
        <v>5816</v>
      </c>
      <c r="G917" s="11" t="s">
        <v>25</v>
      </c>
      <c r="H917" s="11"/>
      <c r="I917" s="11" t="s">
        <v>5817</v>
      </c>
      <c r="J917" s="11" t="s">
        <v>5818</v>
      </c>
      <c r="K917" s="11" t="s">
        <v>5819</v>
      </c>
      <c r="L917" s="11" t="s">
        <v>5820</v>
      </c>
      <c r="M917" s="11"/>
      <c r="N917" s="14" t="n">
        <v>4</v>
      </c>
      <c r="O917" s="14" t="n">
        <v>3</v>
      </c>
      <c r="P917" s="14" t="n">
        <v>1</v>
      </c>
      <c r="Q917" s="14"/>
      <c r="R917" s="12" t="n">
        <f aca="false">IF(OR(N917="",P917=""),"",ROUND(N917*O917/P917,1))</f>
        <v>12</v>
      </c>
      <c r="S917" s="13" t="n">
        <f aca="false">IF(R917="","",IF(Q917="Y",1,IF(P917&gt;='Read me'!$B$16,3,IF(AND(R917&gt;='Read me'!$B$14,P917&lt;='Read me'!$B$15),1,2))))</f>
        <v>1</v>
      </c>
    </row>
    <row r="918" customFormat="false" ht="35.05" hidden="false" customHeight="false" outlineLevel="0" collapsed="false">
      <c r="A918" s="11" t="s">
        <v>5821</v>
      </c>
      <c r="B918" s="11" t="s">
        <v>39</v>
      </c>
      <c r="C918" s="11" t="s">
        <v>228</v>
      </c>
      <c r="D918" s="11" t="s">
        <v>229</v>
      </c>
      <c r="E918" s="11" t="s">
        <v>476</v>
      </c>
      <c r="F918" s="11" t="s">
        <v>5822</v>
      </c>
      <c r="G918" s="11" t="s">
        <v>5823</v>
      </c>
      <c r="H918" s="11"/>
      <c r="I918" s="11" t="s">
        <v>5824</v>
      </c>
      <c r="J918" s="11" t="s">
        <v>5825</v>
      </c>
      <c r="K918" s="11" t="s">
        <v>5493</v>
      </c>
      <c r="L918" s="11" t="s">
        <v>5826</v>
      </c>
      <c r="M918" s="11" t="s">
        <v>4716</v>
      </c>
      <c r="N918" s="14" t="n">
        <v>3</v>
      </c>
      <c r="O918" s="14" t="n">
        <v>4</v>
      </c>
      <c r="P918" s="14" t="n">
        <v>2</v>
      </c>
      <c r="Q918" s="14"/>
      <c r="R918" s="12" t="n">
        <f aca="false">IF(OR(N918="",P918=""),"",ROUND(N918*O918/P918,1))</f>
        <v>6</v>
      </c>
      <c r="S918" s="13" t="n">
        <f aca="false">IF(R918="","",IF(Q918="Y",1,IF(P918&gt;='Read me'!$B$16,3,IF(AND(R918&gt;='Read me'!$B$14,P918&lt;='Read me'!$B$15),1,2))))</f>
        <v>1</v>
      </c>
    </row>
    <row r="919" customFormat="false" ht="23.85" hidden="false" customHeight="false" outlineLevel="0" collapsed="false">
      <c r="A919" s="11" t="s">
        <v>5827</v>
      </c>
      <c r="B919" s="11" t="s">
        <v>39</v>
      </c>
      <c r="C919" s="11" t="s">
        <v>228</v>
      </c>
      <c r="D919" s="11" t="s">
        <v>229</v>
      </c>
      <c r="E919" s="11" t="s">
        <v>476</v>
      </c>
      <c r="F919" s="11" t="s">
        <v>5828</v>
      </c>
      <c r="G919" s="11" t="s">
        <v>1393</v>
      </c>
      <c r="H919" s="11"/>
      <c r="I919" s="11" t="s">
        <v>512</v>
      </c>
      <c r="J919" s="11" t="s">
        <v>5829</v>
      </c>
      <c r="K919" s="11" t="s">
        <v>5830</v>
      </c>
      <c r="L919" s="11" t="s">
        <v>5831</v>
      </c>
      <c r="M919" s="11"/>
      <c r="N919" s="14" t="n">
        <v>4</v>
      </c>
      <c r="O919" s="14" t="n">
        <v>5</v>
      </c>
      <c r="P919" s="14" t="n">
        <v>2</v>
      </c>
      <c r="Q919" s="14"/>
      <c r="R919" s="12" t="n">
        <f aca="false">IF(OR(N919="",P919=""),"",ROUND(N919*O919/P919,1))</f>
        <v>10</v>
      </c>
      <c r="S919" s="13" t="n">
        <f aca="false">IF(R919="","",IF(Q919="Y",1,IF(P919&gt;='Read me'!$B$16,3,IF(AND(R919&gt;='Read me'!$B$14,P919&lt;='Read me'!$B$15),1,2))))</f>
        <v>1</v>
      </c>
    </row>
    <row r="920" customFormat="false" ht="23.85" hidden="false" customHeight="false" outlineLevel="0" collapsed="false">
      <c r="A920" s="11" t="s">
        <v>5832</v>
      </c>
      <c r="B920" s="11" t="s">
        <v>39</v>
      </c>
      <c r="C920" s="11" t="s">
        <v>228</v>
      </c>
      <c r="D920" s="11" t="s">
        <v>229</v>
      </c>
      <c r="E920" s="11" t="s">
        <v>476</v>
      </c>
      <c r="F920" s="11" t="s">
        <v>5833</v>
      </c>
      <c r="G920" s="11" t="s">
        <v>693</v>
      </c>
      <c r="H920" s="11"/>
      <c r="I920" s="11" t="s">
        <v>5834</v>
      </c>
      <c r="J920" s="11" t="s">
        <v>5835</v>
      </c>
      <c r="K920" s="11" t="s">
        <v>5836</v>
      </c>
      <c r="L920" s="11" t="s">
        <v>5837</v>
      </c>
      <c r="M920" s="11"/>
      <c r="N920" s="14" t="n">
        <v>3</v>
      </c>
      <c r="O920" s="14" t="n">
        <v>4</v>
      </c>
      <c r="P920" s="14" t="n">
        <v>2</v>
      </c>
      <c r="Q920" s="14"/>
      <c r="R920" s="12" t="n">
        <f aca="false">IF(OR(N920="",P920=""),"",ROUND(N920*O920/P920,1))</f>
        <v>6</v>
      </c>
      <c r="S920" s="13" t="n">
        <f aca="false">IF(R920="","",IF(Q920="Y",1,IF(P920&gt;='Read me'!$B$16,3,IF(AND(R920&gt;='Read me'!$B$14,P920&lt;='Read me'!$B$15),1,2))))</f>
        <v>1</v>
      </c>
    </row>
    <row r="921" customFormat="false" ht="35.05" hidden="false" customHeight="false" outlineLevel="0" collapsed="false">
      <c r="A921" s="11" t="s">
        <v>5838</v>
      </c>
      <c r="B921" s="11" t="s">
        <v>39</v>
      </c>
      <c r="C921" s="11" t="s">
        <v>228</v>
      </c>
      <c r="D921" s="11" t="s">
        <v>229</v>
      </c>
      <c r="E921" s="11" t="s">
        <v>476</v>
      </c>
      <c r="F921" s="11" t="s">
        <v>5839</v>
      </c>
      <c r="G921" s="11" t="s">
        <v>3783</v>
      </c>
      <c r="H921" s="11"/>
      <c r="I921" s="11" t="s">
        <v>512</v>
      </c>
      <c r="J921" s="11" t="s">
        <v>5840</v>
      </c>
      <c r="K921" s="11" t="s">
        <v>5841</v>
      </c>
      <c r="L921" s="11" t="s">
        <v>5842</v>
      </c>
      <c r="M921" s="11" t="s">
        <v>5331</v>
      </c>
      <c r="N921" s="14" t="n">
        <v>3</v>
      </c>
      <c r="O921" s="14" t="n">
        <v>4</v>
      </c>
      <c r="P921" s="14" t="n">
        <v>1</v>
      </c>
      <c r="Q921" s="14"/>
      <c r="R921" s="12" t="n">
        <f aca="false">IF(OR(N921="",P921=""),"",ROUND(N921*O921/P921,1))</f>
        <v>12</v>
      </c>
      <c r="S921" s="13" t="n">
        <f aca="false">IF(R921="","",IF(Q921="Y",1,IF(P921&gt;='Read me'!$B$16,3,IF(AND(R921&gt;='Read me'!$B$14,P921&lt;='Read me'!$B$15),1,2))))</f>
        <v>1</v>
      </c>
    </row>
    <row r="922" customFormat="false" ht="23.85" hidden="false" customHeight="false" outlineLevel="0" collapsed="false">
      <c r="A922" s="11" t="s">
        <v>5843</v>
      </c>
      <c r="B922" s="11" t="s">
        <v>39</v>
      </c>
      <c r="C922" s="11" t="s">
        <v>228</v>
      </c>
      <c r="D922" s="11" t="s">
        <v>229</v>
      </c>
      <c r="E922" s="11" t="s">
        <v>476</v>
      </c>
      <c r="F922" s="11" t="s">
        <v>5844</v>
      </c>
      <c r="G922" s="11" t="s">
        <v>3797</v>
      </c>
      <c r="H922" s="11"/>
      <c r="I922" s="11" t="s">
        <v>5845</v>
      </c>
      <c r="J922" s="11" t="s">
        <v>5846</v>
      </c>
      <c r="K922" s="11" t="s">
        <v>5355</v>
      </c>
      <c r="L922" s="11" t="s">
        <v>5847</v>
      </c>
      <c r="M922" s="11"/>
      <c r="N922" s="14" t="n">
        <v>2</v>
      </c>
      <c r="O922" s="14" t="n">
        <v>4</v>
      </c>
      <c r="P922" s="14" t="n">
        <v>1</v>
      </c>
      <c r="Q922" s="14"/>
      <c r="R922" s="12" t="n">
        <f aca="false">IF(OR(N922="",P922=""),"",ROUND(N922*O922/P922,1))</f>
        <v>8</v>
      </c>
      <c r="S922" s="13" t="n">
        <f aca="false">IF(R922="","",IF(Q922="Y",1,IF(P922&gt;='Read me'!$B$16,3,IF(AND(R922&gt;='Read me'!$B$14,P922&lt;='Read me'!$B$15),1,2))))</f>
        <v>1</v>
      </c>
    </row>
    <row r="923" customFormat="false" ht="15" hidden="false" customHeight="false" outlineLevel="0" collapsed="false">
      <c r="A923" s="11" t="s">
        <v>5848</v>
      </c>
      <c r="B923" s="11" t="s">
        <v>39</v>
      </c>
      <c r="C923" s="11" t="s">
        <v>228</v>
      </c>
      <c r="D923" s="11" t="s">
        <v>229</v>
      </c>
      <c r="E923" s="11" t="s">
        <v>532</v>
      </c>
      <c r="F923" s="11" t="s">
        <v>5849</v>
      </c>
      <c r="G923" s="11" t="s">
        <v>5850</v>
      </c>
      <c r="H923" s="11"/>
      <c r="I923" s="11" t="s">
        <v>5851</v>
      </c>
      <c r="J923" s="11" t="s">
        <v>5852</v>
      </c>
      <c r="K923" s="11" t="s">
        <v>5493</v>
      </c>
      <c r="L923" s="11" t="s">
        <v>5820</v>
      </c>
      <c r="M923" s="11"/>
      <c r="N923" s="14" t="n">
        <v>4</v>
      </c>
      <c r="O923" s="14" t="n">
        <v>4</v>
      </c>
      <c r="P923" s="14" t="n">
        <v>1</v>
      </c>
      <c r="Q923" s="14"/>
      <c r="R923" s="12" t="n">
        <f aca="false">IF(OR(N923="",P923=""),"",ROUND(N923*O923/P923,1))</f>
        <v>16</v>
      </c>
      <c r="S923" s="13" t="n">
        <f aca="false">IF(R923="","",IF(Q923="Y",1,IF(P923&gt;='Read me'!$B$16,3,IF(AND(R923&gt;='Read me'!$B$14,P923&lt;='Read me'!$B$15),1,2))))</f>
        <v>1</v>
      </c>
    </row>
    <row r="924" customFormat="false" ht="23.85" hidden="false" customHeight="false" outlineLevel="0" collapsed="false">
      <c r="A924" s="11" t="s">
        <v>5853</v>
      </c>
      <c r="B924" s="11" t="s">
        <v>39</v>
      </c>
      <c r="C924" s="11" t="s">
        <v>228</v>
      </c>
      <c r="D924" s="11" t="s">
        <v>229</v>
      </c>
      <c r="E924" s="11" t="s">
        <v>532</v>
      </c>
      <c r="F924" s="11" t="s">
        <v>5854</v>
      </c>
      <c r="G924" s="11" t="s">
        <v>597</v>
      </c>
      <c r="H924" s="11"/>
      <c r="I924" s="11" t="s">
        <v>5855</v>
      </c>
      <c r="J924" s="11" t="s">
        <v>5856</v>
      </c>
      <c r="K924" s="11" t="s">
        <v>5375</v>
      </c>
      <c r="L924" s="11"/>
      <c r="M924" s="11"/>
      <c r="N924" s="14" t="n">
        <v>4</v>
      </c>
      <c r="O924" s="14" t="n">
        <v>3</v>
      </c>
      <c r="P924" s="14" t="n">
        <v>1</v>
      </c>
      <c r="Q924" s="14"/>
      <c r="R924" s="12" t="n">
        <f aca="false">IF(OR(N924="",P924=""),"",ROUND(N924*O924/P924,1))</f>
        <v>12</v>
      </c>
      <c r="S924" s="13" t="n">
        <f aca="false">IF(R924="","",IF(Q924="Y",1,IF(P924&gt;='Read me'!$B$16,3,IF(AND(R924&gt;='Read me'!$B$14,P924&lt;='Read me'!$B$15),1,2))))</f>
        <v>1</v>
      </c>
    </row>
    <row r="925" customFormat="false" ht="23.85" hidden="false" customHeight="false" outlineLevel="0" collapsed="false">
      <c r="A925" s="11" t="s">
        <v>5857</v>
      </c>
      <c r="B925" s="11" t="s">
        <v>39</v>
      </c>
      <c r="C925" s="11" t="s">
        <v>228</v>
      </c>
      <c r="D925" s="11" t="s">
        <v>229</v>
      </c>
      <c r="E925" s="11" t="s">
        <v>532</v>
      </c>
      <c r="F925" s="11" t="s">
        <v>5389</v>
      </c>
      <c r="G925" s="11" t="s">
        <v>5390</v>
      </c>
      <c r="H925" s="11" t="s">
        <v>612</v>
      </c>
      <c r="I925" s="11" t="s">
        <v>614</v>
      </c>
      <c r="J925" s="11" t="s">
        <v>5858</v>
      </c>
      <c r="K925" s="11" t="s">
        <v>935</v>
      </c>
      <c r="L925" s="11" t="s">
        <v>5859</v>
      </c>
      <c r="M925" s="11"/>
      <c r="N925" s="14" t="n">
        <v>2</v>
      </c>
      <c r="O925" s="14" t="n">
        <v>2</v>
      </c>
      <c r="P925" s="14" t="n">
        <v>2</v>
      </c>
      <c r="Q925" s="14"/>
      <c r="R925" s="12" t="n">
        <f aca="false">IF(OR(N925="",P925=""),"",ROUND(N925*O925/P925,1))</f>
        <v>2</v>
      </c>
      <c r="S925" s="13" t="n">
        <f aca="false">IF(R925="","",IF(Q925="Y",1,IF(P925&gt;='Read me'!$B$16,3,IF(AND(R925&gt;='Read me'!$B$14,P925&lt;='Read me'!$B$15),1,2))))</f>
        <v>2</v>
      </c>
    </row>
    <row r="926" customFormat="false" ht="35.05" hidden="false" customHeight="false" outlineLevel="0" collapsed="false">
      <c r="A926" s="11" t="s">
        <v>5860</v>
      </c>
      <c r="B926" s="11" t="s">
        <v>39</v>
      </c>
      <c r="C926" s="11" t="s">
        <v>228</v>
      </c>
      <c r="D926" s="11" t="s">
        <v>229</v>
      </c>
      <c r="E926" s="11" t="s">
        <v>532</v>
      </c>
      <c r="F926" s="11" t="s">
        <v>5861</v>
      </c>
      <c r="G926" s="11" t="s">
        <v>5862</v>
      </c>
      <c r="H926" s="11" t="s">
        <v>5863</v>
      </c>
      <c r="I926" s="11" t="s">
        <v>5864</v>
      </c>
      <c r="J926" s="11" t="s">
        <v>5865</v>
      </c>
      <c r="K926" s="11" t="s">
        <v>5866</v>
      </c>
      <c r="L926" s="11" t="s">
        <v>5867</v>
      </c>
      <c r="M926" s="11"/>
      <c r="N926" s="14" t="n">
        <v>2</v>
      </c>
      <c r="O926" s="14" t="n">
        <v>3</v>
      </c>
      <c r="P926" s="14" t="n">
        <v>1</v>
      </c>
      <c r="Q926" s="14"/>
      <c r="R926" s="12" t="n">
        <f aca="false">IF(OR(N926="",P926=""),"",ROUND(N926*O926/P926,1))</f>
        <v>6</v>
      </c>
      <c r="S926" s="13" t="n">
        <f aca="false">IF(R926="","",IF(Q926="Y",1,IF(P926&gt;='Read me'!$B$16,3,IF(AND(R926&gt;='Read me'!$B$14,P926&lt;='Read me'!$B$15),1,2))))</f>
        <v>1</v>
      </c>
    </row>
    <row r="927" customFormat="false" ht="23.85" hidden="false" customHeight="false" outlineLevel="0" collapsed="false">
      <c r="A927" s="11" t="s">
        <v>5868</v>
      </c>
      <c r="B927" s="11" t="s">
        <v>39</v>
      </c>
      <c r="C927" s="11" t="s">
        <v>228</v>
      </c>
      <c r="D927" s="11" t="s">
        <v>229</v>
      </c>
      <c r="E927" s="11" t="s">
        <v>626</v>
      </c>
      <c r="F927" s="11" t="s">
        <v>5869</v>
      </c>
      <c r="G927" s="11" t="s">
        <v>470</v>
      </c>
      <c r="H927" s="11"/>
      <c r="I927" s="11" t="s">
        <v>5870</v>
      </c>
      <c r="J927" s="11" t="s">
        <v>5871</v>
      </c>
      <c r="K927" s="11" t="s">
        <v>3696</v>
      </c>
      <c r="L927" s="11" t="s">
        <v>5872</v>
      </c>
      <c r="M927" s="11"/>
      <c r="N927" s="14" t="n">
        <v>3</v>
      </c>
      <c r="O927" s="14" t="n">
        <v>3</v>
      </c>
      <c r="P927" s="14" t="n">
        <v>2</v>
      </c>
      <c r="Q927" s="14"/>
      <c r="R927" s="12" t="n">
        <f aca="false">IF(OR(N927="",P927=""),"",ROUND(N927*O927/P927,1))</f>
        <v>4.5</v>
      </c>
      <c r="S927" s="13" t="n">
        <f aca="false">IF(R927="","",IF(Q927="Y",1,IF(P927&gt;='Read me'!$B$16,3,IF(AND(R927&gt;='Read me'!$B$14,P927&lt;='Read me'!$B$15),1,2))))</f>
        <v>2</v>
      </c>
    </row>
    <row r="928" customFormat="false" ht="15" hidden="false" customHeight="false" outlineLevel="0" collapsed="false">
      <c r="A928" s="11" t="s">
        <v>5873</v>
      </c>
      <c r="B928" s="11" t="s">
        <v>39</v>
      </c>
      <c r="C928" s="11" t="s">
        <v>228</v>
      </c>
      <c r="D928" s="11" t="s">
        <v>229</v>
      </c>
      <c r="E928" s="11" t="s">
        <v>626</v>
      </c>
      <c r="F928" s="11" t="s">
        <v>5874</v>
      </c>
      <c r="G928" s="11" t="s">
        <v>5239</v>
      </c>
      <c r="H928" s="11"/>
      <c r="I928" s="11" t="s">
        <v>5875</v>
      </c>
      <c r="J928" s="11" t="s">
        <v>5876</v>
      </c>
      <c r="K928" s="11" t="s">
        <v>870</v>
      </c>
      <c r="L928" s="11"/>
      <c r="M928" s="11"/>
      <c r="N928" s="14" t="n">
        <v>3</v>
      </c>
      <c r="O928" s="14" t="n">
        <v>3</v>
      </c>
      <c r="P928" s="14" t="n">
        <v>1</v>
      </c>
      <c r="Q928" s="14"/>
      <c r="R928" s="12" t="n">
        <f aca="false">IF(OR(N928="",P928=""),"",ROUND(N928*O928/P928,1))</f>
        <v>9</v>
      </c>
      <c r="S928" s="13" t="n">
        <f aca="false">IF(R928="","",IF(Q928="Y",1,IF(P928&gt;='Read me'!$B$16,3,IF(AND(R928&gt;='Read me'!$B$14,P928&lt;='Read me'!$B$15),1,2))))</f>
        <v>1</v>
      </c>
    </row>
    <row r="929" customFormat="false" ht="35.05" hidden="false" customHeight="false" outlineLevel="0" collapsed="false">
      <c r="A929" s="11" t="s">
        <v>5877</v>
      </c>
      <c r="B929" s="11" t="s">
        <v>39</v>
      </c>
      <c r="C929" s="11" t="s">
        <v>228</v>
      </c>
      <c r="D929" s="11" t="s">
        <v>229</v>
      </c>
      <c r="E929" s="11" t="s">
        <v>626</v>
      </c>
      <c r="F929" s="11" t="s">
        <v>5878</v>
      </c>
      <c r="G929" s="11" t="s">
        <v>5879</v>
      </c>
      <c r="H929" s="11"/>
      <c r="I929" s="11" t="s">
        <v>5880</v>
      </c>
      <c r="J929" s="11" t="s">
        <v>5881</v>
      </c>
      <c r="K929" s="11" t="s">
        <v>3696</v>
      </c>
      <c r="L929" s="11" t="s">
        <v>5882</v>
      </c>
      <c r="M929" s="11"/>
      <c r="N929" s="14" t="n">
        <v>2</v>
      </c>
      <c r="O929" s="14" t="n">
        <v>3</v>
      </c>
      <c r="P929" s="14" t="n">
        <v>2</v>
      </c>
      <c r="Q929" s="14"/>
      <c r="R929" s="12" t="n">
        <f aca="false">IF(OR(N929="",P929=""),"",ROUND(N929*O929/P929,1))</f>
        <v>3</v>
      </c>
      <c r="S929" s="13" t="n">
        <f aca="false">IF(R929="","",IF(Q929="Y",1,IF(P929&gt;='Read me'!$B$16,3,IF(AND(R929&gt;='Read me'!$B$14,P929&lt;='Read me'!$B$15),1,2))))</f>
        <v>2</v>
      </c>
    </row>
    <row r="930" customFormat="false" ht="23.85" hidden="false" customHeight="false" outlineLevel="0" collapsed="false">
      <c r="A930" s="11" t="s">
        <v>5883</v>
      </c>
      <c r="B930" s="11" t="s">
        <v>39</v>
      </c>
      <c r="C930" s="11" t="s">
        <v>228</v>
      </c>
      <c r="D930" s="11" t="s">
        <v>229</v>
      </c>
      <c r="E930" s="11" t="s">
        <v>751</v>
      </c>
      <c r="F930" s="11" t="s">
        <v>5884</v>
      </c>
      <c r="G930" s="11" t="s">
        <v>1252</v>
      </c>
      <c r="H930" s="11"/>
      <c r="I930" s="11" t="s">
        <v>5885</v>
      </c>
      <c r="J930" s="11" t="s">
        <v>5886</v>
      </c>
      <c r="K930" s="11" t="s">
        <v>1254</v>
      </c>
      <c r="L930" s="11" t="s">
        <v>5887</v>
      </c>
      <c r="M930" s="11" t="s">
        <v>1577</v>
      </c>
      <c r="N930" s="14" t="n">
        <v>5</v>
      </c>
      <c r="O930" s="14" t="n">
        <v>5</v>
      </c>
      <c r="P930" s="14" t="n">
        <v>3</v>
      </c>
      <c r="Q930" s="14"/>
      <c r="R930" s="12" t="n">
        <f aca="false">IF(OR(N930="",P930=""),"",ROUND(N930*O930/P930,1))</f>
        <v>8.3</v>
      </c>
      <c r="S930" s="13" t="n">
        <f aca="false">IF(R930="","",IF(Q930="Y",1,IF(P930&gt;='Read me'!$B$16,3,IF(AND(R930&gt;='Read me'!$B$14,P930&lt;='Read me'!$B$15),1,2))))</f>
        <v>2</v>
      </c>
    </row>
    <row r="931" customFormat="false" ht="23.85" hidden="false" customHeight="false" outlineLevel="0" collapsed="false">
      <c r="A931" s="11" t="s">
        <v>5888</v>
      </c>
      <c r="B931" s="11" t="s">
        <v>39</v>
      </c>
      <c r="C931" s="11" t="s">
        <v>228</v>
      </c>
      <c r="D931" s="11" t="s">
        <v>229</v>
      </c>
      <c r="E931" s="11" t="s">
        <v>751</v>
      </c>
      <c r="F931" s="11" t="s">
        <v>5884</v>
      </c>
      <c r="G931" s="11" t="s">
        <v>1259</v>
      </c>
      <c r="H931" s="11"/>
      <c r="I931" s="11" t="s">
        <v>5889</v>
      </c>
      <c r="J931" s="11" t="s">
        <v>5249</v>
      </c>
      <c r="K931" s="11" t="s">
        <v>1262</v>
      </c>
      <c r="L931" s="11" t="s">
        <v>5890</v>
      </c>
      <c r="M931" s="11" t="s">
        <v>1577</v>
      </c>
      <c r="N931" s="14" t="n">
        <v>4</v>
      </c>
      <c r="O931" s="14" t="n">
        <v>5</v>
      </c>
      <c r="P931" s="14" t="n">
        <v>3</v>
      </c>
      <c r="Q931" s="14"/>
      <c r="R931" s="12" t="n">
        <f aca="false">IF(OR(N931="",P931=""),"",ROUND(N931*O931/P931,1))</f>
        <v>6.7</v>
      </c>
      <c r="S931" s="13" t="n">
        <f aca="false">IF(R931="","",IF(Q931="Y",1,IF(P931&gt;='Read me'!$B$16,3,IF(AND(R931&gt;='Read me'!$B$14,P931&lt;='Read me'!$B$15),1,2))))</f>
        <v>2</v>
      </c>
    </row>
    <row r="932" customFormat="false" ht="23.85" hidden="false" customHeight="false" outlineLevel="0" collapsed="false">
      <c r="A932" s="11" t="s">
        <v>5891</v>
      </c>
      <c r="B932" s="11" t="s">
        <v>39</v>
      </c>
      <c r="C932" s="11" t="s">
        <v>228</v>
      </c>
      <c r="D932" s="11" t="s">
        <v>229</v>
      </c>
      <c r="E932" s="11" t="s">
        <v>751</v>
      </c>
      <c r="F932" s="11" t="s">
        <v>5884</v>
      </c>
      <c r="G932" s="11" t="s">
        <v>5892</v>
      </c>
      <c r="H932" s="11" t="s">
        <v>5893</v>
      </c>
      <c r="I932" s="11" t="s">
        <v>754</v>
      </c>
      <c r="J932" s="11" t="s">
        <v>5894</v>
      </c>
      <c r="K932" s="11" t="s">
        <v>1959</v>
      </c>
      <c r="L932" s="11" t="s">
        <v>5895</v>
      </c>
      <c r="M932" s="11"/>
      <c r="N932" s="14" t="n">
        <v>2</v>
      </c>
      <c r="O932" s="14" t="n">
        <v>3</v>
      </c>
      <c r="P932" s="14" t="n">
        <v>3</v>
      </c>
      <c r="Q932" s="14"/>
      <c r="R932" s="12" t="n">
        <f aca="false">IF(OR(N932="",P932=""),"",ROUND(N932*O932/P932,1))</f>
        <v>2</v>
      </c>
      <c r="S932" s="13" t="n">
        <f aca="false">IF(R932="","",IF(Q932="Y",1,IF(P932&gt;='Read me'!$B$16,3,IF(AND(R932&gt;='Read me'!$B$14,P932&lt;='Read me'!$B$15),1,2))))</f>
        <v>2</v>
      </c>
    </row>
    <row r="933" customFormat="false" ht="23.85" hidden="false" customHeight="false" outlineLevel="0" collapsed="false">
      <c r="A933" s="11" t="s">
        <v>5896</v>
      </c>
      <c r="B933" s="11" t="s">
        <v>39</v>
      </c>
      <c r="C933" s="11" t="s">
        <v>228</v>
      </c>
      <c r="D933" s="11" t="s">
        <v>229</v>
      </c>
      <c r="E933" s="11" t="s">
        <v>751</v>
      </c>
      <c r="F933" s="11" t="s">
        <v>5884</v>
      </c>
      <c r="G933" s="11" t="s">
        <v>5897</v>
      </c>
      <c r="H933" s="11" t="s">
        <v>5898</v>
      </c>
      <c r="I933" s="11" t="s">
        <v>5899</v>
      </c>
      <c r="J933" s="11" t="s">
        <v>5900</v>
      </c>
      <c r="K933" s="11" t="s">
        <v>675</v>
      </c>
      <c r="L933" s="11" t="s">
        <v>5901</v>
      </c>
      <c r="M933" s="11"/>
      <c r="N933" s="14" t="n">
        <v>2</v>
      </c>
      <c r="O933" s="14" t="n">
        <v>3</v>
      </c>
      <c r="P933" s="14" t="n">
        <v>4</v>
      </c>
      <c r="Q933" s="14"/>
      <c r="R933" s="12" t="n">
        <f aca="false">IF(OR(N933="",P933=""),"",ROUND(N933*O933/P933,1))</f>
        <v>1.5</v>
      </c>
      <c r="S933" s="13" t="n">
        <f aca="false">IF(R933="","",IF(Q933="Y",1,IF(P933&gt;='Read me'!$B$16,3,IF(AND(R933&gt;='Read me'!$B$14,P933&lt;='Read me'!$B$15),1,2))))</f>
        <v>3</v>
      </c>
    </row>
    <row r="934" customFormat="false" ht="23.85" hidden="false" customHeight="false" outlineLevel="0" collapsed="false">
      <c r="A934" s="11" t="s">
        <v>5902</v>
      </c>
      <c r="B934" s="11" t="s">
        <v>39</v>
      </c>
      <c r="C934" s="11" t="s">
        <v>228</v>
      </c>
      <c r="D934" s="11" t="s">
        <v>229</v>
      </c>
      <c r="E934" s="11" t="s">
        <v>751</v>
      </c>
      <c r="F934" s="11" t="s">
        <v>5903</v>
      </c>
      <c r="G934" s="11" t="s">
        <v>5904</v>
      </c>
      <c r="H934" s="11"/>
      <c r="I934" s="11" t="s">
        <v>5905</v>
      </c>
      <c r="J934" s="11" t="s">
        <v>5906</v>
      </c>
      <c r="K934" s="11" t="s">
        <v>5907</v>
      </c>
      <c r="L934" s="11" t="s">
        <v>5908</v>
      </c>
      <c r="M934" s="11" t="s">
        <v>302</v>
      </c>
      <c r="N934" s="14" t="n">
        <v>2</v>
      </c>
      <c r="O934" s="14" t="n">
        <v>3</v>
      </c>
      <c r="P934" s="14" t="n">
        <v>3</v>
      </c>
      <c r="Q934" s="14"/>
      <c r="R934" s="12" t="n">
        <f aca="false">IF(OR(N934="",P934=""),"",ROUND(N934*O934/P934,1))</f>
        <v>2</v>
      </c>
      <c r="S934" s="13" t="n">
        <f aca="false">IF(R934="","",IF(Q934="Y",1,IF(P934&gt;='Read me'!$B$16,3,IF(AND(R934&gt;='Read me'!$B$14,P934&lt;='Read me'!$B$15),1,2))))</f>
        <v>2</v>
      </c>
    </row>
    <row r="935" customFormat="false" ht="23.85" hidden="false" customHeight="false" outlineLevel="0" collapsed="false">
      <c r="A935" s="11" t="s">
        <v>5909</v>
      </c>
      <c r="B935" s="11" t="s">
        <v>39</v>
      </c>
      <c r="C935" s="11" t="s">
        <v>228</v>
      </c>
      <c r="D935" s="11" t="s">
        <v>229</v>
      </c>
      <c r="E935" s="11" t="s">
        <v>765</v>
      </c>
      <c r="F935" s="11" t="s">
        <v>5910</v>
      </c>
      <c r="G935" s="11" t="s">
        <v>5624</v>
      </c>
      <c r="H935" s="11"/>
      <c r="I935" s="11" t="s">
        <v>5911</v>
      </c>
      <c r="J935" s="11" t="s">
        <v>5912</v>
      </c>
      <c r="K935" s="11" t="s">
        <v>5766</v>
      </c>
      <c r="L935" s="11" t="s">
        <v>5913</v>
      </c>
      <c r="M935" s="11" t="s">
        <v>4885</v>
      </c>
      <c r="N935" s="14" t="n">
        <v>3</v>
      </c>
      <c r="O935" s="14" t="n">
        <v>4</v>
      </c>
      <c r="P935" s="14" t="n">
        <v>2</v>
      </c>
      <c r="Q935" s="14"/>
      <c r="R935" s="12" t="n">
        <f aca="false">IF(OR(N935="",P935=""),"",ROUND(N935*O935/P935,1))</f>
        <v>6</v>
      </c>
      <c r="S935" s="13" t="n">
        <f aca="false">IF(R935="","",IF(Q935="Y",1,IF(P935&gt;='Read me'!$B$16,3,IF(AND(R935&gt;='Read me'!$B$14,P935&lt;='Read me'!$B$15),1,2))))</f>
        <v>1</v>
      </c>
    </row>
    <row r="936" customFormat="false" ht="23.85" hidden="false" customHeight="false" outlineLevel="0" collapsed="false">
      <c r="A936" s="11" t="s">
        <v>5914</v>
      </c>
      <c r="B936" s="11" t="s">
        <v>39</v>
      </c>
      <c r="C936" s="11" t="s">
        <v>228</v>
      </c>
      <c r="D936" s="11" t="s">
        <v>229</v>
      </c>
      <c r="E936" s="11" t="s">
        <v>765</v>
      </c>
      <c r="F936" s="11" t="s">
        <v>5915</v>
      </c>
      <c r="G936" s="11" t="s">
        <v>5763</v>
      </c>
      <c r="H936" s="11"/>
      <c r="I936" s="11" t="s">
        <v>5916</v>
      </c>
      <c r="J936" s="11" t="s">
        <v>5917</v>
      </c>
      <c r="K936" s="11" t="s">
        <v>990</v>
      </c>
      <c r="L936" s="11" t="s">
        <v>5918</v>
      </c>
      <c r="M936" s="11"/>
      <c r="N936" s="14" t="n">
        <v>2</v>
      </c>
      <c r="O936" s="14" t="n">
        <v>3</v>
      </c>
      <c r="P936" s="14" t="n">
        <v>3</v>
      </c>
      <c r="Q936" s="14"/>
      <c r="R936" s="12" t="n">
        <f aca="false">IF(OR(N936="",P936=""),"",ROUND(N936*O936/P936,1))</f>
        <v>2</v>
      </c>
      <c r="S936" s="13" t="n">
        <f aca="false">IF(R936="","",IF(Q936="Y",1,IF(P936&gt;='Read me'!$B$16,3,IF(AND(R936&gt;='Read me'!$B$14,P936&lt;='Read me'!$B$15),1,2))))</f>
        <v>2</v>
      </c>
    </row>
    <row r="937" customFormat="false" ht="23.85" hidden="false" customHeight="false" outlineLevel="0" collapsed="false">
      <c r="A937" s="11" t="s">
        <v>5919</v>
      </c>
      <c r="B937" s="11" t="s">
        <v>39</v>
      </c>
      <c r="C937" s="11" t="s">
        <v>228</v>
      </c>
      <c r="D937" s="11" t="s">
        <v>229</v>
      </c>
      <c r="E937" s="11" t="s">
        <v>1187</v>
      </c>
      <c r="F937" s="11" t="s">
        <v>4879</v>
      </c>
      <c r="G937" s="11" t="s">
        <v>5920</v>
      </c>
      <c r="H937" s="11" t="s">
        <v>4881</v>
      </c>
      <c r="I937" s="11" t="s">
        <v>5921</v>
      </c>
      <c r="J937" s="11" t="s">
        <v>5922</v>
      </c>
      <c r="K937" s="11" t="s">
        <v>2887</v>
      </c>
      <c r="L937" s="11" t="s">
        <v>5923</v>
      </c>
      <c r="M937" s="11" t="s">
        <v>4885</v>
      </c>
      <c r="N937" s="14" t="n">
        <v>2</v>
      </c>
      <c r="O937" s="14" t="n">
        <v>2</v>
      </c>
      <c r="P937" s="14" t="n">
        <v>1</v>
      </c>
      <c r="Q937" s="14"/>
      <c r="R937" s="12" t="n">
        <f aca="false">IF(OR(N937="",P937=""),"",ROUND(N937*O937/P937,1))</f>
        <v>4</v>
      </c>
      <c r="S937" s="13" t="n">
        <f aca="false">IF(R937="","",IF(Q937="Y",1,IF(P937&gt;='Read me'!$B$16,3,IF(AND(R937&gt;='Read me'!$B$14,P937&lt;='Read me'!$B$15),1,2))))</f>
        <v>2</v>
      </c>
    </row>
    <row r="938" customFormat="false" ht="23.85" hidden="false" customHeight="false" outlineLevel="0" collapsed="false">
      <c r="A938" s="11" t="s">
        <v>5924</v>
      </c>
      <c r="B938" s="11" t="s">
        <v>39</v>
      </c>
      <c r="C938" s="11" t="s">
        <v>228</v>
      </c>
      <c r="D938" s="11" t="s">
        <v>229</v>
      </c>
      <c r="E938" s="11" t="s">
        <v>1187</v>
      </c>
      <c r="F938" s="11" t="s">
        <v>5925</v>
      </c>
      <c r="G938" s="11" t="s">
        <v>5926</v>
      </c>
      <c r="H938" s="11" t="s">
        <v>5927</v>
      </c>
      <c r="I938" s="11" t="s">
        <v>5928</v>
      </c>
      <c r="J938" s="11" t="s">
        <v>5929</v>
      </c>
      <c r="K938" s="11" t="s">
        <v>2768</v>
      </c>
      <c r="L938" s="11" t="s">
        <v>5930</v>
      </c>
      <c r="M938" s="11"/>
      <c r="N938" s="14" t="n">
        <v>1</v>
      </c>
      <c r="O938" s="14" t="n">
        <v>3</v>
      </c>
      <c r="P938" s="14" t="n">
        <v>4</v>
      </c>
      <c r="Q938" s="14"/>
      <c r="R938" s="12" t="n">
        <f aca="false">IF(OR(N938="",P938=""),"",ROUND(N938*O938/P938,1))</f>
        <v>0.8</v>
      </c>
      <c r="S938" s="13" t="n">
        <f aca="false">IF(R938="","",IF(Q938="Y",1,IF(P938&gt;='Read me'!$B$16,3,IF(AND(R938&gt;='Read me'!$B$14,P938&lt;='Read me'!$B$15),1,2))))</f>
        <v>3</v>
      </c>
    </row>
    <row r="939" customFormat="false" ht="23.85" hidden="false" customHeight="false" outlineLevel="0" collapsed="false">
      <c r="A939" s="11" t="s">
        <v>5931</v>
      </c>
      <c r="B939" s="11" t="s">
        <v>39</v>
      </c>
      <c r="C939" s="11" t="s">
        <v>228</v>
      </c>
      <c r="D939" s="11" t="s">
        <v>229</v>
      </c>
      <c r="E939" s="11" t="s">
        <v>1187</v>
      </c>
      <c r="F939" s="11" t="s">
        <v>5932</v>
      </c>
      <c r="G939" s="11" t="s">
        <v>5933</v>
      </c>
      <c r="H939" s="11" t="s">
        <v>5934</v>
      </c>
      <c r="I939" s="11" t="s">
        <v>5935</v>
      </c>
      <c r="J939" s="11" t="s">
        <v>5936</v>
      </c>
      <c r="K939" s="11" t="s">
        <v>675</v>
      </c>
      <c r="L939" s="11" t="s">
        <v>5937</v>
      </c>
      <c r="M939" s="11"/>
      <c r="N939" s="14" t="n">
        <v>2</v>
      </c>
      <c r="O939" s="14" t="n">
        <v>3</v>
      </c>
      <c r="P939" s="14" t="n">
        <v>3</v>
      </c>
      <c r="Q939" s="14"/>
      <c r="R939" s="12" t="n">
        <f aca="false">IF(OR(N939="",P939=""),"",ROUND(N939*O939/P939,1))</f>
        <v>2</v>
      </c>
      <c r="S939" s="13" t="n">
        <f aca="false">IF(R939="","",IF(Q939="Y",1,IF(P939&gt;='Read me'!$B$16,3,IF(AND(R939&gt;='Read me'!$B$14,P939&lt;='Read me'!$B$15),1,2))))</f>
        <v>2</v>
      </c>
    </row>
    <row r="940" customFormat="false" ht="23.85" hidden="false" customHeight="false" outlineLevel="0" collapsed="false">
      <c r="A940" s="11" t="s">
        <v>5938</v>
      </c>
      <c r="B940" s="11" t="s">
        <v>39</v>
      </c>
      <c r="C940" s="11" t="s">
        <v>228</v>
      </c>
      <c r="D940" s="11" t="s">
        <v>229</v>
      </c>
      <c r="E940" s="11" t="s">
        <v>1187</v>
      </c>
      <c r="F940" s="11" t="s">
        <v>5939</v>
      </c>
      <c r="G940" s="11" t="s">
        <v>5940</v>
      </c>
      <c r="H940" s="11" t="s">
        <v>5941</v>
      </c>
      <c r="I940" s="11" t="s">
        <v>5942</v>
      </c>
      <c r="J940" s="11" t="s">
        <v>5943</v>
      </c>
      <c r="K940" s="11" t="s">
        <v>675</v>
      </c>
      <c r="L940" s="11" t="s">
        <v>5944</v>
      </c>
      <c r="M940" s="11"/>
      <c r="N940" s="14" t="n">
        <v>1</v>
      </c>
      <c r="O940" s="14" t="n">
        <v>3</v>
      </c>
      <c r="P940" s="14" t="n">
        <v>5</v>
      </c>
      <c r="Q940" s="14"/>
      <c r="R940" s="12" t="n">
        <f aca="false">IF(OR(N940="",P940=""),"",ROUND(N940*O940/P940,1))</f>
        <v>0.6</v>
      </c>
      <c r="S940" s="13" t="n">
        <f aca="false">IF(R940="","",IF(Q940="Y",1,IF(P940&gt;='Read me'!$B$16,3,IF(AND(R940&gt;='Read me'!$B$14,P940&lt;='Read me'!$B$15),1,2))))</f>
        <v>3</v>
      </c>
    </row>
    <row r="941" customFormat="false" ht="15" hidden="false" customHeight="false" outlineLevel="0" collapsed="false">
      <c r="A941" s="11" t="s">
        <v>5945</v>
      </c>
      <c r="B941" s="11" t="s">
        <v>39</v>
      </c>
      <c r="C941" s="11" t="s">
        <v>228</v>
      </c>
      <c r="D941" s="11" t="s">
        <v>229</v>
      </c>
      <c r="E941" s="11" t="s">
        <v>1133</v>
      </c>
      <c r="F941" s="11" t="s">
        <v>5946</v>
      </c>
      <c r="G941" s="11" t="s">
        <v>1135</v>
      </c>
      <c r="H941" s="11"/>
      <c r="I941" s="11" t="s">
        <v>1136</v>
      </c>
      <c r="J941" s="11" t="s">
        <v>5947</v>
      </c>
      <c r="K941" s="11" t="s">
        <v>1138</v>
      </c>
      <c r="L941" s="11" t="s">
        <v>3775</v>
      </c>
      <c r="M941" s="11"/>
      <c r="N941" s="14" t="n">
        <v>3</v>
      </c>
      <c r="O941" s="14" t="n">
        <v>2</v>
      </c>
      <c r="P941" s="14" t="n">
        <v>1</v>
      </c>
      <c r="Q941" s="14"/>
      <c r="R941" s="12" t="n">
        <f aca="false">IF(OR(N941="",P941=""),"",ROUND(N941*O941/P941,1))</f>
        <v>6</v>
      </c>
      <c r="S941" s="13" t="n">
        <f aca="false">IF(R941="","",IF(Q941="Y",1,IF(P941&gt;='Read me'!$B$16,3,IF(AND(R941&gt;='Read me'!$B$14,P941&lt;='Read me'!$B$15),1,2))))</f>
        <v>1</v>
      </c>
    </row>
    <row r="942" customFormat="false" ht="15" hidden="false" customHeight="false" outlineLevel="0" collapsed="false">
      <c r="A942" s="11" t="s">
        <v>5948</v>
      </c>
      <c r="B942" s="11" t="s">
        <v>39</v>
      </c>
      <c r="C942" s="11" t="s">
        <v>228</v>
      </c>
      <c r="D942" s="11" t="s">
        <v>229</v>
      </c>
      <c r="E942" s="11" t="s">
        <v>1372</v>
      </c>
      <c r="F942" s="11" t="s">
        <v>5949</v>
      </c>
      <c r="G942" s="11" t="s">
        <v>5950</v>
      </c>
      <c r="H942" s="11"/>
      <c r="I942" s="11" t="s">
        <v>5951</v>
      </c>
      <c r="J942" s="11" t="s">
        <v>5952</v>
      </c>
      <c r="K942" s="11" t="s">
        <v>3597</v>
      </c>
      <c r="L942" s="11" t="s">
        <v>5953</v>
      </c>
      <c r="M942" s="11"/>
      <c r="N942" s="14" t="n">
        <v>3</v>
      </c>
      <c r="O942" s="14" t="n">
        <v>2</v>
      </c>
      <c r="P942" s="14" t="n">
        <v>1</v>
      </c>
      <c r="Q942" s="14"/>
      <c r="R942" s="12" t="n">
        <f aca="false">IF(OR(N942="",P942=""),"",ROUND(N942*O942/P942,1))</f>
        <v>6</v>
      </c>
      <c r="S942" s="13" t="n">
        <f aca="false">IF(R942="","",IF(Q942="Y",1,IF(P942&gt;='Read me'!$B$16,3,IF(AND(R942&gt;='Read me'!$B$14,P942&lt;='Read me'!$B$15),1,2))))</f>
        <v>1</v>
      </c>
    </row>
    <row r="943" customFormat="false" ht="23.85" hidden="false" customHeight="false" outlineLevel="0" collapsed="false">
      <c r="A943" s="11" t="s">
        <v>5954</v>
      </c>
      <c r="B943" s="11" t="s">
        <v>39</v>
      </c>
      <c r="C943" s="11" t="s">
        <v>228</v>
      </c>
      <c r="D943" s="11" t="s">
        <v>229</v>
      </c>
      <c r="E943" s="11" t="s">
        <v>1372</v>
      </c>
      <c r="F943" s="11" t="s">
        <v>5955</v>
      </c>
      <c r="G943" s="11" t="s">
        <v>2211</v>
      </c>
      <c r="H943" s="11"/>
      <c r="I943" s="11" t="s">
        <v>5956</v>
      </c>
      <c r="J943" s="11" t="s">
        <v>5957</v>
      </c>
      <c r="K943" s="11" t="s">
        <v>5958</v>
      </c>
      <c r="L943" s="11" t="s">
        <v>5959</v>
      </c>
      <c r="M943" s="11" t="s">
        <v>5960</v>
      </c>
      <c r="N943" s="14" t="n">
        <v>2</v>
      </c>
      <c r="O943" s="14" t="n">
        <v>3</v>
      </c>
      <c r="P943" s="14" t="n">
        <v>2</v>
      </c>
      <c r="Q943" s="14"/>
      <c r="R943" s="12" t="n">
        <f aca="false">IF(OR(N943="",P943=""),"",ROUND(N943*O943/P943,1))</f>
        <v>3</v>
      </c>
      <c r="S943" s="13" t="n">
        <f aca="false">IF(R943="","",IF(Q943="Y",1,IF(P943&gt;='Read me'!$B$16,3,IF(AND(R943&gt;='Read me'!$B$14,P943&lt;='Read me'!$B$15),1,2))))</f>
        <v>2</v>
      </c>
    </row>
    <row r="944" customFormat="false" ht="23.85" hidden="false" customHeight="false" outlineLevel="0" collapsed="false">
      <c r="A944" s="11" t="s">
        <v>5961</v>
      </c>
      <c r="B944" s="11" t="s">
        <v>39</v>
      </c>
      <c r="C944" s="11" t="s">
        <v>232</v>
      </c>
      <c r="D944" s="11" t="s">
        <v>233</v>
      </c>
      <c r="E944" s="11" t="s">
        <v>476</v>
      </c>
      <c r="F944" s="11" t="s">
        <v>5962</v>
      </c>
      <c r="G944" s="11" t="s">
        <v>5963</v>
      </c>
      <c r="H944" s="11"/>
      <c r="I944" s="11" t="s">
        <v>5964</v>
      </c>
      <c r="J944" s="11" t="s">
        <v>5965</v>
      </c>
      <c r="K944" s="11" t="s">
        <v>5966</v>
      </c>
      <c r="L944" s="11" t="s">
        <v>5967</v>
      </c>
      <c r="M944" s="11"/>
      <c r="N944" s="14" t="n">
        <v>4</v>
      </c>
      <c r="O944" s="14" t="n">
        <v>5</v>
      </c>
      <c r="P944" s="14" t="n">
        <v>1</v>
      </c>
      <c r="Q944" s="14"/>
      <c r="R944" s="12" t="n">
        <f aca="false">IF(OR(N944="",P944=""),"",ROUND(N944*O944/P944,1))</f>
        <v>20</v>
      </c>
      <c r="S944" s="13" t="n">
        <f aca="false">IF(R944="","",IF(Q944="Y",1,IF(P944&gt;='Read me'!$B$16,3,IF(AND(R944&gt;='Read me'!$B$14,P944&lt;='Read me'!$B$15),1,2))))</f>
        <v>1</v>
      </c>
    </row>
    <row r="945" customFormat="false" ht="23.85" hidden="false" customHeight="false" outlineLevel="0" collapsed="false">
      <c r="A945" s="11" t="s">
        <v>5968</v>
      </c>
      <c r="B945" s="11" t="s">
        <v>39</v>
      </c>
      <c r="C945" s="11" t="s">
        <v>232</v>
      </c>
      <c r="D945" s="11" t="s">
        <v>233</v>
      </c>
      <c r="E945" s="11" t="s">
        <v>476</v>
      </c>
      <c r="F945" s="11" t="s">
        <v>5969</v>
      </c>
      <c r="G945" s="11" t="s">
        <v>5970</v>
      </c>
      <c r="H945" s="11"/>
      <c r="I945" s="11" t="s">
        <v>5971</v>
      </c>
      <c r="J945" s="11" t="s">
        <v>5972</v>
      </c>
      <c r="K945" s="11" t="s">
        <v>5973</v>
      </c>
      <c r="L945" s="11" t="s">
        <v>5974</v>
      </c>
      <c r="M945" s="11"/>
      <c r="N945" s="14" t="n">
        <v>3</v>
      </c>
      <c r="O945" s="14" t="n">
        <v>5</v>
      </c>
      <c r="P945" s="14" t="n">
        <v>2</v>
      </c>
      <c r="Q945" s="14"/>
      <c r="R945" s="12" t="n">
        <f aca="false">IF(OR(N945="",P945=""),"",ROUND(N945*O945/P945,1))</f>
        <v>7.5</v>
      </c>
      <c r="S945" s="13" t="n">
        <f aca="false">IF(R945="","",IF(Q945="Y",1,IF(P945&gt;='Read me'!$B$16,3,IF(AND(R945&gt;='Read me'!$B$14,P945&lt;='Read me'!$B$15),1,2))))</f>
        <v>1</v>
      </c>
    </row>
    <row r="946" customFormat="false" ht="35.05" hidden="false" customHeight="false" outlineLevel="0" collapsed="false">
      <c r="A946" s="11" t="s">
        <v>5975</v>
      </c>
      <c r="B946" s="11" t="s">
        <v>39</v>
      </c>
      <c r="C946" s="11" t="s">
        <v>232</v>
      </c>
      <c r="D946" s="11" t="s">
        <v>233</v>
      </c>
      <c r="E946" s="11" t="s">
        <v>476</v>
      </c>
      <c r="F946" s="11" t="s">
        <v>5976</v>
      </c>
      <c r="G946" s="11" t="s">
        <v>5977</v>
      </c>
      <c r="H946" s="11"/>
      <c r="I946" s="11" t="s">
        <v>512</v>
      </c>
      <c r="J946" s="11" t="s">
        <v>5978</v>
      </c>
      <c r="K946" s="11" t="s">
        <v>4715</v>
      </c>
      <c r="L946" s="11" t="s">
        <v>5979</v>
      </c>
      <c r="M946" s="11" t="s">
        <v>4716</v>
      </c>
      <c r="N946" s="14" t="n">
        <v>3</v>
      </c>
      <c r="O946" s="14" t="n">
        <v>4</v>
      </c>
      <c r="P946" s="14" t="n">
        <v>2</v>
      </c>
      <c r="Q946" s="14"/>
      <c r="R946" s="12" t="n">
        <f aca="false">IF(OR(N946="",P946=""),"",ROUND(N946*O946/P946,1))</f>
        <v>6</v>
      </c>
      <c r="S946" s="13" t="n">
        <f aca="false">IF(R946="","",IF(Q946="Y",1,IF(P946&gt;='Read me'!$B$16,3,IF(AND(R946&gt;='Read me'!$B$14,P946&lt;='Read me'!$B$15),1,2))))</f>
        <v>1</v>
      </c>
    </row>
    <row r="947" customFormat="false" ht="23.85" hidden="false" customHeight="false" outlineLevel="0" collapsed="false">
      <c r="A947" s="11" t="s">
        <v>5980</v>
      </c>
      <c r="B947" s="11" t="s">
        <v>39</v>
      </c>
      <c r="C947" s="11" t="s">
        <v>232</v>
      </c>
      <c r="D947" s="11" t="s">
        <v>233</v>
      </c>
      <c r="E947" s="11" t="s">
        <v>476</v>
      </c>
      <c r="F947" s="11" t="s">
        <v>5981</v>
      </c>
      <c r="G947" s="11" t="s">
        <v>5982</v>
      </c>
      <c r="H947" s="11"/>
      <c r="I947" s="11" t="s">
        <v>5983</v>
      </c>
      <c r="J947" s="11" t="s">
        <v>5984</v>
      </c>
      <c r="K947" s="11" t="s">
        <v>5985</v>
      </c>
      <c r="L947" s="11" t="s">
        <v>5986</v>
      </c>
      <c r="M947" s="11"/>
      <c r="N947" s="14" t="n">
        <v>2</v>
      </c>
      <c r="O947" s="14" t="n">
        <v>4</v>
      </c>
      <c r="P947" s="14" t="n">
        <v>3</v>
      </c>
      <c r="Q947" s="14"/>
      <c r="R947" s="12" t="n">
        <f aca="false">IF(OR(N947="",P947=""),"",ROUND(N947*O947/P947,1))</f>
        <v>2.7</v>
      </c>
      <c r="S947" s="13" t="n">
        <f aca="false">IF(R947="","",IF(Q947="Y",1,IF(P947&gt;='Read me'!$B$16,3,IF(AND(R947&gt;='Read me'!$B$14,P947&lt;='Read me'!$B$15),1,2))))</f>
        <v>2</v>
      </c>
    </row>
    <row r="948" customFormat="false" ht="23.85" hidden="false" customHeight="false" outlineLevel="0" collapsed="false">
      <c r="A948" s="11" t="s">
        <v>5987</v>
      </c>
      <c r="B948" s="11" t="s">
        <v>39</v>
      </c>
      <c r="C948" s="11" t="s">
        <v>232</v>
      </c>
      <c r="D948" s="11" t="s">
        <v>233</v>
      </c>
      <c r="E948" s="11" t="s">
        <v>626</v>
      </c>
      <c r="F948" s="11" t="s">
        <v>5988</v>
      </c>
      <c r="G948" s="11" t="s">
        <v>5989</v>
      </c>
      <c r="H948" s="11"/>
      <c r="I948" s="11" t="s">
        <v>5990</v>
      </c>
      <c r="J948" s="11" t="s">
        <v>5991</v>
      </c>
      <c r="K948" s="11" t="s">
        <v>5992</v>
      </c>
      <c r="L948" s="11" t="s">
        <v>5993</v>
      </c>
      <c r="M948" s="11"/>
      <c r="N948" s="14" t="n">
        <v>3</v>
      </c>
      <c r="O948" s="14" t="n">
        <v>3</v>
      </c>
      <c r="P948" s="14" t="n">
        <v>2</v>
      </c>
      <c r="Q948" s="14"/>
      <c r="R948" s="12" t="n">
        <f aca="false">IF(OR(N948="",P948=""),"",ROUND(N948*O948/P948,1))</f>
        <v>4.5</v>
      </c>
      <c r="S948" s="13" t="n">
        <f aca="false">IF(R948="","",IF(Q948="Y",1,IF(P948&gt;='Read me'!$B$16,3,IF(AND(R948&gt;='Read me'!$B$14,P948&lt;='Read me'!$B$15),1,2))))</f>
        <v>2</v>
      </c>
    </row>
    <row r="949" customFormat="false" ht="23.85" hidden="false" customHeight="false" outlineLevel="0" collapsed="false">
      <c r="A949" s="11" t="s">
        <v>5994</v>
      </c>
      <c r="B949" s="11" t="s">
        <v>39</v>
      </c>
      <c r="C949" s="11" t="s">
        <v>232</v>
      </c>
      <c r="D949" s="11" t="s">
        <v>233</v>
      </c>
      <c r="E949" s="11" t="s">
        <v>626</v>
      </c>
      <c r="F949" s="11" t="s">
        <v>5995</v>
      </c>
      <c r="G949" s="11" t="s">
        <v>5996</v>
      </c>
      <c r="H949" s="11"/>
      <c r="I949" s="11" t="s">
        <v>5997</v>
      </c>
      <c r="J949" s="11" t="s">
        <v>5998</v>
      </c>
      <c r="K949" s="11" t="s">
        <v>5430</v>
      </c>
      <c r="L949" s="11" t="s">
        <v>5999</v>
      </c>
      <c r="M949" s="11"/>
      <c r="N949" s="14" t="n">
        <v>3</v>
      </c>
      <c r="O949" s="14" t="n">
        <v>3</v>
      </c>
      <c r="P949" s="14" t="n">
        <v>3</v>
      </c>
      <c r="Q949" s="14"/>
      <c r="R949" s="12" t="n">
        <f aca="false">IF(OR(N949="",P949=""),"",ROUND(N949*O949/P949,1))</f>
        <v>3</v>
      </c>
      <c r="S949" s="13" t="n">
        <f aca="false">IF(R949="","",IF(Q949="Y",1,IF(P949&gt;='Read me'!$B$16,3,IF(AND(R949&gt;='Read me'!$B$14,P949&lt;='Read me'!$B$15),1,2))))</f>
        <v>2</v>
      </c>
    </row>
    <row r="950" customFormat="false" ht="23.85" hidden="false" customHeight="false" outlineLevel="0" collapsed="false">
      <c r="A950" s="11" t="s">
        <v>6000</v>
      </c>
      <c r="B950" s="11" t="s">
        <v>39</v>
      </c>
      <c r="C950" s="11" t="s">
        <v>232</v>
      </c>
      <c r="D950" s="11" t="s">
        <v>233</v>
      </c>
      <c r="E950" s="11" t="s">
        <v>626</v>
      </c>
      <c r="F950" s="11" t="s">
        <v>6001</v>
      </c>
      <c r="G950" s="11" t="s">
        <v>6002</v>
      </c>
      <c r="H950" s="11"/>
      <c r="I950" s="11" t="s">
        <v>6003</v>
      </c>
      <c r="J950" s="11" t="s">
        <v>6004</v>
      </c>
      <c r="K950" s="11" t="s">
        <v>5836</v>
      </c>
      <c r="L950" s="11" t="s">
        <v>6005</v>
      </c>
      <c r="M950" s="11"/>
      <c r="N950" s="14" t="n">
        <v>2</v>
      </c>
      <c r="O950" s="14" t="n">
        <v>3</v>
      </c>
      <c r="P950" s="14" t="n">
        <v>2</v>
      </c>
      <c r="Q950" s="14"/>
      <c r="R950" s="12" t="n">
        <f aca="false">IF(OR(N950="",P950=""),"",ROUND(N950*O950/P950,1))</f>
        <v>3</v>
      </c>
      <c r="S950" s="13" t="n">
        <f aca="false">IF(R950="","",IF(Q950="Y",1,IF(P950&gt;='Read me'!$B$16,3,IF(AND(R950&gt;='Read me'!$B$14,P950&lt;='Read me'!$B$15),1,2))))</f>
        <v>2</v>
      </c>
    </row>
    <row r="951" customFormat="false" ht="35.05" hidden="false" customHeight="false" outlineLevel="0" collapsed="false">
      <c r="A951" s="11" t="s">
        <v>6006</v>
      </c>
      <c r="B951" s="11" t="s">
        <v>39</v>
      </c>
      <c r="C951" s="11" t="s">
        <v>232</v>
      </c>
      <c r="D951" s="11" t="s">
        <v>233</v>
      </c>
      <c r="E951" s="11" t="s">
        <v>751</v>
      </c>
      <c r="F951" s="11" t="s">
        <v>6007</v>
      </c>
      <c r="G951" s="11" t="s">
        <v>6008</v>
      </c>
      <c r="H951" s="11"/>
      <c r="I951" s="11" t="s">
        <v>6009</v>
      </c>
      <c r="J951" s="11" t="s">
        <v>6010</v>
      </c>
      <c r="K951" s="11" t="s">
        <v>6011</v>
      </c>
      <c r="L951" s="11" t="s">
        <v>6012</v>
      </c>
      <c r="M951" s="11" t="s">
        <v>6013</v>
      </c>
      <c r="N951" s="14" t="n">
        <v>5</v>
      </c>
      <c r="O951" s="14" t="n">
        <v>5</v>
      </c>
      <c r="P951" s="14" t="n">
        <v>2</v>
      </c>
      <c r="Q951" s="14"/>
      <c r="R951" s="12" t="n">
        <f aca="false">IF(OR(N951="",P951=""),"",ROUND(N951*O951/P951,1))</f>
        <v>12.5</v>
      </c>
      <c r="S951" s="13" t="n">
        <f aca="false">IF(R951="","",IF(Q951="Y",1,IF(P951&gt;='Read me'!$B$16,3,IF(AND(R951&gt;='Read me'!$B$14,P951&lt;='Read me'!$B$15),1,2))))</f>
        <v>1</v>
      </c>
    </row>
    <row r="952" customFormat="false" ht="23.85" hidden="false" customHeight="false" outlineLevel="0" collapsed="false">
      <c r="A952" s="11" t="s">
        <v>6014</v>
      </c>
      <c r="B952" s="11" t="s">
        <v>39</v>
      </c>
      <c r="C952" s="11" t="s">
        <v>232</v>
      </c>
      <c r="D952" s="11" t="s">
        <v>233</v>
      </c>
      <c r="E952" s="11" t="s">
        <v>751</v>
      </c>
      <c r="F952" s="11" t="s">
        <v>6015</v>
      </c>
      <c r="G952" s="11" t="s">
        <v>6016</v>
      </c>
      <c r="H952" s="11"/>
      <c r="I952" s="11" t="s">
        <v>6017</v>
      </c>
      <c r="J952" s="11" t="s">
        <v>6018</v>
      </c>
      <c r="K952" s="11" t="s">
        <v>890</v>
      </c>
      <c r="L952" s="11" t="s">
        <v>6019</v>
      </c>
      <c r="M952" s="11" t="s">
        <v>1577</v>
      </c>
      <c r="N952" s="14" t="n">
        <v>4</v>
      </c>
      <c r="O952" s="14" t="n">
        <v>4</v>
      </c>
      <c r="P952" s="14" t="n">
        <v>2</v>
      </c>
      <c r="Q952" s="14"/>
      <c r="R952" s="12" t="n">
        <f aca="false">IF(OR(N952="",P952=""),"",ROUND(N952*O952/P952,1))</f>
        <v>8</v>
      </c>
      <c r="S952" s="13" t="n">
        <f aca="false">IF(R952="","",IF(Q952="Y",1,IF(P952&gt;='Read me'!$B$16,3,IF(AND(R952&gt;='Read me'!$B$14,P952&lt;='Read me'!$B$15),1,2))))</f>
        <v>1</v>
      </c>
    </row>
    <row r="953" customFormat="false" ht="23.85" hidden="false" customHeight="false" outlineLevel="0" collapsed="false">
      <c r="A953" s="11" t="s">
        <v>6020</v>
      </c>
      <c r="B953" s="11" t="s">
        <v>39</v>
      </c>
      <c r="C953" s="11" t="s">
        <v>232</v>
      </c>
      <c r="D953" s="11" t="s">
        <v>233</v>
      </c>
      <c r="E953" s="11" t="s">
        <v>751</v>
      </c>
      <c r="F953" s="11" t="s">
        <v>6015</v>
      </c>
      <c r="G953" s="11" t="s">
        <v>6021</v>
      </c>
      <c r="H953" s="11" t="s">
        <v>6022</v>
      </c>
      <c r="I953" s="11" t="s">
        <v>6023</v>
      </c>
      <c r="J953" s="11" t="s">
        <v>6024</v>
      </c>
      <c r="K953" s="11" t="s">
        <v>1028</v>
      </c>
      <c r="L953" s="11" t="s">
        <v>6025</v>
      </c>
      <c r="M953" s="11"/>
      <c r="N953" s="14" t="n">
        <v>2</v>
      </c>
      <c r="O953" s="14" t="n">
        <v>3</v>
      </c>
      <c r="P953" s="14" t="n">
        <v>2</v>
      </c>
      <c r="Q953" s="14"/>
      <c r="R953" s="12" t="n">
        <f aca="false">IF(OR(N953="",P953=""),"",ROUND(N953*O953/P953,1))</f>
        <v>3</v>
      </c>
      <c r="S953" s="13" t="n">
        <f aca="false">IF(R953="","",IF(Q953="Y",1,IF(P953&gt;='Read me'!$B$16,3,IF(AND(R953&gt;='Read me'!$B$14,P953&lt;='Read me'!$B$15),1,2))))</f>
        <v>2</v>
      </c>
    </row>
    <row r="954" customFormat="false" ht="23.85" hidden="false" customHeight="false" outlineLevel="0" collapsed="false">
      <c r="A954" s="11" t="s">
        <v>6026</v>
      </c>
      <c r="B954" s="11" t="s">
        <v>39</v>
      </c>
      <c r="C954" s="11" t="s">
        <v>232</v>
      </c>
      <c r="D954" s="11" t="s">
        <v>233</v>
      </c>
      <c r="E954" s="11" t="s">
        <v>1081</v>
      </c>
      <c r="F954" s="11" t="s">
        <v>6027</v>
      </c>
      <c r="G954" s="11" t="s">
        <v>6028</v>
      </c>
      <c r="H954" s="11"/>
      <c r="I954" s="11" t="s">
        <v>6029</v>
      </c>
      <c r="J954" s="11" t="s">
        <v>6030</v>
      </c>
      <c r="K954" s="11" t="s">
        <v>6031</v>
      </c>
      <c r="L954" s="11" t="s">
        <v>6032</v>
      </c>
      <c r="M954" s="11"/>
      <c r="N954" s="14" t="n">
        <v>5</v>
      </c>
      <c r="O954" s="14" t="n">
        <v>4</v>
      </c>
      <c r="P954" s="14" t="n">
        <v>2</v>
      </c>
      <c r="Q954" s="14"/>
      <c r="R954" s="12" t="n">
        <f aca="false">IF(OR(N954="",P954=""),"",ROUND(N954*O954/P954,1))</f>
        <v>10</v>
      </c>
      <c r="S954" s="13" t="n">
        <f aca="false">IF(R954="","",IF(Q954="Y",1,IF(P954&gt;='Read me'!$B$16,3,IF(AND(R954&gt;='Read me'!$B$14,P954&lt;='Read me'!$B$15),1,2))))</f>
        <v>1</v>
      </c>
    </row>
    <row r="955" customFormat="false" ht="23.85" hidden="false" customHeight="false" outlineLevel="0" collapsed="false">
      <c r="A955" s="11" t="s">
        <v>6033</v>
      </c>
      <c r="B955" s="11" t="s">
        <v>39</v>
      </c>
      <c r="C955" s="11" t="s">
        <v>232</v>
      </c>
      <c r="D955" s="11" t="s">
        <v>233</v>
      </c>
      <c r="E955" s="11" t="s">
        <v>1081</v>
      </c>
      <c r="F955" s="11" t="s">
        <v>6034</v>
      </c>
      <c r="G955" s="11" t="s">
        <v>6035</v>
      </c>
      <c r="H955" s="11"/>
      <c r="I955" s="11" t="s">
        <v>512</v>
      </c>
      <c r="J955" s="11" t="s">
        <v>6036</v>
      </c>
      <c r="K955" s="11" t="s">
        <v>6037</v>
      </c>
      <c r="L955" s="11" t="s">
        <v>6038</v>
      </c>
      <c r="M955" s="11"/>
      <c r="N955" s="14" t="n">
        <v>4</v>
      </c>
      <c r="O955" s="14" t="n">
        <v>4</v>
      </c>
      <c r="P955" s="14" t="n">
        <v>1</v>
      </c>
      <c r="Q955" s="14"/>
      <c r="R955" s="12" t="n">
        <f aca="false">IF(OR(N955="",P955=""),"",ROUND(N955*O955/P955,1))</f>
        <v>16</v>
      </c>
      <c r="S955" s="13" t="n">
        <f aca="false">IF(R955="","",IF(Q955="Y",1,IF(P955&gt;='Read me'!$B$16,3,IF(AND(R955&gt;='Read me'!$B$14,P955&lt;='Read me'!$B$15),1,2))))</f>
        <v>1</v>
      </c>
    </row>
    <row r="956" customFormat="false" ht="35.05" hidden="false" customHeight="false" outlineLevel="0" collapsed="false">
      <c r="A956" s="11" t="s">
        <v>6039</v>
      </c>
      <c r="B956" s="11" t="s">
        <v>39</v>
      </c>
      <c r="C956" s="11" t="s">
        <v>232</v>
      </c>
      <c r="D956" s="11" t="s">
        <v>233</v>
      </c>
      <c r="E956" s="11" t="s">
        <v>1187</v>
      </c>
      <c r="F956" s="11" t="s">
        <v>6040</v>
      </c>
      <c r="G956" s="11" t="s">
        <v>6041</v>
      </c>
      <c r="H956" s="11" t="s">
        <v>6042</v>
      </c>
      <c r="I956" s="11" t="s">
        <v>6043</v>
      </c>
      <c r="J956" s="11" t="s">
        <v>6044</v>
      </c>
      <c r="K956" s="11" t="s">
        <v>2030</v>
      </c>
      <c r="L956" s="11" t="s">
        <v>6045</v>
      </c>
      <c r="M956" s="11"/>
      <c r="N956" s="14" t="n">
        <v>3</v>
      </c>
      <c r="O956" s="14" t="n">
        <v>3</v>
      </c>
      <c r="P956" s="14" t="n">
        <v>3</v>
      </c>
      <c r="Q956" s="14"/>
      <c r="R956" s="12" t="n">
        <f aca="false">IF(OR(N956="",P956=""),"",ROUND(N956*O956/P956,1))</f>
        <v>3</v>
      </c>
      <c r="S956" s="13" t="n">
        <f aca="false">IF(R956="","",IF(Q956="Y",1,IF(P956&gt;='Read me'!$B$16,3,IF(AND(R956&gt;='Read me'!$B$14,P956&lt;='Read me'!$B$15),1,2))))</f>
        <v>2</v>
      </c>
    </row>
    <row r="957" customFormat="false" ht="23.85" hidden="false" customHeight="false" outlineLevel="0" collapsed="false">
      <c r="A957" s="11" t="s">
        <v>6046</v>
      </c>
      <c r="B957" s="11" t="s">
        <v>39</v>
      </c>
      <c r="C957" s="11" t="s">
        <v>232</v>
      </c>
      <c r="D957" s="11" t="s">
        <v>233</v>
      </c>
      <c r="E957" s="11" t="s">
        <v>1187</v>
      </c>
      <c r="F957" s="11" t="s">
        <v>6040</v>
      </c>
      <c r="G957" s="11" t="s">
        <v>6047</v>
      </c>
      <c r="H957" s="11" t="s">
        <v>6048</v>
      </c>
      <c r="I957" s="11" t="s">
        <v>6049</v>
      </c>
      <c r="J957" s="11" t="s">
        <v>6050</v>
      </c>
      <c r="K957" s="11" t="s">
        <v>5663</v>
      </c>
      <c r="L957" s="11" t="s">
        <v>6051</v>
      </c>
      <c r="M957" s="11"/>
      <c r="N957" s="14" t="n">
        <v>2</v>
      </c>
      <c r="O957" s="14" t="n">
        <v>2</v>
      </c>
      <c r="P957" s="14" t="n">
        <v>2</v>
      </c>
      <c r="Q957" s="14"/>
      <c r="R957" s="12" t="n">
        <f aca="false">IF(OR(N957="",P957=""),"",ROUND(N957*O957/P957,1))</f>
        <v>2</v>
      </c>
      <c r="S957" s="13" t="n">
        <f aca="false">IF(R957="","",IF(Q957="Y",1,IF(P957&gt;='Read me'!$B$16,3,IF(AND(R957&gt;='Read me'!$B$14,P957&lt;='Read me'!$B$15),1,2))))</f>
        <v>2</v>
      </c>
    </row>
    <row r="958" customFormat="false" ht="23.85" hidden="false" customHeight="false" outlineLevel="0" collapsed="false">
      <c r="A958" s="11" t="s">
        <v>6052</v>
      </c>
      <c r="B958" s="11" t="s">
        <v>39</v>
      </c>
      <c r="C958" s="11" t="s">
        <v>232</v>
      </c>
      <c r="D958" s="11" t="s">
        <v>233</v>
      </c>
      <c r="E958" s="11" t="s">
        <v>1187</v>
      </c>
      <c r="F958" s="11" t="s">
        <v>6040</v>
      </c>
      <c r="G958" s="11" t="s">
        <v>6053</v>
      </c>
      <c r="H958" s="11" t="s">
        <v>6054</v>
      </c>
      <c r="I958" s="11" t="s">
        <v>6055</v>
      </c>
      <c r="J958" s="11" t="s">
        <v>6056</v>
      </c>
      <c r="K958" s="11" t="s">
        <v>6057</v>
      </c>
      <c r="L958" s="11" t="s">
        <v>6058</v>
      </c>
      <c r="M958" s="11"/>
      <c r="N958" s="14" t="n">
        <v>2</v>
      </c>
      <c r="O958" s="14" t="n">
        <v>2</v>
      </c>
      <c r="P958" s="14" t="n">
        <v>2</v>
      </c>
      <c r="Q958" s="14"/>
      <c r="R958" s="12" t="n">
        <f aca="false">IF(OR(N958="",P958=""),"",ROUND(N958*O958/P958,1))</f>
        <v>2</v>
      </c>
      <c r="S958" s="13" t="n">
        <f aca="false">IF(R958="","",IF(Q958="Y",1,IF(P958&gt;='Read me'!$B$16,3,IF(AND(R958&gt;='Read me'!$B$14,P958&lt;='Read me'!$B$15),1,2))))</f>
        <v>2</v>
      </c>
    </row>
    <row r="959" customFormat="false" ht="23.85" hidden="false" customHeight="false" outlineLevel="0" collapsed="false">
      <c r="A959" s="11" t="s">
        <v>6059</v>
      </c>
      <c r="B959" s="11" t="s">
        <v>39</v>
      </c>
      <c r="C959" s="11" t="s">
        <v>232</v>
      </c>
      <c r="D959" s="11" t="s">
        <v>233</v>
      </c>
      <c r="E959" s="11" t="s">
        <v>1187</v>
      </c>
      <c r="F959" s="11" t="s">
        <v>6040</v>
      </c>
      <c r="G959" s="11" t="s">
        <v>6060</v>
      </c>
      <c r="H959" s="11" t="s">
        <v>6042</v>
      </c>
      <c r="I959" s="11" t="s">
        <v>6061</v>
      </c>
      <c r="J959" s="11" t="s">
        <v>6062</v>
      </c>
      <c r="K959" s="11" t="s">
        <v>6063</v>
      </c>
      <c r="L959" s="11" t="s">
        <v>6064</v>
      </c>
      <c r="M959" s="11"/>
      <c r="N959" s="14" t="n">
        <v>2</v>
      </c>
      <c r="O959" s="14" t="n">
        <v>2</v>
      </c>
      <c r="P959" s="14" t="n">
        <v>2</v>
      </c>
      <c r="Q959" s="14"/>
      <c r="R959" s="12" t="n">
        <f aca="false">IF(OR(N959="",P959=""),"",ROUND(N959*O959/P959,1))</f>
        <v>2</v>
      </c>
      <c r="S959" s="13" t="n">
        <f aca="false">IF(R959="","",IF(Q959="Y",1,IF(P959&gt;='Read me'!$B$16,3,IF(AND(R959&gt;='Read me'!$B$14,P959&lt;='Read me'!$B$15),1,2))))</f>
        <v>2</v>
      </c>
    </row>
    <row r="960" customFormat="false" ht="23.85" hidden="false" customHeight="false" outlineLevel="0" collapsed="false">
      <c r="A960" s="11" t="s">
        <v>6065</v>
      </c>
      <c r="B960" s="11" t="s">
        <v>39</v>
      </c>
      <c r="C960" s="11" t="s">
        <v>232</v>
      </c>
      <c r="D960" s="11" t="s">
        <v>233</v>
      </c>
      <c r="E960" s="11" t="s">
        <v>1187</v>
      </c>
      <c r="F960" s="11" t="s">
        <v>6040</v>
      </c>
      <c r="G960" s="11" t="s">
        <v>6066</v>
      </c>
      <c r="H960" s="11" t="s">
        <v>2118</v>
      </c>
      <c r="I960" s="11" t="s">
        <v>6067</v>
      </c>
      <c r="J960" s="11" t="s">
        <v>6068</v>
      </c>
      <c r="K960" s="11" t="s">
        <v>935</v>
      </c>
      <c r="L960" s="11" t="s">
        <v>6069</v>
      </c>
      <c r="M960" s="11"/>
      <c r="N960" s="14" t="n">
        <v>2</v>
      </c>
      <c r="O960" s="14" t="n">
        <v>2</v>
      </c>
      <c r="P960" s="14" t="n">
        <v>2</v>
      </c>
      <c r="Q960" s="14"/>
      <c r="R960" s="12" t="n">
        <f aca="false">IF(OR(N960="",P960=""),"",ROUND(N960*O960/P960,1))</f>
        <v>2</v>
      </c>
      <c r="S960" s="13" t="n">
        <f aca="false">IF(R960="","",IF(Q960="Y",1,IF(P960&gt;='Read me'!$B$16,3,IF(AND(R960&gt;='Read me'!$B$14,P960&lt;='Read me'!$B$15),1,2))))</f>
        <v>2</v>
      </c>
    </row>
    <row r="961" customFormat="false" ht="23.85" hidden="false" customHeight="false" outlineLevel="0" collapsed="false">
      <c r="A961" s="11" t="s">
        <v>6070</v>
      </c>
      <c r="B961" s="11" t="s">
        <v>39</v>
      </c>
      <c r="C961" s="11" t="s">
        <v>232</v>
      </c>
      <c r="D961" s="11" t="s">
        <v>233</v>
      </c>
      <c r="E961" s="11" t="s">
        <v>1187</v>
      </c>
      <c r="F961" s="11" t="s">
        <v>6071</v>
      </c>
      <c r="G961" s="11" t="s">
        <v>6072</v>
      </c>
      <c r="H961" s="11" t="s">
        <v>6073</v>
      </c>
      <c r="I961" s="11" t="s">
        <v>6074</v>
      </c>
      <c r="J961" s="11" t="s">
        <v>6075</v>
      </c>
      <c r="K961" s="11" t="s">
        <v>6076</v>
      </c>
      <c r="L961" s="11" t="s">
        <v>6077</v>
      </c>
      <c r="M961" s="11"/>
      <c r="N961" s="14" t="n">
        <v>3</v>
      </c>
      <c r="O961" s="14" t="n">
        <v>3</v>
      </c>
      <c r="P961" s="14" t="n">
        <v>3</v>
      </c>
      <c r="Q961" s="14"/>
      <c r="R961" s="12" t="n">
        <f aca="false">IF(OR(N961="",P961=""),"",ROUND(N961*O961/P961,1))</f>
        <v>3</v>
      </c>
      <c r="S961" s="13" t="n">
        <f aca="false">IF(R961="","",IF(Q961="Y",1,IF(P961&gt;='Read me'!$B$16,3,IF(AND(R961&gt;='Read me'!$B$14,P961&lt;='Read me'!$B$15),1,2))))</f>
        <v>2</v>
      </c>
    </row>
    <row r="962" customFormat="false" ht="23.85" hidden="false" customHeight="false" outlineLevel="0" collapsed="false">
      <c r="A962" s="11" t="s">
        <v>6078</v>
      </c>
      <c r="B962" s="11" t="s">
        <v>39</v>
      </c>
      <c r="C962" s="11" t="s">
        <v>232</v>
      </c>
      <c r="D962" s="11" t="s">
        <v>233</v>
      </c>
      <c r="E962" s="11" t="s">
        <v>1187</v>
      </c>
      <c r="F962" s="11" t="s">
        <v>6071</v>
      </c>
      <c r="G962" s="11" t="s">
        <v>6079</v>
      </c>
      <c r="H962" s="11" t="s">
        <v>4576</v>
      </c>
      <c r="I962" s="11" t="s">
        <v>6080</v>
      </c>
      <c r="J962" s="11" t="s">
        <v>6081</v>
      </c>
      <c r="K962" s="11" t="s">
        <v>4066</v>
      </c>
      <c r="L962" s="11" t="s">
        <v>6082</v>
      </c>
      <c r="M962" s="11"/>
      <c r="N962" s="14" t="n">
        <v>2</v>
      </c>
      <c r="O962" s="14" t="n">
        <v>3</v>
      </c>
      <c r="P962" s="14" t="n">
        <v>3</v>
      </c>
      <c r="Q962" s="14"/>
      <c r="R962" s="12" t="n">
        <f aca="false">IF(OR(N962="",P962=""),"",ROUND(N962*O962/P962,1))</f>
        <v>2</v>
      </c>
      <c r="S962" s="13" t="n">
        <f aca="false">IF(R962="","",IF(Q962="Y",1,IF(P962&gt;='Read me'!$B$16,3,IF(AND(R962&gt;='Read me'!$B$14,P962&lt;='Read me'!$B$15),1,2))))</f>
        <v>2</v>
      </c>
    </row>
    <row r="963" customFormat="false" ht="23.85" hidden="false" customHeight="false" outlineLevel="0" collapsed="false">
      <c r="A963" s="11" t="s">
        <v>6083</v>
      </c>
      <c r="B963" s="11" t="s">
        <v>39</v>
      </c>
      <c r="C963" s="11" t="s">
        <v>232</v>
      </c>
      <c r="D963" s="11" t="s">
        <v>233</v>
      </c>
      <c r="E963" s="11" t="s">
        <v>1187</v>
      </c>
      <c r="F963" s="11" t="s">
        <v>6084</v>
      </c>
      <c r="G963" s="11" t="s">
        <v>6085</v>
      </c>
      <c r="H963" s="11" t="s">
        <v>6086</v>
      </c>
      <c r="I963" s="11" t="s">
        <v>6087</v>
      </c>
      <c r="J963" s="11" t="s">
        <v>6088</v>
      </c>
      <c r="K963" s="11" t="s">
        <v>6089</v>
      </c>
      <c r="L963" s="11" t="s">
        <v>6090</v>
      </c>
      <c r="M963" s="11"/>
      <c r="N963" s="14" t="n">
        <v>3</v>
      </c>
      <c r="O963" s="14" t="n">
        <v>3</v>
      </c>
      <c r="P963" s="14" t="n">
        <v>2</v>
      </c>
      <c r="Q963" s="14"/>
      <c r="R963" s="12" t="n">
        <f aca="false">IF(OR(N963="",P963=""),"",ROUND(N963*O963/P963,1))</f>
        <v>4.5</v>
      </c>
      <c r="S963" s="13" t="n">
        <f aca="false">IF(R963="","",IF(Q963="Y",1,IF(P963&gt;='Read me'!$B$16,3,IF(AND(R963&gt;='Read me'!$B$14,P963&lt;='Read me'!$B$15),1,2))))</f>
        <v>2</v>
      </c>
    </row>
    <row r="964" customFormat="false" ht="23.85" hidden="false" customHeight="false" outlineLevel="0" collapsed="false">
      <c r="A964" s="11" t="s">
        <v>6091</v>
      </c>
      <c r="B964" s="11" t="s">
        <v>39</v>
      </c>
      <c r="C964" s="11" t="s">
        <v>232</v>
      </c>
      <c r="D964" s="11" t="s">
        <v>233</v>
      </c>
      <c r="E964" s="11" t="s">
        <v>1187</v>
      </c>
      <c r="F964" s="11" t="s">
        <v>6092</v>
      </c>
      <c r="G964" s="11" t="s">
        <v>6093</v>
      </c>
      <c r="H964" s="11" t="s">
        <v>6094</v>
      </c>
      <c r="I964" s="11" t="s">
        <v>6095</v>
      </c>
      <c r="J964" s="11" t="s">
        <v>6096</v>
      </c>
      <c r="K964" s="11" t="s">
        <v>4587</v>
      </c>
      <c r="L964" s="11" t="s">
        <v>6097</v>
      </c>
      <c r="M964" s="11"/>
      <c r="N964" s="14" t="n">
        <v>2</v>
      </c>
      <c r="O964" s="14" t="n">
        <v>3</v>
      </c>
      <c r="P964" s="14" t="n">
        <v>3</v>
      </c>
      <c r="Q964" s="14"/>
      <c r="R964" s="12" t="n">
        <f aca="false">IF(OR(N964="",P964=""),"",ROUND(N964*O964/P964,1))</f>
        <v>2</v>
      </c>
      <c r="S964" s="13" t="n">
        <f aca="false">IF(R964="","",IF(Q964="Y",1,IF(P964&gt;='Read me'!$B$16,3,IF(AND(R964&gt;='Read me'!$B$14,P964&lt;='Read me'!$B$15),1,2))))</f>
        <v>2</v>
      </c>
    </row>
    <row r="965" customFormat="false" ht="23.85" hidden="false" customHeight="false" outlineLevel="0" collapsed="false">
      <c r="A965" s="11" t="s">
        <v>6098</v>
      </c>
      <c r="B965" s="11" t="s">
        <v>39</v>
      </c>
      <c r="C965" s="11" t="s">
        <v>232</v>
      </c>
      <c r="D965" s="11" t="s">
        <v>233</v>
      </c>
      <c r="E965" s="11" t="s">
        <v>1187</v>
      </c>
      <c r="F965" s="11" t="s">
        <v>6099</v>
      </c>
      <c r="G965" s="11" t="s">
        <v>6100</v>
      </c>
      <c r="H965" s="11" t="s">
        <v>6101</v>
      </c>
      <c r="I965" s="11" t="s">
        <v>6102</v>
      </c>
      <c r="J965" s="11" t="s">
        <v>6103</v>
      </c>
      <c r="K965" s="11" t="s">
        <v>6104</v>
      </c>
      <c r="L965" s="11" t="s">
        <v>6105</v>
      </c>
      <c r="M965" s="11"/>
      <c r="N965" s="14" t="n">
        <v>2</v>
      </c>
      <c r="O965" s="14" t="n">
        <v>3</v>
      </c>
      <c r="P965" s="14" t="n">
        <v>3</v>
      </c>
      <c r="Q965" s="14"/>
      <c r="R965" s="12" t="n">
        <f aca="false">IF(OR(N965="",P965=""),"",ROUND(N965*O965/P965,1))</f>
        <v>2</v>
      </c>
      <c r="S965" s="13" t="n">
        <f aca="false">IF(R965="","",IF(Q965="Y",1,IF(P965&gt;='Read me'!$B$16,3,IF(AND(R965&gt;='Read me'!$B$14,P965&lt;='Read me'!$B$15),1,2))))</f>
        <v>2</v>
      </c>
    </row>
    <row r="966" customFormat="false" ht="23.85" hidden="false" customHeight="false" outlineLevel="0" collapsed="false">
      <c r="A966" s="11" t="s">
        <v>6106</v>
      </c>
      <c r="B966" s="11" t="s">
        <v>39</v>
      </c>
      <c r="C966" s="11" t="s">
        <v>232</v>
      </c>
      <c r="D966" s="11" t="s">
        <v>233</v>
      </c>
      <c r="E966" s="11" t="s">
        <v>1187</v>
      </c>
      <c r="F966" s="11" t="s">
        <v>6107</v>
      </c>
      <c r="G966" s="11" t="s">
        <v>6108</v>
      </c>
      <c r="H966" s="11"/>
      <c r="I966" s="11" t="s">
        <v>512</v>
      </c>
      <c r="J966" s="11" t="s">
        <v>6109</v>
      </c>
      <c r="K966" s="11" t="s">
        <v>6110</v>
      </c>
      <c r="L966" s="11" t="s">
        <v>6111</v>
      </c>
      <c r="M966" s="11"/>
      <c r="N966" s="14" t="n">
        <v>1</v>
      </c>
      <c r="O966" s="14" t="n">
        <v>3</v>
      </c>
      <c r="P966" s="14" t="n">
        <v>2</v>
      </c>
      <c r="Q966" s="14"/>
      <c r="R966" s="12" t="n">
        <f aca="false">IF(OR(N966="",P966=""),"",ROUND(N966*O966/P966,1))</f>
        <v>1.5</v>
      </c>
      <c r="S966" s="13" t="n">
        <f aca="false">IF(R966="","",IF(Q966="Y",1,IF(P966&gt;='Read me'!$B$16,3,IF(AND(R966&gt;='Read me'!$B$14,P966&lt;='Read me'!$B$15),1,2))))</f>
        <v>2</v>
      </c>
    </row>
    <row r="967" customFormat="false" ht="46.25" hidden="false" customHeight="false" outlineLevel="0" collapsed="false">
      <c r="A967" s="11" t="s">
        <v>6112</v>
      </c>
      <c r="B967" s="11" t="s">
        <v>39</v>
      </c>
      <c r="C967" s="11" t="s">
        <v>232</v>
      </c>
      <c r="D967" s="11" t="s">
        <v>233</v>
      </c>
      <c r="E967" s="11" t="s">
        <v>1187</v>
      </c>
      <c r="F967" s="11" t="s">
        <v>6113</v>
      </c>
      <c r="G967" s="11" t="s">
        <v>6114</v>
      </c>
      <c r="H967" s="11"/>
      <c r="I967" s="11" t="s">
        <v>6115</v>
      </c>
      <c r="J967" s="11" t="s">
        <v>6116</v>
      </c>
      <c r="K967" s="11" t="s">
        <v>6117</v>
      </c>
      <c r="L967" s="11" t="s">
        <v>6118</v>
      </c>
      <c r="M967" s="11" t="s">
        <v>6119</v>
      </c>
      <c r="N967" s="14" t="n">
        <v>2</v>
      </c>
      <c r="O967" s="14" t="n">
        <v>3</v>
      </c>
      <c r="P967" s="14" t="n">
        <v>4</v>
      </c>
      <c r="Q967" s="14"/>
      <c r="R967" s="12" t="n">
        <f aca="false">IF(OR(N967="",P967=""),"",ROUND(N967*O967/P967,1))</f>
        <v>1.5</v>
      </c>
      <c r="S967" s="13" t="n">
        <f aca="false">IF(R967="","",IF(Q967="Y",1,IF(P967&gt;='Read me'!$B$16,3,IF(AND(R967&gt;='Read me'!$B$14,P967&lt;='Read me'!$B$15),1,2))))</f>
        <v>3</v>
      </c>
    </row>
    <row r="968" customFormat="false" ht="23.85" hidden="false" customHeight="false" outlineLevel="0" collapsed="false">
      <c r="A968" s="11" t="s">
        <v>6120</v>
      </c>
      <c r="B968" s="11" t="s">
        <v>39</v>
      </c>
      <c r="C968" s="11" t="s">
        <v>232</v>
      </c>
      <c r="D968" s="11" t="s">
        <v>233</v>
      </c>
      <c r="E968" s="11" t="s">
        <v>1187</v>
      </c>
      <c r="F968" s="11" t="s">
        <v>6121</v>
      </c>
      <c r="G968" s="11" t="s">
        <v>6122</v>
      </c>
      <c r="H968" s="11"/>
      <c r="I968" s="11" t="s">
        <v>6123</v>
      </c>
      <c r="J968" s="11" t="s">
        <v>6124</v>
      </c>
      <c r="K968" s="11" t="s">
        <v>6125</v>
      </c>
      <c r="L968" s="11" t="s">
        <v>6126</v>
      </c>
      <c r="M968" s="11"/>
      <c r="N968" s="14" t="n">
        <v>2</v>
      </c>
      <c r="O968" s="14" t="n">
        <v>2</v>
      </c>
      <c r="P968" s="14" t="n">
        <v>2</v>
      </c>
      <c r="Q968" s="14"/>
      <c r="R968" s="12" t="n">
        <f aca="false">IF(OR(N968="",P968=""),"",ROUND(N968*O968/P968,1))</f>
        <v>2</v>
      </c>
      <c r="S968" s="13" t="n">
        <f aca="false">IF(R968="","",IF(Q968="Y",1,IF(P968&gt;='Read me'!$B$16,3,IF(AND(R968&gt;='Read me'!$B$14,P968&lt;='Read me'!$B$15),1,2))))</f>
        <v>2</v>
      </c>
    </row>
    <row r="969" customFormat="false" ht="23.85" hidden="false" customHeight="false" outlineLevel="0" collapsed="false">
      <c r="A969" s="11" t="s">
        <v>6127</v>
      </c>
      <c r="B969" s="11" t="s">
        <v>39</v>
      </c>
      <c r="C969" s="11" t="s">
        <v>232</v>
      </c>
      <c r="D969" s="11" t="s">
        <v>233</v>
      </c>
      <c r="E969" s="11" t="s">
        <v>1133</v>
      </c>
      <c r="F969" s="11" t="s">
        <v>6128</v>
      </c>
      <c r="G969" s="11" t="s">
        <v>6129</v>
      </c>
      <c r="H969" s="11"/>
      <c r="I969" s="11" t="s">
        <v>512</v>
      </c>
      <c r="J969" s="11" t="s">
        <v>6130</v>
      </c>
      <c r="K969" s="11" t="s">
        <v>6131</v>
      </c>
      <c r="L969" s="11" t="s">
        <v>6132</v>
      </c>
      <c r="M969" s="11"/>
      <c r="N969" s="14" t="n">
        <v>4</v>
      </c>
      <c r="O969" s="14" t="n">
        <v>4</v>
      </c>
      <c r="P969" s="14" t="n">
        <v>1</v>
      </c>
      <c r="Q969" s="14"/>
      <c r="R969" s="12" t="n">
        <f aca="false">IF(OR(N969="",P969=""),"",ROUND(N969*O969/P969,1))</f>
        <v>16</v>
      </c>
      <c r="S969" s="13" t="n">
        <f aca="false">IF(R969="","",IF(Q969="Y",1,IF(P969&gt;='Read me'!$B$16,3,IF(AND(R969&gt;='Read me'!$B$14,P969&lt;='Read me'!$B$15),1,2))))</f>
        <v>1</v>
      </c>
    </row>
    <row r="970" customFormat="false" ht="23.85" hidden="false" customHeight="false" outlineLevel="0" collapsed="false">
      <c r="A970" s="11" t="s">
        <v>6133</v>
      </c>
      <c r="B970" s="11" t="s">
        <v>39</v>
      </c>
      <c r="C970" s="11" t="s">
        <v>232</v>
      </c>
      <c r="D970" s="11" t="s">
        <v>233</v>
      </c>
      <c r="E970" s="11" t="s">
        <v>1372</v>
      </c>
      <c r="F970" s="11" t="s">
        <v>6134</v>
      </c>
      <c r="G970" s="11" t="s">
        <v>5950</v>
      </c>
      <c r="H970" s="11"/>
      <c r="I970" s="11" t="s">
        <v>6135</v>
      </c>
      <c r="J970" s="11" t="s">
        <v>6136</v>
      </c>
      <c r="K970" s="11" t="s">
        <v>6137</v>
      </c>
      <c r="L970" s="11" t="s">
        <v>6138</v>
      </c>
      <c r="M970" s="11"/>
      <c r="N970" s="14" t="n">
        <v>2</v>
      </c>
      <c r="O970" s="14" t="n">
        <v>3</v>
      </c>
      <c r="P970" s="14" t="n">
        <v>1</v>
      </c>
      <c r="Q970" s="14"/>
      <c r="R970" s="12" t="n">
        <f aca="false">IF(OR(N970="",P970=""),"",ROUND(N970*O970/P970,1))</f>
        <v>6</v>
      </c>
      <c r="S970" s="13" t="n">
        <f aca="false">IF(R970="","",IF(Q970="Y",1,IF(P970&gt;='Read me'!$B$16,3,IF(AND(R970&gt;='Read me'!$B$14,P970&lt;='Read me'!$B$15),1,2))))</f>
        <v>1</v>
      </c>
    </row>
    <row r="971" customFormat="false" ht="23.85" hidden="false" customHeight="false" outlineLevel="0" collapsed="false">
      <c r="A971" s="11" t="s">
        <v>6139</v>
      </c>
      <c r="B971" s="11" t="s">
        <v>39</v>
      </c>
      <c r="C971" s="11" t="s">
        <v>236</v>
      </c>
      <c r="D971" s="11" t="s">
        <v>237</v>
      </c>
      <c r="E971" s="11" t="s">
        <v>476</v>
      </c>
      <c r="F971" s="11" t="s">
        <v>6140</v>
      </c>
      <c r="G971" s="11" t="s">
        <v>6141</v>
      </c>
      <c r="H971" s="11"/>
      <c r="I971" s="11" t="s">
        <v>6142</v>
      </c>
      <c r="J971" s="11" t="s">
        <v>6143</v>
      </c>
      <c r="K971" s="11" t="s">
        <v>6144</v>
      </c>
      <c r="L971" s="11" t="s">
        <v>6145</v>
      </c>
      <c r="M971" s="11"/>
      <c r="N971" s="14" t="n">
        <v>4</v>
      </c>
      <c r="O971" s="14" t="n">
        <v>5</v>
      </c>
      <c r="P971" s="14" t="n">
        <v>2</v>
      </c>
      <c r="Q971" s="14"/>
      <c r="R971" s="12" t="n">
        <f aca="false">IF(OR(N971="",P971=""),"",ROUND(N971*O971/P971,1))</f>
        <v>10</v>
      </c>
      <c r="S971" s="13" t="n">
        <f aca="false">IF(R971="","",IF(Q971="Y",1,IF(P971&gt;='Read me'!$B$16,3,IF(AND(R971&gt;='Read me'!$B$14,P971&lt;='Read me'!$B$15),1,2))))</f>
        <v>1</v>
      </c>
    </row>
    <row r="972" customFormat="false" ht="35.05" hidden="false" customHeight="false" outlineLevel="0" collapsed="false">
      <c r="A972" s="11" t="s">
        <v>6146</v>
      </c>
      <c r="B972" s="11" t="s">
        <v>39</v>
      </c>
      <c r="C972" s="11" t="s">
        <v>236</v>
      </c>
      <c r="D972" s="11" t="s">
        <v>237</v>
      </c>
      <c r="E972" s="11" t="s">
        <v>476</v>
      </c>
      <c r="F972" s="11" t="s">
        <v>6147</v>
      </c>
      <c r="G972" s="11" t="s">
        <v>6148</v>
      </c>
      <c r="H972" s="11"/>
      <c r="I972" s="11" t="s">
        <v>512</v>
      </c>
      <c r="J972" s="11" t="s">
        <v>6149</v>
      </c>
      <c r="K972" s="11" t="s">
        <v>5519</v>
      </c>
      <c r="L972" s="11" t="s">
        <v>5842</v>
      </c>
      <c r="M972" s="11" t="s">
        <v>4716</v>
      </c>
      <c r="N972" s="14" t="n">
        <v>2</v>
      </c>
      <c r="O972" s="14" t="n">
        <v>3</v>
      </c>
      <c r="P972" s="14" t="n">
        <v>1</v>
      </c>
      <c r="Q972" s="14"/>
      <c r="R972" s="12" t="n">
        <f aca="false">IF(OR(N972="",P972=""),"",ROUND(N972*O972/P972,1))</f>
        <v>6</v>
      </c>
      <c r="S972" s="13" t="n">
        <f aca="false">IF(R972="","",IF(Q972="Y",1,IF(P972&gt;='Read me'!$B$16,3,IF(AND(R972&gt;='Read me'!$B$14,P972&lt;='Read me'!$B$15),1,2))))</f>
        <v>1</v>
      </c>
    </row>
    <row r="973" customFormat="false" ht="23.85" hidden="false" customHeight="false" outlineLevel="0" collapsed="false">
      <c r="A973" s="11" t="s">
        <v>6150</v>
      </c>
      <c r="B973" s="11" t="s">
        <v>39</v>
      </c>
      <c r="C973" s="11" t="s">
        <v>236</v>
      </c>
      <c r="D973" s="11" t="s">
        <v>237</v>
      </c>
      <c r="E973" s="11" t="s">
        <v>532</v>
      </c>
      <c r="F973" s="11" t="s">
        <v>6151</v>
      </c>
      <c r="G973" s="11" t="s">
        <v>6152</v>
      </c>
      <c r="H973" s="11"/>
      <c r="I973" s="11" t="s">
        <v>6153</v>
      </c>
      <c r="J973" s="11" t="s">
        <v>6154</v>
      </c>
      <c r="K973" s="11" t="s">
        <v>5368</v>
      </c>
      <c r="L973" s="11" t="s">
        <v>6155</v>
      </c>
      <c r="M973" s="11"/>
      <c r="N973" s="14" t="n">
        <v>4</v>
      </c>
      <c r="O973" s="14" t="n">
        <v>4</v>
      </c>
      <c r="P973" s="14" t="n">
        <v>2</v>
      </c>
      <c r="Q973" s="14"/>
      <c r="R973" s="12" t="n">
        <f aca="false">IF(OR(N973="",P973=""),"",ROUND(N973*O973/P973,1))</f>
        <v>8</v>
      </c>
      <c r="S973" s="13" t="n">
        <f aca="false">IF(R973="","",IF(Q973="Y",1,IF(P973&gt;='Read me'!$B$16,3,IF(AND(R973&gt;='Read me'!$B$14,P973&lt;='Read me'!$B$15),1,2))))</f>
        <v>1</v>
      </c>
    </row>
    <row r="974" customFormat="false" ht="23.85" hidden="false" customHeight="false" outlineLevel="0" collapsed="false">
      <c r="A974" s="11" t="s">
        <v>6156</v>
      </c>
      <c r="B974" s="11" t="s">
        <v>39</v>
      </c>
      <c r="C974" s="11" t="s">
        <v>236</v>
      </c>
      <c r="D974" s="11" t="s">
        <v>237</v>
      </c>
      <c r="E974" s="11" t="s">
        <v>532</v>
      </c>
      <c r="F974" s="11" t="s">
        <v>6157</v>
      </c>
      <c r="G974" s="11" t="s">
        <v>6158</v>
      </c>
      <c r="H974" s="11"/>
      <c r="I974" s="11" t="s">
        <v>6159</v>
      </c>
      <c r="J974" s="11" t="s">
        <v>6160</v>
      </c>
      <c r="K974" s="11" t="s">
        <v>6161</v>
      </c>
      <c r="L974" s="11" t="s">
        <v>6162</v>
      </c>
      <c r="M974" s="11" t="s">
        <v>6163</v>
      </c>
      <c r="N974" s="14" t="n">
        <v>3</v>
      </c>
      <c r="O974" s="14" t="n">
        <v>3</v>
      </c>
      <c r="P974" s="14" t="n">
        <v>3</v>
      </c>
      <c r="Q974" s="14"/>
      <c r="R974" s="12" t="n">
        <f aca="false">IF(OR(N974="",P974=""),"",ROUND(N974*O974/P974,1))</f>
        <v>3</v>
      </c>
      <c r="S974" s="13" t="n">
        <f aca="false">IF(R974="","",IF(Q974="Y",1,IF(P974&gt;='Read me'!$B$16,3,IF(AND(R974&gt;='Read me'!$B$14,P974&lt;='Read me'!$B$15),1,2))))</f>
        <v>2</v>
      </c>
    </row>
    <row r="975" customFormat="false" ht="23.85" hidden="false" customHeight="false" outlineLevel="0" collapsed="false">
      <c r="A975" s="11" t="s">
        <v>6164</v>
      </c>
      <c r="B975" s="11" t="s">
        <v>39</v>
      </c>
      <c r="C975" s="11" t="s">
        <v>236</v>
      </c>
      <c r="D975" s="11" t="s">
        <v>237</v>
      </c>
      <c r="E975" s="11" t="s">
        <v>626</v>
      </c>
      <c r="F975" s="11" t="s">
        <v>6165</v>
      </c>
      <c r="G975" s="11" t="s">
        <v>6166</v>
      </c>
      <c r="H975" s="11"/>
      <c r="I975" s="11" t="s">
        <v>6167</v>
      </c>
      <c r="J975" s="11" t="s">
        <v>6168</v>
      </c>
      <c r="K975" s="11" t="s">
        <v>1322</v>
      </c>
      <c r="L975" s="11" t="s">
        <v>6169</v>
      </c>
      <c r="M975" s="11" t="s">
        <v>4885</v>
      </c>
      <c r="N975" s="14" t="n">
        <v>4</v>
      </c>
      <c r="O975" s="14" t="n">
        <v>3</v>
      </c>
      <c r="P975" s="14" t="n">
        <v>2</v>
      </c>
      <c r="Q975" s="14"/>
      <c r="R975" s="12" t="n">
        <f aca="false">IF(OR(N975="",P975=""),"",ROUND(N975*O975/P975,1))</f>
        <v>6</v>
      </c>
      <c r="S975" s="13" t="n">
        <f aca="false">IF(R975="","",IF(Q975="Y",1,IF(P975&gt;='Read me'!$B$16,3,IF(AND(R975&gt;='Read me'!$B$14,P975&lt;='Read me'!$B$15),1,2))))</f>
        <v>1</v>
      </c>
    </row>
    <row r="976" customFormat="false" ht="46.25" hidden="false" customHeight="false" outlineLevel="0" collapsed="false">
      <c r="A976" s="11" t="s">
        <v>6170</v>
      </c>
      <c r="B976" s="11" t="s">
        <v>39</v>
      </c>
      <c r="C976" s="11" t="s">
        <v>236</v>
      </c>
      <c r="D976" s="11" t="s">
        <v>237</v>
      </c>
      <c r="E976" s="11" t="s">
        <v>626</v>
      </c>
      <c r="F976" s="11" t="s">
        <v>6171</v>
      </c>
      <c r="G976" s="11" t="s">
        <v>6172</v>
      </c>
      <c r="H976" s="11"/>
      <c r="I976" s="11" t="s">
        <v>6173</v>
      </c>
      <c r="J976" s="11" t="s">
        <v>6174</v>
      </c>
      <c r="K976" s="11" t="s">
        <v>5430</v>
      </c>
      <c r="L976" s="11" t="s">
        <v>6175</v>
      </c>
      <c r="M976" s="11" t="s">
        <v>5507</v>
      </c>
      <c r="N976" s="14" t="n">
        <v>3</v>
      </c>
      <c r="O976" s="14" t="n">
        <v>3</v>
      </c>
      <c r="P976" s="14" t="n">
        <v>3</v>
      </c>
      <c r="Q976" s="14"/>
      <c r="R976" s="12" t="n">
        <f aca="false">IF(OR(N976="",P976=""),"",ROUND(N976*O976/P976,1))</f>
        <v>3</v>
      </c>
      <c r="S976" s="13" t="n">
        <f aca="false">IF(R976="","",IF(Q976="Y",1,IF(P976&gt;='Read me'!$B$16,3,IF(AND(R976&gt;='Read me'!$B$14,P976&lt;='Read me'!$B$15),1,2))))</f>
        <v>2</v>
      </c>
    </row>
    <row r="977" customFormat="false" ht="35.05" hidden="false" customHeight="false" outlineLevel="0" collapsed="false">
      <c r="A977" s="11" t="s">
        <v>6176</v>
      </c>
      <c r="B977" s="11" t="s">
        <v>39</v>
      </c>
      <c r="C977" s="11" t="s">
        <v>236</v>
      </c>
      <c r="D977" s="11" t="s">
        <v>237</v>
      </c>
      <c r="E977" s="11" t="s">
        <v>626</v>
      </c>
      <c r="F977" s="11" t="s">
        <v>6177</v>
      </c>
      <c r="G977" s="11" t="s">
        <v>6178</v>
      </c>
      <c r="H977" s="11" t="s">
        <v>6179</v>
      </c>
      <c r="I977" s="11" t="s">
        <v>6180</v>
      </c>
      <c r="J977" s="11" t="s">
        <v>6181</v>
      </c>
      <c r="K977" s="11" t="s">
        <v>6182</v>
      </c>
      <c r="L977" s="11" t="s">
        <v>6183</v>
      </c>
      <c r="M977" s="11"/>
      <c r="N977" s="14" t="n">
        <v>2</v>
      </c>
      <c r="O977" s="14" t="n">
        <v>2</v>
      </c>
      <c r="P977" s="14" t="n">
        <v>2</v>
      </c>
      <c r="Q977" s="14"/>
      <c r="R977" s="12" t="n">
        <f aca="false">IF(OR(N977="",P977=""),"",ROUND(N977*O977/P977,1))</f>
        <v>2</v>
      </c>
      <c r="S977" s="13" t="n">
        <f aca="false">IF(R977="","",IF(Q977="Y",1,IF(P977&gt;='Read me'!$B$16,3,IF(AND(R977&gt;='Read me'!$B$14,P977&lt;='Read me'!$B$15),1,2))))</f>
        <v>2</v>
      </c>
    </row>
    <row r="978" customFormat="false" ht="23.85" hidden="false" customHeight="false" outlineLevel="0" collapsed="false">
      <c r="A978" s="11" t="s">
        <v>6184</v>
      </c>
      <c r="B978" s="11" t="s">
        <v>39</v>
      </c>
      <c r="C978" s="11" t="s">
        <v>236</v>
      </c>
      <c r="D978" s="11" t="s">
        <v>237</v>
      </c>
      <c r="E978" s="11" t="s">
        <v>626</v>
      </c>
      <c r="F978" s="11" t="s">
        <v>6185</v>
      </c>
      <c r="G978" s="11" t="s">
        <v>6186</v>
      </c>
      <c r="H978" s="11"/>
      <c r="I978" s="11" t="s">
        <v>6187</v>
      </c>
      <c r="J978" s="11" t="s">
        <v>6188</v>
      </c>
      <c r="K978" s="11" t="s">
        <v>4977</v>
      </c>
      <c r="L978" s="11" t="s">
        <v>6189</v>
      </c>
      <c r="M978" s="11"/>
      <c r="N978" s="14" t="n">
        <v>2</v>
      </c>
      <c r="O978" s="14" t="n">
        <v>2</v>
      </c>
      <c r="P978" s="14" t="n">
        <v>2</v>
      </c>
      <c r="Q978" s="14"/>
      <c r="R978" s="12" t="n">
        <f aca="false">IF(OR(N978="",P978=""),"",ROUND(N978*O978/P978,1))</f>
        <v>2</v>
      </c>
      <c r="S978" s="13" t="n">
        <f aca="false">IF(R978="","",IF(Q978="Y",1,IF(P978&gt;='Read me'!$B$16,3,IF(AND(R978&gt;='Read me'!$B$14,P978&lt;='Read me'!$B$15),1,2))))</f>
        <v>2</v>
      </c>
    </row>
    <row r="979" customFormat="false" ht="35.05" hidden="false" customHeight="false" outlineLevel="0" collapsed="false">
      <c r="A979" s="11" t="s">
        <v>6190</v>
      </c>
      <c r="B979" s="11" t="s">
        <v>39</v>
      </c>
      <c r="C979" s="11" t="s">
        <v>236</v>
      </c>
      <c r="D979" s="11" t="s">
        <v>237</v>
      </c>
      <c r="E979" s="11" t="s">
        <v>751</v>
      </c>
      <c r="F979" s="11" t="s">
        <v>6191</v>
      </c>
      <c r="G979" s="11" t="s">
        <v>1252</v>
      </c>
      <c r="H979" s="11"/>
      <c r="I979" s="11" t="s">
        <v>5885</v>
      </c>
      <c r="J979" s="11" t="s">
        <v>6192</v>
      </c>
      <c r="K979" s="11" t="s">
        <v>1254</v>
      </c>
      <c r="L979" s="11" t="s">
        <v>6193</v>
      </c>
      <c r="M979" s="11" t="s">
        <v>1577</v>
      </c>
      <c r="N979" s="14" t="n">
        <v>4</v>
      </c>
      <c r="O979" s="14" t="n">
        <v>5</v>
      </c>
      <c r="P979" s="14" t="n">
        <v>4</v>
      </c>
      <c r="Q979" s="14"/>
      <c r="R979" s="12" t="n">
        <f aca="false">IF(OR(N979="",P979=""),"",ROUND(N979*O979/P979,1))</f>
        <v>5</v>
      </c>
      <c r="S979" s="13" t="n">
        <f aca="false">IF(R979="","",IF(Q979="Y",1,IF(P979&gt;='Read me'!$B$16,3,IF(AND(R979&gt;='Read me'!$B$14,P979&lt;='Read me'!$B$15),1,2))))</f>
        <v>3</v>
      </c>
    </row>
    <row r="980" customFormat="false" ht="23.85" hidden="false" customHeight="false" outlineLevel="0" collapsed="false">
      <c r="A980" s="11" t="s">
        <v>6194</v>
      </c>
      <c r="B980" s="11" t="s">
        <v>39</v>
      </c>
      <c r="C980" s="11" t="s">
        <v>236</v>
      </c>
      <c r="D980" s="11" t="s">
        <v>237</v>
      </c>
      <c r="E980" s="11" t="s">
        <v>751</v>
      </c>
      <c r="F980" s="11" t="s">
        <v>6191</v>
      </c>
      <c r="G980" s="11" t="s">
        <v>1259</v>
      </c>
      <c r="H980" s="11"/>
      <c r="I980" s="11" t="s">
        <v>5735</v>
      </c>
      <c r="J980" s="11" t="s">
        <v>3198</v>
      </c>
      <c r="K980" s="11" t="s">
        <v>1262</v>
      </c>
      <c r="L980" s="11" t="s">
        <v>6195</v>
      </c>
      <c r="M980" s="11" t="s">
        <v>1577</v>
      </c>
      <c r="N980" s="14" t="n">
        <v>3</v>
      </c>
      <c r="O980" s="14" t="n">
        <v>4</v>
      </c>
      <c r="P980" s="14" t="n">
        <v>4</v>
      </c>
      <c r="Q980" s="14"/>
      <c r="R980" s="12" t="n">
        <f aca="false">IF(OR(N980="",P980=""),"",ROUND(N980*O980/P980,1))</f>
        <v>3</v>
      </c>
      <c r="S980" s="13" t="n">
        <f aca="false">IF(R980="","",IF(Q980="Y",1,IF(P980&gt;='Read me'!$B$16,3,IF(AND(R980&gt;='Read me'!$B$14,P980&lt;='Read me'!$B$15),1,2))))</f>
        <v>3</v>
      </c>
    </row>
    <row r="981" customFormat="false" ht="23.85" hidden="false" customHeight="false" outlineLevel="0" collapsed="false">
      <c r="A981" s="11" t="s">
        <v>6196</v>
      </c>
      <c r="B981" s="11" t="s">
        <v>39</v>
      </c>
      <c r="C981" s="11" t="s">
        <v>236</v>
      </c>
      <c r="D981" s="11" t="s">
        <v>237</v>
      </c>
      <c r="E981" s="11" t="s">
        <v>751</v>
      </c>
      <c r="F981" s="11" t="s">
        <v>6191</v>
      </c>
      <c r="G981" s="11" t="s">
        <v>1299</v>
      </c>
      <c r="H981" s="11" t="s">
        <v>6197</v>
      </c>
      <c r="I981" s="11" t="s">
        <v>754</v>
      </c>
      <c r="J981" s="11" t="s">
        <v>6198</v>
      </c>
      <c r="K981" s="11" t="s">
        <v>1959</v>
      </c>
      <c r="L981" s="11" t="s">
        <v>6199</v>
      </c>
      <c r="M981" s="11"/>
      <c r="N981" s="14" t="n">
        <v>3</v>
      </c>
      <c r="O981" s="14" t="n">
        <v>3</v>
      </c>
      <c r="P981" s="14" t="n">
        <v>4</v>
      </c>
      <c r="Q981" s="14"/>
      <c r="R981" s="12" t="n">
        <f aca="false">IF(OR(N981="",P981=""),"",ROUND(N981*O981/P981,1))</f>
        <v>2.3</v>
      </c>
      <c r="S981" s="13" t="n">
        <f aca="false">IF(R981="","",IF(Q981="Y",1,IF(P981&gt;='Read me'!$B$16,3,IF(AND(R981&gt;='Read me'!$B$14,P981&lt;='Read me'!$B$15),1,2))))</f>
        <v>3</v>
      </c>
    </row>
    <row r="982" customFormat="false" ht="35.05" hidden="false" customHeight="false" outlineLevel="0" collapsed="false">
      <c r="A982" s="11" t="s">
        <v>6200</v>
      </c>
      <c r="B982" s="11" t="s">
        <v>39</v>
      </c>
      <c r="C982" s="11" t="s">
        <v>236</v>
      </c>
      <c r="D982" s="11" t="s">
        <v>237</v>
      </c>
      <c r="E982" s="11" t="s">
        <v>751</v>
      </c>
      <c r="F982" s="11" t="s">
        <v>6191</v>
      </c>
      <c r="G982" s="11" t="s">
        <v>6201</v>
      </c>
      <c r="H982" s="11" t="s">
        <v>6202</v>
      </c>
      <c r="I982" s="11" t="s">
        <v>754</v>
      </c>
      <c r="J982" s="11" t="s">
        <v>6203</v>
      </c>
      <c r="K982" s="11" t="s">
        <v>2887</v>
      </c>
      <c r="L982" s="11" t="s">
        <v>6204</v>
      </c>
      <c r="M982" s="11"/>
      <c r="N982" s="14" t="n">
        <v>2</v>
      </c>
      <c r="O982" s="14" t="n">
        <v>3</v>
      </c>
      <c r="P982" s="14" t="n">
        <v>4</v>
      </c>
      <c r="Q982" s="14"/>
      <c r="R982" s="12" t="n">
        <f aca="false">IF(OR(N982="",P982=""),"",ROUND(N982*O982/P982,1))</f>
        <v>1.5</v>
      </c>
      <c r="S982" s="13" t="n">
        <f aca="false">IF(R982="","",IF(Q982="Y",1,IF(P982&gt;='Read me'!$B$16,3,IF(AND(R982&gt;='Read me'!$B$14,P982&lt;='Read me'!$B$15),1,2))))</f>
        <v>3</v>
      </c>
    </row>
    <row r="983" customFormat="false" ht="23.85" hidden="false" customHeight="false" outlineLevel="0" collapsed="false">
      <c r="A983" s="11" t="s">
        <v>6205</v>
      </c>
      <c r="B983" s="11" t="s">
        <v>39</v>
      </c>
      <c r="C983" s="11" t="s">
        <v>236</v>
      </c>
      <c r="D983" s="11" t="s">
        <v>237</v>
      </c>
      <c r="E983" s="11" t="s">
        <v>751</v>
      </c>
      <c r="F983" s="11" t="s">
        <v>6191</v>
      </c>
      <c r="G983" s="11" t="s">
        <v>6206</v>
      </c>
      <c r="H983" s="11" t="s">
        <v>612</v>
      </c>
      <c r="I983" s="11" t="s">
        <v>5142</v>
      </c>
      <c r="J983" s="11" t="s">
        <v>6207</v>
      </c>
      <c r="K983" s="11" t="s">
        <v>2887</v>
      </c>
      <c r="L983" s="11" t="s">
        <v>6208</v>
      </c>
      <c r="M983" s="11"/>
      <c r="N983" s="14" t="n">
        <v>2</v>
      </c>
      <c r="O983" s="14" t="n">
        <v>2</v>
      </c>
      <c r="P983" s="14" t="n">
        <v>3</v>
      </c>
      <c r="Q983" s="14"/>
      <c r="R983" s="12" t="n">
        <f aca="false">IF(OR(N983="",P983=""),"",ROUND(N983*O983/P983,1))</f>
        <v>1.3</v>
      </c>
      <c r="S983" s="13" t="n">
        <f aca="false">IF(R983="","",IF(Q983="Y",1,IF(P983&gt;='Read me'!$B$16,3,IF(AND(R983&gt;='Read me'!$B$14,P983&lt;='Read me'!$B$15),1,2))))</f>
        <v>2</v>
      </c>
    </row>
    <row r="984" customFormat="false" ht="23.85" hidden="false" customHeight="false" outlineLevel="0" collapsed="false">
      <c r="A984" s="11" t="s">
        <v>6209</v>
      </c>
      <c r="B984" s="11" t="s">
        <v>39</v>
      </c>
      <c r="C984" s="11" t="s">
        <v>236</v>
      </c>
      <c r="D984" s="11" t="s">
        <v>237</v>
      </c>
      <c r="E984" s="11" t="s">
        <v>751</v>
      </c>
      <c r="F984" s="11" t="s">
        <v>6191</v>
      </c>
      <c r="G984" s="11" t="s">
        <v>6210</v>
      </c>
      <c r="H984" s="11" t="s">
        <v>6211</v>
      </c>
      <c r="I984" s="11" t="s">
        <v>6212</v>
      </c>
      <c r="J984" s="11" t="s">
        <v>6213</v>
      </c>
      <c r="K984" s="11" t="s">
        <v>935</v>
      </c>
      <c r="L984" s="11" t="s">
        <v>6214</v>
      </c>
      <c r="M984" s="11"/>
      <c r="N984" s="14" t="n">
        <v>1</v>
      </c>
      <c r="O984" s="14" t="n">
        <v>2</v>
      </c>
      <c r="P984" s="14" t="n">
        <v>3</v>
      </c>
      <c r="Q984" s="14"/>
      <c r="R984" s="12" t="n">
        <f aca="false">IF(OR(N984="",P984=""),"",ROUND(N984*O984/P984,1))</f>
        <v>0.7</v>
      </c>
      <c r="S984" s="13" t="n">
        <f aca="false">IF(R984="","",IF(Q984="Y",1,IF(P984&gt;='Read me'!$B$16,3,IF(AND(R984&gt;='Read me'!$B$14,P984&lt;='Read me'!$B$15),1,2))))</f>
        <v>2</v>
      </c>
    </row>
    <row r="985" customFormat="false" ht="15" hidden="false" customHeight="false" outlineLevel="0" collapsed="false">
      <c r="A985" s="11" t="s">
        <v>6215</v>
      </c>
      <c r="B985" s="11" t="s">
        <v>39</v>
      </c>
      <c r="C985" s="11" t="s">
        <v>236</v>
      </c>
      <c r="D985" s="11" t="s">
        <v>237</v>
      </c>
      <c r="E985" s="11" t="s">
        <v>765</v>
      </c>
      <c r="F985" s="11" t="s">
        <v>5271</v>
      </c>
      <c r="G985" s="11" t="s">
        <v>6216</v>
      </c>
      <c r="H985" s="11"/>
      <c r="I985" s="11" t="s">
        <v>6217</v>
      </c>
      <c r="J985" s="11" t="s">
        <v>6218</v>
      </c>
      <c r="K985" s="11" t="s">
        <v>4825</v>
      </c>
      <c r="L985" s="11" t="s">
        <v>6219</v>
      </c>
      <c r="M985" s="11"/>
      <c r="N985" s="14" t="n">
        <v>4</v>
      </c>
      <c r="O985" s="14" t="n">
        <v>3</v>
      </c>
      <c r="P985" s="14" t="n">
        <v>1</v>
      </c>
      <c r="Q985" s="14"/>
      <c r="R985" s="12" t="n">
        <f aca="false">IF(OR(N985="",P985=""),"",ROUND(N985*O985/P985,1))</f>
        <v>12</v>
      </c>
      <c r="S985" s="13" t="n">
        <f aca="false">IF(R985="","",IF(Q985="Y",1,IF(P985&gt;='Read me'!$B$16,3,IF(AND(R985&gt;='Read me'!$B$14,P985&lt;='Read me'!$B$15),1,2))))</f>
        <v>1</v>
      </c>
    </row>
    <row r="986" customFormat="false" ht="23.85" hidden="false" customHeight="false" outlineLevel="0" collapsed="false">
      <c r="A986" s="11" t="s">
        <v>6220</v>
      </c>
      <c r="B986" s="11" t="s">
        <v>39</v>
      </c>
      <c r="C986" s="11" t="s">
        <v>236</v>
      </c>
      <c r="D986" s="11" t="s">
        <v>237</v>
      </c>
      <c r="E986" s="11" t="s">
        <v>765</v>
      </c>
      <c r="F986" s="11" t="s">
        <v>4816</v>
      </c>
      <c r="G986" s="11" t="s">
        <v>5763</v>
      </c>
      <c r="H986" s="11"/>
      <c r="I986" s="11" t="s">
        <v>4817</v>
      </c>
      <c r="J986" s="11" t="s">
        <v>6221</v>
      </c>
      <c r="K986" s="11" t="s">
        <v>4819</v>
      </c>
      <c r="L986" s="11" t="s">
        <v>6222</v>
      </c>
      <c r="M986" s="11"/>
      <c r="N986" s="14" t="n">
        <v>2</v>
      </c>
      <c r="O986" s="14" t="n">
        <v>3</v>
      </c>
      <c r="P986" s="14" t="n">
        <v>3</v>
      </c>
      <c r="Q986" s="14"/>
      <c r="R986" s="12" t="n">
        <f aca="false">IF(OR(N986="",P986=""),"",ROUND(N986*O986/P986,1))</f>
        <v>2</v>
      </c>
      <c r="S986" s="13" t="n">
        <f aca="false">IF(R986="","",IF(Q986="Y",1,IF(P986&gt;='Read me'!$B$16,3,IF(AND(R986&gt;='Read me'!$B$14,P986&lt;='Read me'!$B$15),1,2))))</f>
        <v>2</v>
      </c>
    </row>
    <row r="987" customFormat="false" ht="23.85" hidden="false" customHeight="false" outlineLevel="0" collapsed="false">
      <c r="A987" s="11" t="s">
        <v>6223</v>
      </c>
      <c r="B987" s="11" t="s">
        <v>39</v>
      </c>
      <c r="C987" s="11" t="s">
        <v>236</v>
      </c>
      <c r="D987" s="11" t="s">
        <v>237</v>
      </c>
      <c r="E987" s="11" t="s">
        <v>765</v>
      </c>
      <c r="F987" s="11" t="s">
        <v>6224</v>
      </c>
      <c r="G987" s="11" t="s">
        <v>5763</v>
      </c>
      <c r="H987" s="11"/>
      <c r="I987" s="11" t="s">
        <v>5764</v>
      </c>
      <c r="J987" s="11" t="s">
        <v>6225</v>
      </c>
      <c r="K987" s="11" t="s">
        <v>6226</v>
      </c>
      <c r="L987" s="11" t="s">
        <v>6227</v>
      </c>
      <c r="M987" s="11"/>
      <c r="N987" s="14" t="n">
        <v>2</v>
      </c>
      <c r="O987" s="14" t="n">
        <v>2</v>
      </c>
      <c r="P987" s="14" t="n">
        <v>2</v>
      </c>
      <c r="Q987" s="14"/>
      <c r="R987" s="12" t="n">
        <f aca="false">IF(OR(N987="",P987=""),"",ROUND(N987*O987/P987,1))</f>
        <v>2</v>
      </c>
      <c r="S987" s="13" t="n">
        <f aca="false">IF(R987="","",IF(Q987="Y",1,IF(P987&gt;='Read me'!$B$16,3,IF(AND(R987&gt;='Read me'!$B$14,P987&lt;='Read me'!$B$15),1,2))))</f>
        <v>2</v>
      </c>
    </row>
    <row r="988" customFormat="false" ht="23.85" hidden="false" customHeight="false" outlineLevel="0" collapsed="false">
      <c r="A988" s="11" t="s">
        <v>6228</v>
      </c>
      <c r="B988" s="11" t="s">
        <v>39</v>
      </c>
      <c r="C988" s="11" t="s">
        <v>236</v>
      </c>
      <c r="D988" s="11" t="s">
        <v>237</v>
      </c>
      <c r="E988" s="11" t="s">
        <v>1187</v>
      </c>
      <c r="F988" s="11" t="s">
        <v>5280</v>
      </c>
      <c r="G988" s="11" t="s">
        <v>6229</v>
      </c>
      <c r="H988" s="11" t="s">
        <v>1700</v>
      </c>
      <c r="I988" s="11" t="s">
        <v>512</v>
      </c>
      <c r="J988" s="11" t="s">
        <v>6230</v>
      </c>
      <c r="K988" s="11" t="s">
        <v>1702</v>
      </c>
      <c r="L988" s="11" t="s">
        <v>5283</v>
      </c>
      <c r="M988" s="11"/>
      <c r="N988" s="14" t="n">
        <v>2</v>
      </c>
      <c r="O988" s="14" t="n">
        <v>3</v>
      </c>
      <c r="P988" s="14" t="n">
        <v>3</v>
      </c>
      <c r="Q988" s="14"/>
      <c r="R988" s="12" t="n">
        <f aca="false">IF(OR(N988="",P988=""),"",ROUND(N988*O988/P988,1))</f>
        <v>2</v>
      </c>
      <c r="S988" s="13" t="n">
        <f aca="false">IF(R988="","",IF(Q988="Y",1,IF(P988&gt;='Read me'!$B$16,3,IF(AND(R988&gt;='Read me'!$B$14,P988&lt;='Read me'!$B$15),1,2))))</f>
        <v>2</v>
      </c>
    </row>
    <row r="989" customFormat="false" ht="23.85" hidden="false" customHeight="false" outlineLevel="0" collapsed="false">
      <c r="A989" s="11" t="s">
        <v>6231</v>
      </c>
      <c r="B989" s="11" t="s">
        <v>39</v>
      </c>
      <c r="C989" s="11" t="s">
        <v>236</v>
      </c>
      <c r="D989" s="11" t="s">
        <v>237</v>
      </c>
      <c r="E989" s="11" t="s">
        <v>1187</v>
      </c>
      <c r="F989" s="11" t="s">
        <v>6232</v>
      </c>
      <c r="G989" s="11" t="s">
        <v>4562</v>
      </c>
      <c r="H989" s="11" t="s">
        <v>6233</v>
      </c>
      <c r="I989" s="11" t="s">
        <v>512</v>
      </c>
      <c r="J989" s="11" t="s">
        <v>6234</v>
      </c>
      <c r="K989" s="11" t="s">
        <v>2887</v>
      </c>
      <c r="L989" s="11" t="s">
        <v>6235</v>
      </c>
      <c r="M989" s="11"/>
      <c r="N989" s="14" t="n">
        <v>1</v>
      </c>
      <c r="O989" s="14" t="n">
        <v>3</v>
      </c>
      <c r="P989" s="14" t="n">
        <v>3</v>
      </c>
      <c r="Q989" s="14"/>
      <c r="R989" s="12" t="n">
        <f aca="false">IF(OR(N989="",P989=""),"",ROUND(N989*O989/P989,1))</f>
        <v>1</v>
      </c>
      <c r="S989" s="13" t="n">
        <f aca="false">IF(R989="","",IF(Q989="Y",1,IF(P989&gt;='Read me'!$B$16,3,IF(AND(R989&gt;='Read me'!$B$14,P989&lt;='Read me'!$B$15),1,2))))</f>
        <v>2</v>
      </c>
    </row>
    <row r="990" customFormat="false" ht="23.85" hidden="false" customHeight="false" outlineLevel="0" collapsed="false">
      <c r="A990" s="11" t="s">
        <v>6236</v>
      </c>
      <c r="B990" s="11" t="s">
        <v>39</v>
      </c>
      <c r="C990" s="11" t="s">
        <v>236</v>
      </c>
      <c r="D990" s="11" t="s">
        <v>237</v>
      </c>
      <c r="E990" s="11" t="s">
        <v>1187</v>
      </c>
      <c r="F990" s="11" t="s">
        <v>5275</v>
      </c>
      <c r="G990" s="11" t="s">
        <v>6237</v>
      </c>
      <c r="H990" s="11" t="s">
        <v>4828</v>
      </c>
      <c r="I990" s="11" t="s">
        <v>6238</v>
      </c>
      <c r="J990" s="11" t="s">
        <v>6239</v>
      </c>
      <c r="K990" s="11" t="s">
        <v>4830</v>
      </c>
      <c r="L990" s="11" t="s">
        <v>6240</v>
      </c>
      <c r="M990" s="11"/>
      <c r="N990" s="14" t="n">
        <v>2</v>
      </c>
      <c r="O990" s="14" t="n">
        <v>3</v>
      </c>
      <c r="P990" s="14" t="n">
        <v>3</v>
      </c>
      <c r="Q990" s="14"/>
      <c r="R990" s="12" t="n">
        <f aca="false">IF(OR(N990="",P990=""),"",ROUND(N990*O990/P990,1))</f>
        <v>2</v>
      </c>
      <c r="S990" s="13" t="n">
        <f aca="false">IF(R990="","",IF(Q990="Y",1,IF(P990&gt;='Read me'!$B$16,3,IF(AND(R990&gt;='Read me'!$B$14,P990&lt;='Read me'!$B$15),1,2))))</f>
        <v>2</v>
      </c>
    </row>
    <row r="991" customFormat="false" ht="46.25" hidden="false" customHeight="false" outlineLevel="0" collapsed="false">
      <c r="A991" s="11" t="s">
        <v>6241</v>
      </c>
      <c r="B991" s="11" t="s">
        <v>39</v>
      </c>
      <c r="C991" s="11" t="s">
        <v>236</v>
      </c>
      <c r="D991" s="11" t="s">
        <v>237</v>
      </c>
      <c r="E991" s="11" t="s">
        <v>1187</v>
      </c>
      <c r="F991" s="11" t="s">
        <v>6242</v>
      </c>
      <c r="G991" s="11" t="s">
        <v>4847</v>
      </c>
      <c r="H991" s="11" t="s">
        <v>4860</v>
      </c>
      <c r="I991" s="11" t="s">
        <v>6243</v>
      </c>
      <c r="J991" s="11" t="s">
        <v>6244</v>
      </c>
      <c r="K991" s="11" t="s">
        <v>5654</v>
      </c>
      <c r="L991" s="11" t="s">
        <v>6245</v>
      </c>
      <c r="M991" s="11" t="s">
        <v>5656</v>
      </c>
      <c r="N991" s="14" t="n">
        <v>2</v>
      </c>
      <c r="O991" s="14" t="n">
        <v>3</v>
      </c>
      <c r="P991" s="14" t="n">
        <v>3</v>
      </c>
      <c r="Q991" s="14"/>
      <c r="R991" s="12" t="n">
        <f aca="false">IF(OR(N991="",P991=""),"",ROUND(N991*O991/P991,1))</f>
        <v>2</v>
      </c>
      <c r="S991" s="13" t="n">
        <f aca="false">IF(R991="","",IF(Q991="Y",1,IF(P991&gt;='Read me'!$B$16,3,IF(AND(R991&gt;='Read me'!$B$14,P991&lt;='Read me'!$B$15),1,2))))</f>
        <v>2</v>
      </c>
    </row>
    <row r="992" customFormat="false" ht="23.85" hidden="false" customHeight="false" outlineLevel="0" collapsed="false">
      <c r="A992" s="11" t="s">
        <v>6246</v>
      </c>
      <c r="B992" s="11" t="s">
        <v>39</v>
      </c>
      <c r="C992" s="11" t="s">
        <v>236</v>
      </c>
      <c r="D992" s="11" t="s">
        <v>237</v>
      </c>
      <c r="E992" s="11" t="s">
        <v>1187</v>
      </c>
      <c r="F992" s="11" t="s">
        <v>6247</v>
      </c>
      <c r="G992" s="11" t="s">
        <v>6248</v>
      </c>
      <c r="H992" s="11"/>
      <c r="I992" s="11" t="s">
        <v>6249</v>
      </c>
      <c r="J992" s="11" t="s">
        <v>6250</v>
      </c>
      <c r="K992" s="11" t="s">
        <v>4587</v>
      </c>
      <c r="L992" s="11" t="s">
        <v>6251</v>
      </c>
      <c r="M992" s="11"/>
      <c r="N992" s="14" t="n">
        <v>2</v>
      </c>
      <c r="O992" s="14" t="n">
        <v>3</v>
      </c>
      <c r="P992" s="14" t="n">
        <v>3</v>
      </c>
      <c r="Q992" s="14"/>
      <c r="R992" s="12" t="n">
        <f aca="false">IF(OR(N992="",P992=""),"",ROUND(N992*O992/P992,1))</f>
        <v>2</v>
      </c>
      <c r="S992" s="13" t="n">
        <f aca="false">IF(R992="","",IF(Q992="Y",1,IF(P992&gt;='Read me'!$B$16,3,IF(AND(R992&gt;='Read me'!$B$14,P992&lt;='Read me'!$B$15),1,2))))</f>
        <v>2</v>
      </c>
    </row>
    <row r="993" customFormat="false" ht="23.85" hidden="false" customHeight="false" outlineLevel="0" collapsed="false">
      <c r="A993" s="11" t="s">
        <v>6252</v>
      </c>
      <c r="B993" s="11" t="s">
        <v>39</v>
      </c>
      <c r="C993" s="11" t="s">
        <v>236</v>
      </c>
      <c r="D993" s="11" t="s">
        <v>237</v>
      </c>
      <c r="E993" s="11" t="s">
        <v>1187</v>
      </c>
      <c r="F993" s="11" t="s">
        <v>6253</v>
      </c>
      <c r="G993" s="11" t="s">
        <v>3014</v>
      </c>
      <c r="H993" s="11" t="s">
        <v>3284</v>
      </c>
      <c r="I993" s="11" t="s">
        <v>6254</v>
      </c>
      <c r="J993" s="11" t="s">
        <v>6255</v>
      </c>
      <c r="K993" s="11" t="s">
        <v>916</v>
      </c>
      <c r="L993" s="11" t="s">
        <v>6256</v>
      </c>
      <c r="M993" s="11" t="s">
        <v>6257</v>
      </c>
      <c r="N993" s="14" t="n">
        <v>1</v>
      </c>
      <c r="O993" s="14" t="n">
        <v>3</v>
      </c>
      <c r="P993" s="14" t="n">
        <v>4</v>
      </c>
      <c r="Q993" s="14"/>
      <c r="R993" s="12" t="n">
        <f aca="false">IF(OR(N993="",P993=""),"",ROUND(N993*O993/P993,1))</f>
        <v>0.8</v>
      </c>
      <c r="S993" s="13" t="n">
        <f aca="false">IF(R993="","",IF(Q993="Y",1,IF(P993&gt;='Read me'!$B$16,3,IF(AND(R993&gt;='Read me'!$B$14,P993&lt;='Read me'!$B$15),1,2))))</f>
        <v>3</v>
      </c>
    </row>
    <row r="994" customFormat="false" ht="46.25" hidden="false" customHeight="false" outlineLevel="0" collapsed="false">
      <c r="A994" s="11" t="s">
        <v>6258</v>
      </c>
      <c r="B994" s="11" t="s">
        <v>39</v>
      </c>
      <c r="C994" s="11" t="s">
        <v>236</v>
      </c>
      <c r="D994" s="11" t="s">
        <v>237</v>
      </c>
      <c r="E994" s="11" t="s">
        <v>1187</v>
      </c>
      <c r="F994" s="11" t="s">
        <v>6259</v>
      </c>
      <c r="G994" s="11" t="s">
        <v>6260</v>
      </c>
      <c r="H994" s="11"/>
      <c r="I994" s="11" t="s">
        <v>6261</v>
      </c>
      <c r="J994" s="11" t="s">
        <v>6262</v>
      </c>
      <c r="K994" s="11" t="s">
        <v>1151</v>
      </c>
      <c r="L994" s="11" t="s">
        <v>6263</v>
      </c>
      <c r="M994" s="11" t="s">
        <v>6119</v>
      </c>
      <c r="N994" s="14" t="n">
        <v>1</v>
      </c>
      <c r="O994" s="14" t="n">
        <v>3</v>
      </c>
      <c r="P994" s="14" t="n">
        <v>4</v>
      </c>
      <c r="Q994" s="14"/>
      <c r="R994" s="12" t="n">
        <f aca="false">IF(OR(N994="",P994=""),"",ROUND(N994*O994/P994,1))</f>
        <v>0.8</v>
      </c>
      <c r="S994" s="13" t="n">
        <f aca="false">IF(R994="","",IF(Q994="Y",1,IF(P994&gt;='Read me'!$B$16,3,IF(AND(R994&gt;='Read me'!$B$14,P994&lt;='Read me'!$B$15),1,2))))</f>
        <v>3</v>
      </c>
    </row>
    <row r="995" customFormat="false" ht="15" hidden="false" customHeight="false" outlineLevel="0" collapsed="false">
      <c r="A995" s="11" t="s">
        <v>6264</v>
      </c>
      <c r="B995" s="11" t="s">
        <v>39</v>
      </c>
      <c r="C995" s="11" t="s">
        <v>236</v>
      </c>
      <c r="D995" s="11" t="s">
        <v>237</v>
      </c>
      <c r="E995" s="11" t="s">
        <v>1133</v>
      </c>
      <c r="F995" s="11" t="s">
        <v>6265</v>
      </c>
      <c r="G995" s="11" t="s">
        <v>1142</v>
      </c>
      <c r="H995" s="11"/>
      <c r="I995" s="11" t="s">
        <v>6266</v>
      </c>
      <c r="J995" s="11" t="s">
        <v>6267</v>
      </c>
      <c r="K995" s="11" t="s">
        <v>6268</v>
      </c>
      <c r="L995" s="11" t="s">
        <v>6269</v>
      </c>
      <c r="M995" s="11"/>
      <c r="N995" s="14" t="n">
        <v>3</v>
      </c>
      <c r="O995" s="14" t="n">
        <v>4</v>
      </c>
      <c r="P995" s="14" t="n">
        <v>2</v>
      </c>
      <c r="Q995" s="14"/>
      <c r="R995" s="12" t="n">
        <f aca="false">IF(OR(N995="",P995=""),"",ROUND(N995*O995/P995,1))</f>
        <v>6</v>
      </c>
      <c r="S995" s="13" t="n">
        <f aca="false">IF(R995="","",IF(Q995="Y",1,IF(P995&gt;='Read me'!$B$16,3,IF(AND(R995&gt;='Read me'!$B$14,P995&lt;='Read me'!$B$15),1,2))))</f>
        <v>1</v>
      </c>
    </row>
    <row r="996" customFormat="false" ht="35.05" hidden="false" customHeight="false" outlineLevel="0" collapsed="false">
      <c r="A996" s="11" t="s">
        <v>6270</v>
      </c>
      <c r="B996" s="11" t="s">
        <v>39</v>
      </c>
      <c r="C996" s="11" t="s">
        <v>236</v>
      </c>
      <c r="D996" s="11" t="s">
        <v>237</v>
      </c>
      <c r="E996" s="11" t="s">
        <v>1372</v>
      </c>
      <c r="F996" s="11" t="s">
        <v>6271</v>
      </c>
      <c r="G996" s="11" t="s">
        <v>6272</v>
      </c>
      <c r="H996" s="11"/>
      <c r="I996" s="11" t="s">
        <v>6273</v>
      </c>
      <c r="J996" s="11" t="s">
        <v>6274</v>
      </c>
      <c r="K996" s="11" t="s">
        <v>5634</v>
      </c>
      <c r="L996" s="11" t="s">
        <v>6275</v>
      </c>
      <c r="M996" s="11" t="s">
        <v>4716</v>
      </c>
      <c r="N996" s="14" t="n">
        <v>2</v>
      </c>
      <c r="O996" s="14" t="n">
        <v>2</v>
      </c>
      <c r="P996" s="14" t="n">
        <v>3</v>
      </c>
      <c r="Q996" s="14"/>
      <c r="R996" s="12" t="n">
        <f aca="false">IF(OR(N996="",P996=""),"",ROUND(N996*O996/P996,1))</f>
        <v>1.3</v>
      </c>
      <c r="S996" s="13" t="n">
        <f aca="false">IF(R996="","",IF(Q996="Y",1,IF(P996&gt;='Read me'!$B$16,3,IF(AND(R996&gt;='Read me'!$B$14,P996&lt;='Read me'!$B$15),1,2))))</f>
        <v>2</v>
      </c>
    </row>
    <row r="997" customFormat="false" ht="23.85" hidden="false" customHeight="false" outlineLevel="0" collapsed="false">
      <c r="A997" s="11" t="s">
        <v>6276</v>
      </c>
      <c r="B997" s="11" t="s">
        <v>39</v>
      </c>
      <c r="C997" s="11" t="s">
        <v>241</v>
      </c>
      <c r="D997" s="11" t="s">
        <v>242</v>
      </c>
      <c r="E997" s="11" t="s">
        <v>751</v>
      </c>
      <c r="F997" s="11" t="s">
        <v>6277</v>
      </c>
      <c r="G997" s="11" t="s">
        <v>6278</v>
      </c>
      <c r="H997" s="11"/>
      <c r="I997" s="11" t="s">
        <v>6279</v>
      </c>
      <c r="J997" s="11" t="s">
        <v>6280</v>
      </c>
      <c r="K997" s="11" t="s">
        <v>2571</v>
      </c>
      <c r="L997" s="11" t="s">
        <v>6281</v>
      </c>
      <c r="M997" s="11" t="s">
        <v>1577</v>
      </c>
      <c r="N997" s="14" t="n">
        <v>2</v>
      </c>
      <c r="O997" s="14" t="n">
        <v>2</v>
      </c>
      <c r="P997" s="14" t="n">
        <v>2</v>
      </c>
      <c r="Q997" s="14"/>
      <c r="R997" s="12" t="n">
        <f aca="false">IF(OR(N997="",P997=""),"",ROUND(N997*O997/P997,1))</f>
        <v>2</v>
      </c>
      <c r="S997" s="13" t="n">
        <f aca="false">IF(R997="","",IF(Q997="Y",1,IF(P997&gt;='Read me'!$B$16,3,IF(AND(R997&gt;='Read me'!$B$14,P997&lt;='Read me'!$B$15),1,2))))</f>
        <v>2</v>
      </c>
    </row>
    <row r="998" customFormat="false" ht="23.85" hidden="false" customHeight="false" outlineLevel="0" collapsed="false">
      <c r="A998" s="11" t="s">
        <v>6282</v>
      </c>
      <c r="B998" s="11" t="s">
        <v>39</v>
      </c>
      <c r="C998" s="11" t="s">
        <v>241</v>
      </c>
      <c r="D998" s="11" t="s">
        <v>242</v>
      </c>
      <c r="E998" s="11" t="s">
        <v>751</v>
      </c>
      <c r="F998" s="11" t="s">
        <v>6283</v>
      </c>
      <c r="G998" s="11" t="s">
        <v>6284</v>
      </c>
      <c r="H998" s="11"/>
      <c r="I998" s="11" t="s">
        <v>6285</v>
      </c>
      <c r="J998" s="11" t="s">
        <v>6286</v>
      </c>
      <c r="K998" s="11" t="s">
        <v>6287</v>
      </c>
      <c r="L998" s="11" t="s">
        <v>6288</v>
      </c>
      <c r="M998" s="11" t="s">
        <v>1577</v>
      </c>
      <c r="N998" s="14" t="n">
        <v>1</v>
      </c>
      <c r="O998" s="14" t="n">
        <v>2</v>
      </c>
      <c r="P998" s="14" t="n">
        <v>3</v>
      </c>
      <c r="Q998" s="14"/>
      <c r="R998" s="12" t="n">
        <f aca="false">IF(OR(N998="",P998=""),"",ROUND(N998*O998/P998,1))</f>
        <v>0.7</v>
      </c>
      <c r="S998" s="13" t="n">
        <f aca="false">IF(R998="","",IF(Q998="Y",1,IF(P998&gt;='Read me'!$B$16,3,IF(AND(R998&gt;='Read me'!$B$14,P998&lt;='Read me'!$B$15),1,2))))</f>
        <v>2</v>
      </c>
    </row>
    <row r="999" customFormat="false" ht="23.85" hidden="false" customHeight="false" outlineLevel="0" collapsed="false">
      <c r="A999" s="11" t="s">
        <v>6289</v>
      </c>
      <c r="B999" s="11" t="s">
        <v>39</v>
      </c>
      <c r="C999" s="11" t="s">
        <v>241</v>
      </c>
      <c r="D999" s="11" t="s">
        <v>242</v>
      </c>
      <c r="E999" s="11" t="s">
        <v>765</v>
      </c>
      <c r="F999" s="11" t="s">
        <v>6290</v>
      </c>
      <c r="G999" s="11" t="s">
        <v>5763</v>
      </c>
      <c r="H999" s="11"/>
      <c r="I999" s="11" t="s">
        <v>6291</v>
      </c>
      <c r="J999" s="11" t="s">
        <v>6292</v>
      </c>
      <c r="K999" s="11" t="s">
        <v>5766</v>
      </c>
      <c r="L999" s="11" t="s">
        <v>6293</v>
      </c>
      <c r="M999" s="11" t="s">
        <v>4885</v>
      </c>
      <c r="N999" s="14" t="n">
        <v>3</v>
      </c>
      <c r="O999" s="14" t="n">
        <v>3</v>
      </c>
      <c r="P999" s="14" t="n">
        <v>2</v>
      </c>
      <c r="Q999" s="14"/>
      <c r="R999" s="12" t="n">
        <f aca="false">IF(OR(N999="",P999=""),"",ROUND(N999*O999/P999,1))</f>
        <v>4.5</v>
      </c>
      <c r="S999" s="13" t="n">
        <f aca="false">IF(R999="","",IF(Q999="Y",1,IF(P999&gt;='Read me'!$B$16,3,IF(AND(R999&gt;='Read me'!$B$14,P999&lt;='Read me'!$B$15),1,2))))</f>
        <v>2</v>
      </c>
    </row>
    <row r="1000" customFormat="false" ht="23.85" hidden="false" customHeight="false" outlineLevel="0" collapsed="false">
      <c r="A1000" s="11" t="s">
        <v>6294</v>
      </c>
      <c r="B1000" s="11" t="s">
        <v>39</v>
      </c>
      <c r="C1000" s="11" t="s">
        <v>241</v>
      </c>
      <c r="D1000" s="11" t="s">
        <v>242</v>
      </c>
      <c r="E1000" s="11" t="s">
        <v>765</v>
      </c>
      <c r="F1000" s="11" t="s">
        <v>6295</v>
      </c>
      <c r="G1000" s="11" t="s">
        <v>5105</v>
      </c>
      <c r="H1000" s="11"/>
      <c r="I1000" s="11" t="s">
        <v>6296</v>
      </c>
      <c r="J1000" s="11" t="s">
        <v>6297</v>
      </c>
      <c r="K1000" s="11" t="s">
        <v>3849</v>
      </c>
      <c r="L1000" s="11" t="s">
        <v>6298</v>
      </c>
      <c r="M1000" s="11"/>
      <c r="N1000" s="14" t="n">
        <v>3</v>
      </c>
      <c r="O1000" s="14" t="n">
        <v>3</v>
      </c>
      <c r="P1000" s="14" t="n">
        <v>1</v>
      </c>
      <c r="Q1000" s="14"/>
      <c r="R1000" s="12" t="n">
        <f aca="false">IF(OR(N1000="",P1000=""),"",ROUND(N1000*O1000/P1000,1))</f>
        <v>9</v>
      </c>
      <c r="S1000" s="13" t="n">
        <f aca="false">IF(R1000="","",IF(Q1000="Y",1,IF(P1000&gt;='Read me'!$B$16,3,IF(AND(R1000&gt;='Read me'!$B$14,P1000&lt;='Read me'!$B$15),1,2))))</f>
        <v>1</v>
      </c>
    </row>
    <row r="1001" customFormat="false" ht="23.85" hidden="false" customHeight="false" outlineLevel="0" collapsed="false">
      <c r="A1001" s="11" t="s">
        <v>6299</v>
      </c>
      <c r="B1001" s="11" t="s">
        <v>39</v>
      </c>
      <c r="C1001" s="11" t="s">
        <v>241</v>
      </c>
      <c r="D1001" s="11" t="s">
        <v>242</v>
      </c>
      <c r="E1001" s="11" t="s">
        <v>765</v>
      </c>
      <c r="F1001" s="11" t="s">
        <v>6300</v>
      </c>
      <c r="G1001" s="11" t="s">
        <v>6301</v>
      </c>
      <c r="H1001" s="11"/>
      <c r="I1001" s="11" t="s">
        <v>6302</v>
      </c>
      <c r="J1001" s="11" t="s">
        <v>6303</v>
      </c>
      <c r="K1001" s="11" t="s">
        <v>6182</v>
      </c>
      <c r="L1001" s="11" t="s">
        <v>6304</v>
      </c>
      <c r="M1001" s="11" t="s">
        <v>6305</v>
      </c>
      <c r="N1001" s="14" t="n">
        <v>2</v>
      </c>
      <c r="O1001" s="14" t="n">
        <v>2</v>
      </c>
      <c r="P1001" s="14" t="n">
        <v>1</v>
      </c>
      <c r="Q1001" s="14"/>
      <c r="R1001" s="12" t="n">
        <f aca="false">IF(OR(N1001="",P1001=""),"",ROUND(N1001*O1001/P1001,1))</f>
        <v>4</v>
      </c>
      <c r="S1001" s="13" t="n">
        <f aca="false">IF(R1001="","",IF(Q1001="Y",1,IF(P1001&gt;='Read me'!$B$16,3,IF(AND(R1001&gt;='Read me'!$B$14,P1001&lt;='Read me'!$B$15),1,2))))</f>
        <v>2</v>
      </c>
    </row>
    <row r="1002" customFormat="false" ht="23.85" hidden="false" customHeight="false" outlineLevel="0" collapsed="false">
      <c r="A1002" s="11" t="s">
        <v>6306</v>
      </c>
      <c r="B1002" s="11" t="s">
        <v>39</v>
      </c>
      <c r="C1002" s="11" t="s">
        <v>241</v>
      </c>
      <c r="D1002" s="11" t="s">
        <v>242</v>
      </c>
      <c r="E1002" s="11" t="s">
        <v>765</v>
      </c>
      <c r="F1002" s="11" t="s">
        <v>6307</v>
      </c>
      <c r="G1002" s="11" t="s">
        <v>6308</v>
      </c>
      <c r="H1002" s="11"/>
      <c r="I1002" s="11" t="s">
        <v>6309</v>
      </c>
      <c r="J1002" s="11" t="s">
        <v>6310</v>
      </c>
      <c r="K1002" s="11" t="s">
        <v>675</v>
      </c>
      <c r="L1002" s="11" t="s">
        <v>6311</v>
      </c>
      <c r="M1002" s="11"/>
      <c r="N1002" s="14" t="n">
        <v>1</v>
      </c>
      <c r="O1002" s="14" t="n">
        <v>3</v>
      </c>
      <c r="P1002" s="14" t="n">
        <v>3</v>
      </c>
      <c r="Q1002" s="14"/>
      <c r="R1002" s="12" t="n">
        <f aca="false">IF(OR(N1002="",P1002=""),"",ROUND(N1002*O1002/P1002,1))</f>
        <v>1</v>
      </c>
      <c r="S1002" s="13" t="n">
        <f aca="false">IF(R1002="","",IF(Q1002="Y",1,IF(P1002&gt;='Read me'!$B$16,3,IF(AND(R1002&gt;='Read me'!$B$14,P1002&lt;='Read me'!$B$15),1,2))))</f>
        <v>2</v>
      </c>
    </row>
    <row r="1003" customFormat="false" ht="23.85" hidden="false" customHeight="false" outlineLevel="0" collapsed="false">
      <c r="A1003" s="11" t="s">
        <v>6312</v>
      </c>
      <c r="B1003" s="11" t="s">
        <v>39</v>
      </c>
      <c r="C1003" s="11" t="s">
        <v>241</v>
      </c>
      <c r="D1003" s="11" t="s">
        <v>242</v>
      </c>
      <c r="E1003" s="11" t="s">
        <v>1081</v>
      </c>
      <c r="F1003" s="11" t="s">
        <v>6313</v>
      </c>
      <c r="G1003" s="11" t="s">
        <v>6314</v>
      </c>
      <c r="H1003" s="11"/>
      <c r="I1003" s="11" t="s">
        <v>6315</v>
      </c>
      <c r="J1003" s="11" t="s">
        <v>6316</v>
      </c>
      <c r="K1003" s="11" t="s">
        <v>4825</v>
      </c>
      <c r="L1003" s="11" t="s">
        <v>6317</v>
      </c>
      <c r="M1003" s="11"/>
      <c r="N1003" s="14" t="n">
        <v>5</v>
      </c>
      <c r="O1003" s="14" t="n">
        <v>4</v>
      </c>
      <c r="P1003" s="14" t="n">
        <v>1</v>
      </c>
      <c r="Q1003" s="14"/>
      <c r="R1003" s="12" t="n">
        <f aca="false">IF(OR(N1003="",P1003=""),"",ROUND(N1003*O1003/P1003,1))</f>
        <v>20</v>
      </c>
      <c r="S1003" s="13" t="n">
        <f aca="false">IF(R1003="","",IF(Q1003="Y",1,IF(P1003&gt;='Read me'!$B$16,3,IF(AND(R1003&gt;='Read me'!$B$14,P1003&lt;='Read me'!$B$15),1,2))))</f>
        <v>1</v>
      </c>
    </row>
    <row r="1004" customFormat="false" ht="23.85" hidden="false" customHeight="false" outlineLevel="0" collapsed="false">
      <c r="A1004" s="11" t="s">
        <v>6318</v>
      </c>
      <c r="B1004" s="11" t="s">
        <v>39</v>
      </c>
      <c r="C1004" s="11" t="s">
        <v>241</v>
      </c>
      <c r="D1004" s="11" t="s">
        <v>242</v>
      </c>
      <c r="E1004" s="11" t="s">
        <v>1081</v>
      </c>
      <c r="F1004" s="11" t="s">
        <v>6319</v>
      </c>
      <c r="G1004" s="11" t="s">
        <v>6320</v>
      </c>
      <c r="H1004" s="11"/>
      <c r="I1004" s="11" t="s">
        <v>512</v>
      </c>
      <c r="J1004" s="11" t="s">
        <v>6321</v>
      </c>
      <c r="K1004" s="11" t="s">
        <v>6322</v>
      </c>
      <c r="L1004" s="11" t="s">
        <v>5090</v>
      </c>
      <c r="M1004" s="11"/>
      <c r="N1004" s="14" t="n">
        <v>4</v>
      </c>
      <c r="O1004" s="14" t="n">
        <v>3</v>
      </c>
      <c r="P1004" s="14" t="n">
        <v>1</v>
      </c>
      <c r="Q1004" s="14"/>
      <c r="R1004" s="12" t="n">
        <f aca="false">IF(OR(N1004="",P1004=""),"",ROUND(N1004*O1004/P1004,1))</f>
        <v>12</v>
      </c>
      <c r="S1004" s="13" t="n">
        <f aca="false">IF(R1004="","",IF(Q1004="Y",1,IF(P1004&gt;='Read me'!$B$16,3,IF(AND(R1004&gt;='Read me'!$B$14,P1004&lt;='Read me'!$B$15),1,2))))</f>
        <v>1</v>
      </c>
    </row>
    <row r="1005" customFormat="false" ht="23.85" hidden="false" customHeight="false" outlineLevel="0" collapsed="false">
      <c r="A1005" s="11" t="s">
        <v>6323</v>
      </c>
      <c r="B1005" s="11" t="s">
        <v>39</v>
      </c>
      <c r="C1005" s="11" t="s">
        <v>241</v>
      </c>
      <c r="D1005" s="11" t="s">
        <v>242</v>
      </c>
      <c r="E1005" s="11" t="s">
        <v>1081</v>
      </c>
      <c r="F1005" s="11" t="s">
        <v>6324</v>
      </c>
      <c r="G1005" s="11" t="s">
        <v>6325</v>
      </c>
      <c r="H1005" s="11"/>
      <c r="I1005" s="11" t="s">
        <v>6326</v>
      </c>
      <c r="J1005" s="11" t="s">
        <v>6327</v>
      </c>
      <c r="K1005" s="11" t="s">
        <v>6328</v>
      </c>
      <c r="L1005" s="11" t="s">
        <v>6329</v>
      </c>
      <c r="M1005" s="11" t="s">
        <v>6330</v>
      </c>
      <c r="N1005" s="14" t="n">
        <v>3</v>
      </c>
      <c r="O1005" s="14" t="n">
        <v>2</v>
      </c>
      <c r="P1005" s="14" t="n">
        <v>4</v>
      </c>
      <c r="Q1005" s="14"/>
      <c r="R1005" s="12" t="n">
        <f aca="false">IF(OR(N1005="",P1005=""),"",ROUND(N1005*O1005/P1005,1))</f>
        <v>1.5</v>
      </c>
      <c r="S1005" s="13" t="n">
        <f aca="false">IF(R1005="","",IF(Q1005="Y",1,IF(P1005&gt;='Read me'!$B$16,3,IF(AND(R1005&gt;='Read me'!$B$14,P1005&lt;='Read me'!$B$15),1,2))))</f>
        <v>3</v>
      </c>
    </row>
    <row r="1006" customFormat="false" ht="23.85" hidden="false" customHeight="false" outlineLevel="0" collapsed="false">
      <c r="A1006" s="11" t="s">
        <v>6331</v>
      </c>
      <c r="B1006" s="11" t="s">
        <v>39</v>
      </c>
      <c r="C1006" s="11" t="s">
        <v>241</v>
      </c>
      <c r="D1006" s="11" t="s">
        <v>242</v>
      </c>
      <c r="E1006" s="11" t="s">
        <v>1187</v>
      </c>
      <c r="F1006" s="11" t="s">
        <v>6332</v>
      </c>
      <c r="G1006" s="11" t="s">
        <v>6237</v>
      </c>
      <c r="H1006" s="11" t="s">
        <v>4828</v>
      </c>
      <c r="I1006" s="11" t="s">
        <v>6333</v>
      </c>
      <c r="J1006" s="11" t="s">
        <v>6334</v>
      </c>
      <c r="K1006" s="11" t="s">
        <v>4830</v>
      </c>
      <c r="L1006" s="11" t="s">
        <v>6335</v>
      </c>
      <c r="M1006" s="11"/>
      <c r="N1006" s="14" t="n">
        <v>3</v>
      </c>
      <c r="O1006" s="14" t="n">
        <v>3</v>
      </c>
      <c r="P1006" s="14" t="n">
        <v>3</v>
      </c>
      <c r="Q1006" s="14"/>
      <c r="R1006" s="12" t="n">
        <f aca="false">IF(OR(N1006="",P1006=""),"",ROUND(N1006*O1006/P1006,1))</f>
        <v>3</v>
      </c>
      <c r="S1006" s="13" t="n">
        <f aca="false">IF(R1006="","",IF(Q1006="Y",1,IF(P1006&gt;='Read me'!$B$16,3,IF(AND(R1006&gt;='Read me'!$B$14,P1006&lt;='Read me'!$B$15),1,2))))</f>
        <v>2</v>
      </c>
    </row>
    <row r="1007" customFormat="false" ht="23.85" hidden="false" customHeight="false" outlineLevel="0" collapsed="false">
      <c r="A1007" s="11" t="s">
        <v>6336</v>
      </c>
      <c r="B1007" s="11" t="s">
        <v>39</v>
      </c>
      <c r="C1007" s="11" t="s">
        <v>241</v>
      </c>
      <c r="D1007" s="11" t="s">
        <v>242</v>
      </c>
      <c r="E1007" s="11" t="s">
        <v>1187</v>
      </c>
      <c r="F1007" s="11" t="s">
        <v>6337</v>
      </c>
      <c r="G1007" s="11" t="s">
        <v>6338</v>
      </c>
      <c r="H1007" s="11" t="s">
        <v>6339</v>
      </c>
      <c r="I1007" s="11" t="s">
        <v>6340</v>
      </c>
      <c r="J1007" s="11" t="s">
        <v>6341</v>
      </c>
      <c r="K1007" s="11" t="s">
        <v>6342</v>
      </c>
      <c r="L1007" s="11" t="s">
        <v>6343</v>
      </c>
      <c r="M1007" s="11"/>
      <c r="N1007" s="14" t="n">
        <v>2</v>
      </c>
      <c r="O1007" s="14" t="n">
        <v>4</v>
      </c>
      <c r="P1007" s="14" t="n">
        <v>4</v>
      </c>
      <c r="Q1007" s="14"/>
      <c r="R1007" s="12" t="n">
        <f aca="false">IF(OR(N1007="",P1007=""),"",ROUND(N1007*O1007/P1007,1))</f>
        <v>2</v>
      </c>
      <c r="S1007" s="13" t="n">
        <f aca="false">IF(R1007="","",IF(Q1007="Y",1,IF(P1007&gt;='Read me'!$B$16,3,IF(AND(R1007&gt;='Read me'!$B$14,P1007&lt;='Read me'!$B$15),1,2))))</f>
        <v>3</v>
      </c>
    </row>
    <row r="1008" customFormat="false" ht="46.25" hidden="false" customHeight="false" outlineLevel="0" collapsed="false">
      <c r="A1008" s="11" t="s">
        <v>6344</v>
      </c>
      <c r="B1008" s="11" t="s">
        <v>39</v>
      </c>
      <c r="C1008" s="11" t="s">
        <v>241</v>
      </c>
      <c r="D1008" s="11" t="s">
        <v>242</v>
      </c>
      <c r="E1008" s="11" t="s">
        <v>1187</v>
      </c>
      <c r="F1008" s="11" t="s">
        <v>5776</v>
      </c>
      <c r="G1008" s="11" t="s">
        <v>6345</v>
      </c>
      <c r="H1008" s="11" t="s">
        <v>2663</v>
      </c>
      <c r="I1008" s="11" t="s">
        <v>6346</v>
      </c>
      <c r="J1008" s="11" t="s">
        <v>6347</v>
      </c>
      <c r="K1008" s="11" t="s">
        <v>5780</v>
      </c>
      <c r="L1008" s="11" t="s">
        <v>5781</v>
      </c>
      <c r="M1008" s="11" t="s">
        <v>5656</v>
      </c>
      <c r="N1008" s="14" t="n">
        <v>2</v>
      </c>
      <c r="O1008" s="14" t="n">
        <v>3</v>
      </c>
      <c r="P1008" s="14" t="n">
        <v>3</v>
      </c>
      <c r="Q1008" s="14"/>
      <c r="R1008" s="12" t="n">
        <f aca="false">IF(OR(N1008="",P1008=""),"",ROUND(N1008*O1008/P1008,1))</f>
        <v>2</v>
      </c>
      <c r="S1008" s="13" t="n">
        <f aca="false">IF(R1008="","",IF(Q1008="Y",1,IF(P1008&gt;='Read me'!$B$16,3,IF(AND(R1008&gt;='Read me'!$B$14,P1008&lt;='Read me'!$B$15),1,2))))</f>
        <v>2</v>
      </c>
    </row>
    <row r="1009" customFormat="false" ht="46.25" hidden="false" customHeight="false" outlineLevel="0" collapsed="false">
      <c r="A1009" s="11" t="s">
        <v>6348</v>
      </c>
      <c r="B1009" s="11" t="s">
        <v>39</v>
      </c>
      <c r="C1009" s="11" t="s">
        <v>241</v>
      </c>
      <c r="D1009" s="11" t="s">
        <v>242</v>
      </c>
      <c r="E1009" s="11" t="s">
        <v>1187</v>
      </c>
      <c r="F1009" s="11" t="s">
        <v>6349</v>
      </c>
      <c r="G1009" s="11" t="s">
        <v>4847</v>
      </c>
      <c r="H1009" s="11" t="s">
        <v>4860</v>
      </c>
      <c r="I1009" s="11" t="s">
        <v>6350</v>
      </c>
      <c r="J1009" s="11" t="s">
        <v>6351</v>
      </c>
      <c r="K1009" s="11" t="s">
        <v>6352</v>
      </c>
      <c r="L1009" s="11" t="s">
        <v>6353</v>
      </c>
      <c r="M1009" s="11" t="s">
        <v>5656</v>
      </c>
      <c r="N1009" s="14" t="n">
        <v>2</v>
      </c>
      <c r="O1009" s="14" t="n">
        <v>3</v>
      </c>
      <c r="P1009" s="14" t="n">
        <v>3</v>
      </c>
      <c r="Q1009" s="14"/>
      <c r="R1009" s="12" t="n">
        <f aca="false">IF(OR(N1009="",P1009=""),"",ROUND(N1009*O1009/P1009,1))</f>
        <v>2</v>
      </c>
      <c r="S1009" s="13" t="n">
        <f aca="false">IF(R1009="","",IF(Q1009="Y",1,IF(P1009&gt;='Read me'!$B$16,3,IF(AND(R1009&gt;='Read me'!$B$14,P1009&lt;='Read me'!$B$15),1,2))))</f>
        <v>2</v>
      </c>
    </row>
    <row r="1010" customFormat="false" ht="23.85" hidden="false" customHeight="false" outlineLevel="0" collapsed="false">
      <c r="A1010" s="11" t="s">
        <v>6354</v>
      </c>
      <c r="B1010" s="11" t="s">
        <v>39</v>
      </c>
      <c r="C1010" s="11" t="s">
        <v>241</v>
      </c>
      <c r="D1010" s="11" t="s">
        <v>242</v>
      </c>
      <c r="E1010" s="11" t="s">
        <v>1187</v>
      </c>
      <c r="F1010" s="11" t="s">
        <v>6355</v>
      </c>
      <c r="G1010" s="11" t="s">
        <v>4847</v>
      </c>
      <c r="H1010" s="11" t="s">
        <v>6356</v>
      </c>
      <c r="I1010" s="11" t="s">
        <v>6357</v>
      </c>
      <c r="J1010" s="11" t="s">
        <v>6358</v>
      </c>
      <c r="K1010" s="11" t="s">
        <v>6359</v>
      </c>
      <c r="L1010" s="11" t="s">
        <v>6360</v>
      </c>
      <c r="M1010" s="11"/>
      <c r="N1010" s="14" t="n">
        <v>2</v>
      </c>
      <c r="O1010" s="14" t="n">
        <v>3</v>
      </c>
      <c r="P1010" s="14" t="n">
        <v>2</v>
      </c>
      <c r="Q1010" s="14"/>
      <c r="R1010" s="12" t="n">
        <f aca="false">IF(OR(N1010="",P1010=""),"",ROUND(N1010*O1010/P1010,1))</f>
        <v>3</v>
      </c>
      <c r="S1010" s="13" t="n">
        <f aca="false">IF(R1010="","",IF(Q1010="Y",1,IF(P1010&gt;='Read me'!$B$16,3,IF(AND(R1010&gt;='Read me'!$B$14,P1010&lt;='Read me'!$B$15),1,2))))</f>
        <v>2</v>
      </c>
    </row>
    <row r="1011" customFormat="false" ht="46.25" hidden="false" customHeight="false" outlineLevel="0" collapsed="false">
      <c r="A1011" s="11" t="s">
        <v>6361</v>
      </c>
      <c r="B1011" s="11" t="s">
        <v>39</v>
      </c>
      <c r="C1011" s="11" t="s">
        <v>241</v>
      </c>
      <c r="D1011" s="11" t="s">
        <v>242</v>
      </c>
      <c r="E1011" s="11" t="s">
        <v>1187</v>
      </c>
      <c r="F1011" s="11" t="s">
        <v>6362</v>
      </c>
      <c r="G1011" s="11" t="s">
        <v>6363</v>
      </c>
      <c r="H1011" s="11" t="s">
        <v>6364</v>
      </c>
      <c r="I1011" s="11" t="s">
        <v>6365</v>
      </c>
      <c r="J1011" s="11" t="s">
        <v>6366</v>
      </c>
      <c r="K1011" s="11" t="s">
        <v>6367</v>
      </c>
      <c r="L1011" s="11" t="s">
        <v>6368</v>
      </c>
      <c r="M1011" s="11" t="s">
        <v>5656</v>
      </c>
      <c r="N1011" s="14" t="n">
        <v>2</v>
      </c>
      <c r="O1011" s="14" t="n">
        <v>3</v>
      </c>
      <c r="P1011" s="14" t="n">
        <v>3</v>
      </c>
      <c r="Q1011" s="14"/>
      <c r="R1011" s="12" t="n">
        <f aca="false">IF(OR(N1011="",P1011=""),"",ROUND(N1011*O1011/P1011,1))</f>
        <v>2</v>
      </c>
      <c r="S1011" s="13" t="n">
        <f aca="false">IF(R1011="","",IF(Q1011="Y",1,IF(P1011&gt;='Read me'!$B$16,3,IF(AND(R1011&gt;='Read me'!$B$14,P1011&lt;='Read me'!$B$15),1,2))))</f>
        <v>2</v>
      </c>
    </row>
    <row r="1012" customFormat="false" ht="23.85" hidden="false" customHeight="false" outlineLevel="0" collapsed="false">
      <c r="A1012" s="11" t="s">
        <v>6369</v>
      </c>
      <c r="B1012" s="11" t="s">
        <v>39</v>
      </c>
      <c r="C1012" s="11" t="s">
        <v>241</v>
      </c>
      <c r="D1012" s="11" t="s">
        <v>242</v>
      </c>
      <c r="E1012" s="11" t="s">
        <v>1187</v>
      </c>
      <c r="F1012" s="11" t="s">
        <v>6370</v>
      </c>
      <c r="G1012" s="11" t="s">
        <v>6371</v>
      </c>
      <c r="H1012" s="11"/>
      <c r="I1012" s="11" t="s">
        <v>6372</v>
      </c>
      <c r="J1012" s="11" t="s">
        <v>6373</v>
      </c>
      <c r="K1012" s="11" t="s">
        <v>6342</v>
      </c>
      <c r="L1012" s="11" t="s">
        <v>6374</v>
      </c>
      <c r="M1012" s="11"/>
      <c r="N1012" s="14" t="n">
        <v>2</v>
      </c>
      <c r="O1012" s="14" t="n">
        <v>3</v>
      </c>
      <c r="P1012" s="14" t="n">
        <v>5</v>
      </c>
      <c r="Q1012" s="14"/>
      <c r="R1012" s="12" t="n">
        <f aca="false">IF(OR(N1012="",P1012=""),"",ROUND(N1012*O1012/P1012,1))</f>
        <v>1.2</v>
      </c>
      <c r="S1012" s="13" t="n">
        <f aca="false">IF(R1012="","",IF(Q1012="Y",1,IF(P1012&gt;='Read me'!$B$16,3,IF(AND(R1012&gt;='Read me'!$B$14,P1012&lt;='Read me'!$B$15),1,2))))</f>
        <v>3</v>
      </c>
    </row>
    <row r="1013" customFormat="false" ht="23.85" hidden="false" customHeight="false" outlineLevel="0" collapsed="false">
      <c r="A1013" s="11" t="s">
        <v>6375</v>
      </c>
      <c r="B1013" s="11" t="s">
        <v>39</v>
      </c>
      <c r="C1013" s="11" t="s">
        <v>241</v>
      </c>
      <c r="D1013" s="11" t="s">
        <v>242</v>
      </c>
      <c r="E1013" s="11" t="s">
        <v>1187</v>
      </c>
      <c r="F1013" s="11" t="s">
        <v>6376</v>
      </c>
      <c r="G1013" s="11" t="s">
        <v>6377</v>
      </c>
      <c r="H1013" s="11"/>
      <c r="I1013" s="11" t="s">
        <v>6378</v>
      </c>
      <c r="J1013" s="11" t="s">
        <v>6379</v>
      </c>
      <c r="K1013" s="11" t="s">
        <v>1151</v>
      </c>
      <c r="L1013" s="11" t="s">
        <v>6380</v>
      </c>
      <c r="M1013" s="11"/>
      <c r="N1013" s="14" t="n">
        <v>1</v>
      </c>
      <c r="O1013" s="14" t="n">
        <v>2</v>
      </c>
      <c r="P1013" s="14" t="n">
        <v>4</v>
      </c>
      <c r="Q1013" s="14"/>
      <c r="R1013" s="12" t="n">
        <f aca="false">IF(OR(N1013="",P1013=""),"",ROUND(N1013*O1013/P1013,1))</f>
        <v>0.5</v>
      </c>
      <c r="S1013" s="13" t="n">
        <f aca="false">IF(R1013="","",IF(Q1013="Y",1,IF(P1013&gt;='Read me'!$B$16,3,IF(AND(R1013&gt;='Read me'!$B$14,P1013&lt;='Read me'!$B$15),1,2))))</f>
        <v>3</v>
      </c>
    </row>
    <row r="1014" customFormat="false" ht="23.85" hidden="false" customHeight="false" outlineLevel="0" collapsed="false">
      <c r="A1014" s="11" t="s">
        <v>6381</v>
      </c>
      <c r="B1014" s="11" t="s">
        <v>39</v>
      </c>
      <c r="C1014" s="11" t="s">
        <v>241</v>
      </c>
      <c r="D1014" s="11" t="s">
        <v>242</v>
      </c>
      <c r="E1014" s="11" t="s">
        <v>1187</v>
      </c>
      <c r="F1014" s="11" t="s">
        <v>6382</v>
      </c>
      <c r="G1014" s="11" t="s">
        <v>6383</v>
      </c>
      <c r="H1014" s="11" t="s">
        <v>6384</v>
      </c>
      <c r="I1014" s="11" t="s">
        <v>6385</v>
      </c>
      <c r="J1014" s="11" t="s">
        <v>6386</v>
      </c>
      <c r="K1014" s="11" t="s">
        <v>1725</v>
      </c>
      <c r="L1014" s="11" t="s">
        <v>6387</v>
      </c>
      <c r="M1014" s="11"/>
      <c r="N1014" s="14" t="n">
        <v>2</v>
      </c>
      <c r="O1014" s="14" t="n">
        <v>3</v>
      </c>
      <c r="P1014" s="14" t="n">
        <v>4</v>
      </c>
      <c r="Q1014" s="14"/>
      <c r="R1014" s="12" t="n">
        <f aca="false">IF(OR(N1014="",P1014=""),"",ROUND(N1014*O1014/P1014,1))</f>
        <v>1.5</v>
      </c>
      <c r="S1014" s="13" t="n">
        <f aca="false">IF(R1014="","",IF(Q1014="Y",1,IF(P1014&gt;='Read me'!$B$16,3,IF(AND(R1014&gt;='Read me'!$B$14,P1014&lt;='Read me'!$B$15),1,2))))</f>
        <v>3</v>
      </c>
    </row>
    <row r="1015" customFormat="false" ht="23.85" hidden="false" customHeight="false" outlineLevel="0" collapsed="false">
      <c r="A1015" s="11" t="s">
        <v>6388</v>
      </c>
      <c r="B1015" s="11" t="s">
        <v>39</v>
      </c>
      <c r="C1015" s="11" t="s">
        <v>241</v>
      </c>
      <c r="D1015" s="11" t="s">
        <v>242</v>
      </c>
      <c r="E1015" s="11" t="s">
        <v>1187</v>
      </c>
      <c r="F1015" s="11" t="s">
        <v>6389</v>
      </c>
      <c r="G1015" s="11" t="s">
        <v>6390</v>
      </c>
      <c r="H1015" s="11" t="s">
        <v>6391</v>
      </c>
      <c r="I1015" s="11" t="s">
        <v>6392</v>
      </c>
      <c r="J1015" s="11" t="s">
        <v>6393</v>
      </c>
      <c r="K1015" s="11" t="s">
        <v>3849</v>
      </c>
      <c r="L1015" s="11" t="s">
        <v>6394</v>
      </c>
      <c r="M1015" s="11"/>
      <c r="N1015" s="14" t="n">
        <v>2</v>
      </c>
      <c r="O1015" s="14" t="n">
        <v>2</v>
      </c>
      <c r="P1015" s="14" t="n">
        <v>2</v>
      </c>
      <c r="Q1015" s="14"/>
      <c r="R1015" s="12" t="n">
        <f aca="false">IF(OR(N1015="",P1015=""),"",ROUND(N1015*O1015/P1015,1))</f>
        <v>2</v>
      </c>
      <c r="S1015" s="13" t="n">
        <f aca="false">IF(R1015="","",IF(Q1015="Y",1,IF(P1015&gt;='Read me'!$B$16,3,IF(AND(R1015&gt;='Read me'!$B$14,P1015&lt;='Read me'!$B$15),1,2))))</f>
        <v>2</v>
      </c>
    </row>
    <row r="1016" customFormat="false" ht="46.25" hidden="false" customHeight="false" outlineLevel="0" collapsed="false">
      <c r="A1016" s="11" t="s">
        <v>6395</v>
      </c>
      <c r="B1016" s="11" t="s">
        <v>39</v>
      </c>
      <c r="C1016" s="11" t="s">
        <v>241</v>
      </c>
      <c r="D1016" s="11" t="s">
        <v>242</v>
      </c>
      <c r="E1016" s="11" t="s">
        <v>1187</v>
      </c>
      <c r="F1016" s="11" t="s">
        <v>6396</v>
      </c>
      <c r="G1016" s="11" t="s">
        <v>6397</v>
      </c>
      <c r="H1016" s="11" t="s">
        <v>6398</v>
      </c>
      <c r="I1016" s="11" t="s">
        <v>6399</v>
      </c>
      <c r="J1016" s="11" t="s">
        <v>6400</v>
      </c>
      <c r="K1016" s="11" t="s">
        <v>675</v>
      </c>
      <c r="L1016" s="11" t="s">
        <v>6401</v>
      </c>
      <c r="M1016" s="11" t="s">
        <v>5656</v>
      </c>
      <c r="N1016" s="14" t="n">
        <v>1</v>
      </c>
      <c r="O1016" s="14" t="n">
        <v>3</v>
      </c>
      <c r="P1016" s="14" t="n">
        <v>4</v>
      </c>
      <c r="Q1016" s="14"/>
      <c r="R1016" s="12" t="n">
        <f aca="false">IF(OR(N1016="",P1016=""),"",ROUND(N1016*O1016/P1016,1))</f>
        <v>0.8</v>
      </c>
      <c r="S1016" s="13" t="n">
        <f aca="false">IF(R1016="","",IF(Q1016="Y",1,IF(P1016&gt;='Read me'!$B$16,3,IF(AND(R1016&gt;='Read me'!$B$14,P1016&lt;='Read me'!$B$15),1,2))))</f>
        <v>3</v>
      </c>
    </row>
    <row r="1017" customFormat="false" ht="23.85" hidden="false" customHeight="false" outlineLevel="0" collapsed="false">
      <c r="A1017" s="11" t="s">
        <v>6402</v>
      </c>
      <c r="B1017" s="11" t="s">
        <v>39</v>
      </c>
      <c r="C1017" s="11" t="s">
        <v>241</v>
      </c>
      <c r="D1017" s="11" t="s">
        <v>242</v>
      </c>
      <c r="E1017" s="11" t="s">
        <v>1187</v>
      </c>
      <c r="F1017" s="11" t="s">
        <v>6403</v>
      </c>
      <c r="G1017" s="11" t="s">
        <v>6404</v>
      </c>
      <c r="H1017" s="11"/>
      <c r="I1017" s="11" t="s">
        <v>512</v>
      </c>
      <c r="J1017" s="11" t="s">
        <v>6405</v>
      </c>
      <c r="K1017" s="11" t="s">
        <v>6406</v>
      </c>
      <c r="L1017" s="11" t="s">
        <v>6407</v>
      </c>
      <c r="M1017" s="11"/>
      <c r="N1017" s="14" t="n">
        <v>1</v>
      </c>
      <c r="O1017" s="14" t="n">
        <v>3</v>
      </c>
      <c r="P1017" s="14" t="n">
        <v>5</v>
      </c>
      <c r="Q1017" s="14"/>
      <c r="R1017" s="12" t="n">
        <f aca="false">IF(OR(N1017="",P1017=""),"",ROUND(N1017*O1017/P1017,1))</f>
        <v>0.6</v>
      </c>
      <c r="S1017" s="13" t="n">
        <f aca="false">IF(R1017="","",IF(Q1017="Y",1,IF(P1017&gt;='Read me'!$B$16,3,IF(AND(R1017&gt;='Read me'!$B$14,P1017&lt;='Read me'!$B$15),1,2))))</f>
        <v>3</v>
      </c>
    </row>
    <row r="1018" customFormat="false" ht="23.85" hidden="false" customHeight="false" outlineLevel="0" collapsed="false">
      <c r="A1018" s="11" t="s">
        <v>6408</v>
      </c>
      <c r="B1018" s="11" t="s">
        <v>39</v>
      </c>
      <c r="C1018" s="11" t="s">
        <v>241</v>
      </c>
      <c r="D1018" s="11" t="s">
        <v>242</v>
      </c>
      <c r="E1018" s="11" t="s">
        <v>1187</v>
      </c>
      <c r="F1018" s="11" t="s">
        <v>5798</v>
      </c>
      <c r="G1018" s="11" t="s">
        <v>6409</v>
      </c>
      <c r="H1018" s="11"/>
      <c r="I1018" s="11" t="s">
        <v>6410</v>
      </c>
      <c r="J1018" s="11" t="s">
        <v>6411</v>
      </c>
      <c r="K1018" s="11" t="s">
        <v>1151</v>
      </c>
      <c r="L1018" s="11" t="s">
        <v>6412</v>
      </c>
      <c r="M1018" s="11"/>
      <c r="N1018" s="14" t="n">
        <v>1</v>
      </c>
      <c r="O1018" s="14" t="n">
        <v>3</v>
      </c>
      <c r="P1018" s="14" t="n">
        <v>5</v>
      </c>
      <c r="Q1018" s="14"/>
      <c r="R1018" s="12" t="n">
        <f aca="false">IF(OR(N1018="",P1018=""),"",ROUND(N1018*O1018/P1018,1))</f>
        <v>0.6</v>
      </c>
      <c r="S1018" s="13" t="n">
        <f aca="false">IF(R1018="","",IF(Q1018="Y",1,IF(P1018&gt;='Read me'!$B$16,3,IF(AND(R1018&gt;='Read me'!$B$14,P1018&lt;='Read me'!$B$15),1,2))))</f>
        <v>3</v>
      </c>
    </row>
    <row r="1019" customFormat="false" ht="46.25" hidden="false" customHeight="false" outlineLevel="0" collapsed="false">
      <c r="A1019" s="11" t="s">
        <v>6413</v>
      </c>
      <c r="B1019" s="11" t="s">
        <v>39</v>
      </c>
      <c r="C1019" s="11" t="s">
        <v>241</v>
      </c>
      <c r="D1019" s="11" t="s">
        <v>242</v>
      </c>
      <c r="E1019" s="11" t="s">
        <v>1133</v>
      </c>
      <c r="F1019" s="11" t="s">
        <v>5650</v>
      </c>
      <c r="G1019" s="11" t="s">
        <v>1990</v>
      </c>
      <c r="H1019" s="11"/>
      <c r="I1019" s="11" t="s">
        <v>6414</v>
      </c>
      <c r="J1019" s="11" t="s">
        <v>6415</v>
      </c>
      <c r="K1019" s="11" t="s">
        <v>6416</v>
      </c>
      <c r="L1019" s="11" t="s">
        <v>6417</v>
      </c>
      <c r="M1019" s="11" t="s">
        <v>5507</v>
      </c>
      <c r="N1019" s="14" t="n">
        <v>4</v>
      </c>
      <c r="O1019" s="14" t="n">
        <v>4</v>
      </c>
      <c r="P1019" s="14" t="n">
        <v>3</v>
      </c>
      <c r="Q1019" s="14"/>
      <c r="R1019" s="12" t="n">
        <f aca="false">IF(OR(N1019="",P1019=""),"",ROUND(N1019*O1019/P1019,1))</f>
        <v>5.3</v>
      </c>
      <c r="S1019" s="13" t="n">
        <f aca="false">IF(R1019="","",IF(Q1019="Y",1,IF(P1019&gt;='Read me'!$B$16,3,IF(AND(R1019&gt;='Read me'!$B$14,P1019&lt;='Read me'!$B$15),1,2))))</f>
        <v>2</v>
      </c>
    </row>
    <row r="1020" customFormat="false" ht="46.25" hidden="false" customHeight="false" outlineLevel="0" collapsed="false">
      <c r="A1020" s="11" t="s">
        <v>6418</v>
      </c>
      <c r="B1020" s="11" t="s">
        <v>39</v>
      </c>
      <c r="C1020" s="11" t="s">
        <v>241</v>
      </c>
      <c r="D1020" s="11" t="s">
        <v>242</v>
      </c>
      <c r="E1020" s="11" t="s">
        <v>1133</v>
      </c>
      <c r="F1020" s="11" t="s">
        <v>5650</v>
      </c>
      <c r="G1020" s="11" t="s">
        <v>6419</v>
      </c>
      <c r="H1020" s="11" t="s">
        <v>6420</v>
      </c>
      <c r="I1020" s="11" t="s">
        <v>6421</v>
      </c>
      <c r="J1020" s="11" t="s">
        <v>6422</v>
      </c>
      <c r="K1020" s="11" t="s">
        <v>6423</v>
      </c>
      <c r="L1020" s="11" t="s">
        <v>6424</v>
      </c>
      <c r="M1020" s="11" t="s">
        <v>5656</v>
      </c>
      <c r="N1020" s="14" t="n">
        <v>2</v>
      </c>
      <c r="O1020" s="14" t="n">
        <v>3</v>
      </c>
      <c r="P1020" s="14" t="n">
        <v>3</v>
      </c>
      <c r="Q1020" s="14"/>
      <c r="R1020" s="12" t="n">
        <f aca="false">IF(OR(N1020="",P1020=""),"",ROUND(N1020*O1020/P1020,1))</f>
        <v>2</v>
      </c>
      <c r="S1020" s="13" t="n">
        <f aca="false">IF(R1020="","",IF(Q1020="Y",1,IF(P1020&gt;='Read me'!$B$16,3,IF(AND(R1020&gt;='Read me'!$B$14,P1020&lt;='Read me'!$B$15),1,2))))</f>
        <v>2</v>
      </c>
    </row>
    <row r="1021" customFormat="false" ht="46.25" hidden="false" customHeight="false" outlineLevel="0" collapsed="false">
      <c r="A1021" s="11" t="s">
        <v>6425</v>
      </c>
      <c r="B1021" s="11" t="s">
        <v>39</v>
      </c>
      <c r="C1021" s="11" t="s">
        <v>241</v>
      </c>
      <c r="D1021" s="11" t="s">
        <v>242</v>
      </c>
      <c r="E1021" s="11" t="s">
        <v>1133</v>
      </c>
      <c r="F1021" s="11" t="s">
        <v>5650</v>
      </c>
      <c r="G1021" s="11" t="s">
        <v>6426</v>
      </c>
      <c r="H1021" s="11" t="s">
        <v>5660</v>
      </c>
      <c r="I1021" s="11" t="s">
        <v>6427</v>
      </c>
      <c r="J1021" s="11" t="s">
        <v>6428</v>
      </c>
      <c r="K1021" s="11" t="s">
        <v>5663</v>
      </c>
      <c r="L1021" s="11" t="s">
        <v>6429</v>
      </c>
      <c r="M1021" s="11" t="s">
        <v>5507</v>
      </c>
      <c r="N1021" s="14" t="n">
        <v>2</v>
      </c>
      <c r="O1021" s="14" t="n">
        <v>2</v>
      </c>
      <c r="P1021" s="14" t="n">
        <v>2</v>
      </c>
      <c r="Q1021" s="14"/>
      <c r="R1021" s="12" t="n">
        <f aca="false">IF(OR(N1021="",P1021=""),"",ROUND(N1021*O1021/P1021,1))</f>
        <v>2</v>
      </c>
      <c r="S1021" s="13" t="n">
        <f aca="false">IF(R1021="","",IF(Q1021="Y",1,IF(P1021&gt;='Read me'!$B$16,3,IF(AND(R1021&gt;='Read me'!$B$14,P1021&lt;='Read me'!$B$15),1,2))))</f>
        <v>2</v>
      </c>
    </row>
    <row r="1022" customFormat="false" ht="23.85" hidden="false" customHeight="false" outlineLevel="0" collapsed="false">
      <c r="A1022" s="11" t="s">
        <v>6430</v>
      </c>
      <c r="B1022" s="11" t="s">
        <v>39</v>
      </c>
      <c r="C1022" s="11" t="s">
        <v>241</v>
      </c>
      <c r="D1022" s="11" t="s">
        <v>242</v>
      </c>
      <c r="E1022" s="11" t="s">
        <v>1133</v>
      </c>
      <c r="F1022" s="11" t="s">
        <v>6431</v>
      </c>
      <c r="G1022" s="11" t="s">
        <v>6432</v>
      </c>
      <c r="H1022" s="11"/>
      <c r="I1022" s="11" t="s">
        <v>6433</v>
      </c>
      <c r="J1022" s="11" t="s">
        <v>6434</v>
      </c>
      <c r="K1022" s="11" t="s">
        <v>6435</v>
      </c>
      <c r="L1022" s="11" t="s">
        <v>6436</v>
      </c>
      <c r="M1022" s="11"/>
      <c r="N1022" s="14" t="n">
        <v>3</v>
      </c>
      <c r="O1022" s="14" t="n">
        <v>3</v>
      </c>
      <c r="P1022" s="14" t="n">
        <v>2</v>
      </c>
      <c r="Q1022" s="14"/>
      <c r="R1022" s="12" t="n">
        <f aca="false">IF(OR(N1022="",P1022=""),"",ROUND(N1022*O1022/P1022,1))</f>
        <v>4.5</v>
      </c>
      <c r="S1022" s="13" t="n">
        <f aca="false">IF(R1022="","",IF(Q1022="Y",1,IF(P1022&gt;='Read me'!$B$16,3,IF(AND(R1022&gt;='Read me'!$B$14,P1022&lt;='Read me'!$B$15),1,2))))</f>
        <v>2</v>
      </c>
    </row>
    <row r="1023" customFormat="false" ht="23.85" hidden="false" customHeight="false" outlineLevel="0" collapsed="false">
      <c r="A1023" s="11" t="s">
        <v>6437</v>
      </c>
      <c r="B1023" s="11" t="s">
        <v>39</v>
      </c>
      <c r="C1023" s="11" t="s">
        <v>241</v>
      </c>
      <c r="D1023" s="11" t="s">
        <v>242</v>
      </c>
      <c r="E1023" s="11" t="s">
        <v>1133</v>
      </c>
      <c r="F1023" s="11" t="s">
        <v>6438</v>
      </c>
      <c r="G1023" s="11" t="s">
        <v>6439</v>
      </c>
      <c r="H1023" s="11"/>
      <c r="I1023" s="11" t="s">
        <v>6440</v>
      </c>
      <c r="J1023" s="11" t="s">
        <v>6441</v>
      </c>
      <c r="K1023" s="11" t="s">
        <v>3696</v>
      </c>
      <c r="L1023" s="11" t="s">
        <v>6442</v>
      </c>
      <c r="M1023" s="11"/>
      <c r="N1023" s="14" t="n">
        <v>3</v>
      </c>
      <c r="O1023" s="14" t="n">
        <v>3</v>
      </c>
      <c r="P1023" s="14" t="n">
        <v>3</v>
      </c>
      <c r="Q1023" s="14"/>
      <c r="R1023" s="12" t="n">
        <f aca="false">IF(OR(N1023="",P1023=""),"",ROUND(N1023*O1023/P1023,1))</f>
        <v>3</v>
      </c>
      <c r="S1023" s="13" t="n">
        <f aca="false">IF(R1023="","",IF(Q1023="Y",1,IF(P1023&gt;='Read me'!$B$16,3,IF(AND(R1023&gt;='Read me'!$B$14,P1023&lt;='Read me'!$B$15),1,2))))</f>
        <v>2</v>
      </c>
    </row>
    <row r="1024" customFormat="false" ht="23.85" hidden="false" customHeight="false" outlineLevel="0" collapsed="false">
      <c r="A1024" s="11" t="s">
        <v>6443</v>
      </c>
      <c r="B1024" s="11" t="s">
        <v>39</v>
      </c>
      <c r="C1024" s="11" t="s">
        <v>241</v>
      </c>
      <c r="D1024" s="11" t="s">
        <v>242</v>
      </c>
      <c r="E1024" s="11" t="s">
        <v>1133</v>
      </c>
      <c r="F1024" s="11" t="s">
        <v>6444</v>
      </c>
      <c r="G1024" s="11" t="s">
        <v>6445</v>
      </c>
      <c r="H1024" s="11"/>
      <c r="I1024" s="11" t="s">
        <v>1361</v>
      </c>
      <c r="J1024" s="11" t="s">
        <v>6446</v>
      </c>
      <c r="K1024" s="11" t="s">
        <v>1363</v>
      </c>
      <c r="L1024" s="11" t="s">
        <v>6447</v>
      </c>
      <c r="M1024" s="11"/>
      <c r="N1024" s="14" t="n">
        <v>4</v>
      </c>
      <c r="O1024" s="14" t="n">
        <v>3</v>
      </c>
      <c r="P1024" s="14" t="n">
        <v>3</v>
      </c>
      <c r="Q1024" s="14"/>
      <c r="R1024" s="12" t="n">
        <f aca="false">IF(OR(N1024="",P1024=""),"",ROUND(N1024*O1024/P1024,1))</f>
        <v>4</v>
      </c>
      <c r="S1024" s="13" t="n">
        <f aca="false">IF(R1024="","",IF(Q1024="Y",1,IF(P1024&gt;='Read me'!$B$16,3,IF(AND(R1024&gt;='Read me'!$B$14,P1024&lt;='Read me'!$B$15),1,2))))</f>
        <v>2</v>
      </c>
    </row>
    <row r="1025" customFormat="false" ht="46.25" hidden="false" customHeight="false" outlineLevel="0" collapsed="false">
      <c r="A1025" s="11" t="s">
        <v>6448</v>
      </c>
      <c r="B1025" s="11" t="s">
        <v>39</v>
      </c>
      <c r="C1025" s="11" t="s">
        <v>241</v>
      </c>
      <c r="D1025" s="11" t="s">
        <v>242</v>
      </c>
      <c r="E1025" s="11" t="s">
        <v>1133</v>
      </c>
      <c r="F1025" s="11" t="s">
        <v>6449</v>
      </c>
      <c r="G1025" s="11" t="s">
        <v>6450</v>
      </c>
      <c r="H1025" s="11"/>
      <c r="I1025" s="11" t="s">
        <v>6451</v>
      </c>
      <c r="J1025" s="11" t="s">
        <v>6452</v>
      </c>
      <c r="K1025" s="11" t="s">
        <v>6453</v>
      </c>
      <c r="L1025" s="11" t="s">
        <v>6454</v>
      </c>
      <c r="M1025" s="11" t="s">
        <v>5656</v>
      </c>
      <c r="N1025" s="14" t="n">
        <v>3</v>
      </c>
      <c r="O1025" s="14" t="n">
        <v>4</v>
      </c>
      <c r="P1025" s="14" t="n">
        <v>3</v>
      </c>
      <c r="Q1025" s="14"/>
      <c r="R1025" s="12" t="n">
        <f aca="false">IF(OR(N1025="",P1025=""),"",ROUND(N1025*O1025/P1025,1))</f>
        <v>4</v>
      </c>
      <c r="S1025" s="13" t="n">
        <f aca="false">IF(R1025="","",IF(Q1025="Y",1,IF(P1025&gt;='Read me'!$B$16,3,IF(AND(R1025&gt;='Read me'!$B$14,P1025&lt;='Read me'!$B$15),1,2))))</f>
        <v>2</v>
      </c>
    </row>
    <row r="1026" customFormat="false" ht="46.25" hidden="false" customHeight="false" outlineLevel="0" collapsed="false">
      <c r="A1026" s="11" t="s">
        <v>6455</v>
      </c>
      <c r="B1026" s="11" t="s">
        <v>39</v>
      </c>
      <c r="C1026" s="11" t="s">
        <v>241</v>
      </c>
      <c r="D1026" s="11" t="s">
        <v>242</v>
      </c>
      <c r="E1026" s="11" t="s">
        <v>1133</v>
      </c>
      <c r="F1026" s="11" t="s">
        <v>6449</v>
      </c>
      <c r="G1026" s="11" t="s">
        <v>6284</v>
      </c>
      <c r="H1026" s="11" t="s">
        <v>6456</v>
      </c>
      <c r="I1026" s="11" t="s">
        <v>6457</v>
      </c>
      <c r="J1026" s="11" t="s">
        <v>6458</v>
      </c>
      <c r="K1026" s="11" t="s">
        <v>2121</v>
      </c>
      <c r="L1026" s="11" t="s">
        <v>6459</v>
      </c>
      <c r="M1026" s="11" t="s">
        <v>5656</v>
      </c>
      <c r="N1026" s="14" t="n">
        <v>2</v>
      </c>
      <c r="O1026" s="14" t="n">
        <v>3</v>
      </c>
      <c r="P1026" s="14" t="n">
        <v>3</v>
      </c>
      <c r="Q1026" s="14"/>
      <c r="R1026" s="12" t="n">
        <f aca="false">IF(OR(N1026="",P1026=""),"",ROUND(N1026*O1026/P1026,1))</f>
        <v>2</v>
      </c>
      <c r="S1026" s="13" t="n">
        <f aca="false">IF(R1026="","",IF(Q1026="Y",1,IF(P1026&gt;='Read me'!$B$16,3,IF(AND(R1026&gt;='Read me'!$B$14,P1026&lt;='Read me'!$B$15),1,2))))</f>
        <v>2</v>
      </c>
    </row>
    <row r="1027" customFormat="false" ht="23.85" hidden="false" customHeight="false" outlineLevel="0" collapsed="false">
      <c r="A1027" s="11" t="s">
        <v>6460</v>
      </c>
      <c r="B1027" s="11" t="s">
        <v>39</v>
      </c>
      <c r="C1027" s="11" t="s">
        <v>241</v>
      </c>
      <c r="D1027" s="11" t="s">
        <v>242</v>
      </c>
      <c r="E1027" s="11" t="s">
        <v>1133</v>
      </c>
      <c r="F1027" s="11" t="s">
        <v>6461</v>
      </c>
      <c r="G1027" s="11" t="s">
        <v>6462</v>
      </c>
      <c r="H1027" s="11"/>
      <c r="I1027" s="11" t="s">
        <v>6463</v>
      </c>
      <c r="J1027" s="11" t="s">
        <v>6464</v>
      </c>
      <c r="K1027" s="11" t="s">
        <v>5612</v>
      </c>
      <c r="L1027" s="11" t="s">
        <v>6465</v>
      </c>
      <c r="M1027" s="11" t="s">
        <v>6466</v>
      </c>
      <c r="N1027" s="14" t="n">
        <v>1</v>
      </c>
      <c r="O1027" s="14" t="n">
        <v>3</v>
      </c>
      <c r="P1027" s="14" t="n">
        <v>4</v>
      </c>
      <c r="Q1027" s="14"/>
      <c r="R1027" s="12" t="n">
        <f aca="false">IF(OR(N1027="",P1027=""),"",ROUND(N1027*O1027/P1027,1))</f>
        <v>0.8</v>
      </c>
      <c r="S1027" s="13" t="n">
        <f aca="false">IF(R1027="","",IF(Q1027="Y",1,IF(P1027&gt;='Read me'!$B$16,3,IF(AND(R1027&gt;='Read me'!$B$14,P1027&lt;='Read me'!$B$15),1,2))))</f>
        <v>3</v>
      </c>
    </row>
    <row r="1028" customFormat="false" ht="23.85" hidden="false" customHeight="false" outlineLevel="0" collapsed="false">
      <c r="A1028" s="11" t="s">
        <v>6467</v>
      </c>
      <c r="B1028" s="11" t="s">
        <v>39</v>
      </c>
      <c r="C1028" s="11" t="s">
        <v>241</v>
      </c>
      <c r="D1028" s="11" t="s">
        <v>242</v>
      </c>
      <c r="E1028" s="11" t="s">
        <v>1133</v>
      </c>
      <c r="F1028" s="11" t="s">
        <v>6468</v>
      </c>
      <c r="G1028" s="11" t="s">
        <v>6469</v>
      </c>
      <c r="H1028" s="11"/>
      <c r="I1028" s="11" t="s">
        <v>6470</v>
      </c>
      <c r="J1028" s="11" t="s">
        <v>6471</v>
      </c>
      <c r="K1028" s="11" t="s">
        <v>2261</v>
      </c>
      <c r="L1028" s="11" t="s">
        <v>6472</v>
      </c>
      <c r="M1028" s="11"/>
      <c r="N1028" s="14" t="n">
        <v>2</v>
      </c>
      <c r="O1028" s="14" t="n">
        <v>3</v>
      </c>
      <c r="P1028" s="14" t="n">
        <v>2</v>
      </c>
      <c r="Q1028" s="14"/>
      <c r="R1028" s="12" t="n">
        <f aca="false">IF(OR(N1028="",P1028=""),"",ROUND(N1028*O1028/P1028,1))</f>
        <v>3</v>
      </c>
      <c r="S1028" s="13" t="n">
        <f aca="false">IF(R1028="","",IF(Q1028="Y",1,IF(P1028&gt;='Read me'!$B$16,3,IF(AND(R1028&gt;='Read me'!$B$14,P1028&lt;='Read me'!$B$15),1,2))))</f>
        <v>2</v>
      </c>
    </row>
    <row r="1029" customFormat="false" ht="23.85" hidden="false" customHeight="false" outlineLevel="0" collapsed="false">
      <c r="A1029" s="11" t="s">
        <v>6473</v>
      </c>
      <c r="B1029" s="11" t="s">
        <v>39</v>
      </c>
      <c r="C1029" s="11" t="s">
        <v>241</v>
      </c>
      <c r="D1029" s="11" t="s">
        <v>242</v>
      </c>
      <c r="E1029" s="11" t="s">
        <v>1133</v>
      </c>
      <c r="F1029" s="11" t="s">
        <v>2064</v>
      </c>
      <c r="G1029" s="11" t="s">
        <v>6474</v>
      </c>
      <c r="H1029" s="11"/>
      <c r="I1029" s="11" t="s">
        <v>6475</v>
      </c>
      <c r="J1029" s="11" t="s">
        <v>6476</v>
      </c>
      <c r="K1029" s="11" t="s">
        <v>997</v>
      </c>
      <c r="L1029" s="11" t="s">
        <v>6477</v>
      </c>
      <c r="M1029" s="11" t="s">
        <v>5306</v>
      </c>
      <c r="N1029" s="14" t="n">
        <v>3</v>
      </c>
      <c r="O1029" s="14" t="n">
        <v>2</v>
      </c>
      <c r="P1029" s="14" t="n">
        <v>1</v>
      </c>
      <c r="Q1029" s="14"/>
      <c r="R1029" s="12" t="n">
        <f aca="false">IF(OR(N1029="",P1029=""),"",ROUND(N1029*O1029/P1029,1))</f>
        <v>6</v>
      </c>
      <c r="S1029" s="13" t="n">
        <f aca="false">IF(R1029="","",IF(Q1029="Y",1,IF(P1029&gt;='Read me'!$B$16,3,IF(AND(R1029&gt;='Read me'!$B$14,P1029&lt;='Read me'!$B$15),1,2))))</f>
        <v>1</v>
      </c>
    </row>
    <row r="1030" customFormat="false" ht="23.85" hidden="false" customHeight="false" outlineLevel="0" collapsed="false">
      <c r="A1030" s="11" t="s">
        <v>6478</v>
      </c>
      <c r="B1030" s="11" t="s">
        <v>39</v>
      </c>
      <c r="C1030" s="11" t="s">
        <v>241</v>
      </c>
      <c r="D1030" s="11" t="s">
        <v>242</v>
      </c>
      <c r="E1030" s="11" t="s">
        <v>1133</v>
      </c>
      <c r="F1030" s="11" t="s">
        <v>6479</v>
      </c>
      <c r="G1030" s="11" t="s">
        <v>1148</v>
      </c>
      <c r="H1030" s="11"/>
      <c r="I1030" s="11" t="s">
        <v>6480</v>
      </c>
      <c r="J1030" s="11" t="s">
        <v>6481</v>
      </c>
      <c r="K1030" s="11" t="s">
        <v>1151</v>
      </c>
      <c r="L1030" s="11" t="s">
        <v>6482</v>
      </c>
      <c r="M1030" s="11" t="s">
        <v>1153</v>
      </c>
      <c r="N1030" s="14" t="n">
        <v>1</v>
      </c>
      <c r="O1030" s="14" t="n">
        <v>3</v>
      </c>
      <c r="P1030" s="14" t="n">
        <v>4</v>
      </c>
      <c r="Q1030" s="14"/>
      <c r="R1030" s="12" t="n">
        <f aca="false">IF(OR(N1030="",P1030=""),"",ROUND(N1030*O1030/P1030,1))</f>
        <v>0.8</v>
      </c>
      <c r="S1030" s="13" t="n">
        <f aca="false">IF(R1030="","",IF(Q1030="Y",1,IF(P1030&gt;='Read me'!$B$16,3,IF(AND(R1030&gt;='Read me'!$B$14,P1030&lt;='Read me'!$B$15),1,2))))</f>
        <v>3</v>
      </c>
    </row>
    <row r="1031" customFormat="false" ht="35.05" hidden="false" customHeight="false" outlineLevel="0" collapsed="false">
      <c r="A1031" s="11" t="s">
        <v>6483</v>
      </c>
      <c r="B1031" s="11" t="s">
        <v>39</v>
      </c>
      <c r="C1031" s="11" t="s">
        <v>241</v>
      </c>
      <c r="D1031" s="11" t="s">
        <v>242</v>
      </c>
      <c r="E1031" s="11" t="s">
        <v>1133</v>
      </c>
      <c r="F1031" s="11" t="s">
        <v>6484</v>
      </c>
      <c r="G1031" s="11" t="s">
        <v>6485</v>
      </c>
      <c r="H1031" s="11"/>
      <c r="I1031" s="11" t="s">
        <v>6486</v>
      </c>
      <c r="J1031" s="11" t="s">
        <v>6487</v>
      </c>
      <c r="K1031" s="11" t="s">
        <v>6435</v>
      </c>
      <c r="L1031" s="11" t="s">
        <v>6488</v>
      </c>
      <c r="M1031" s="11"/>
      <c r="N1031" s="14" t="n">
        <v>1</v>
      </c>
      <c r="O1031" s="14" t="n">
        <v>2</v>
      </c>
      <c r="P1031" s="14" t="n">
        <v>2</v>
      </c>
      <c r="Q1031" s="14"/>
      <c r="R1031" s="12" t="n">
        <f aca="false">IF(OR(N1031="",P1031=""),"",ROUND(N1031*O1031/P1031,1))</f>
        <v>1</v>
      </c>
      <c r="S1031" s="13" t="n">
        <f aca="false">IF(R1031="","",IF(Q1031="Y",1,IF(P1031&gt;='Read me'!$B$16,3,IF(AND(R1031&gt;='Read me'!$B$14,P1031&lt;='Read me'!$B$15),1,2))))</f>
        <v>2</v>
      </c>
    </row>
    <row r="1032" customFormat="false" ht="23.85" hidden="false" customHeight="false" outlineLevel="0" collapsed="false">
      <c r="A1032" s="11" t="s">
        <v>6489</v>
      </c>
      <c r="B1032" s="11" t="s">
        <v>39</v>
      </c>
      <c r="C1032" s="11" t="s">
        <v>241</v>
      </c>
      <c r="D1032" s="11" t="s">
        <v>242</v>
      </c>
      <c r="E1032" s="11" t="s">
        <v>1372</v>
      </c>
      <c r="F1032" s="11" t="s">
        <v>6490</v>
      </c>
      <c r="G1032" s="11" t="s">
        <v>5950</v>
      </c>
      <c r="H1032" s="11"/>
      <c r="I1032" s="11" t="s">
        <v>6491</v>
      </c>
      <c r="J1032" s="11" t="s">
        <v>6492</v>
      </c>
      <c r="K1032" s="11" t="s">
        <v>6493</v>
      </c>
      <c r="L1032" s="11" t="s">
        <v>6494</v>
      </c>
      <c r="M1032" s="11"/>
      <c r="N1032" s="14" t="n">
        <v>3</v>
      </c>
      <c r="O1032" s="14" t="n">
        <v>2</v>
      </c>
      <c r="P1032" s="14" t="n">
        <v>1</v>
      </c>
      <c r="Q1032" s="14"/>
      <c r="R1032" s="12" t="n">
        <f aca="false">IF(OR(N1032="",P1032=""),"",ROUND(N1032*O1032/P1032,1))</f>
        <v>6</v>
      </c>
      <c r="S1032" s="13" t="n">
        <f aca="false">IF(R1032="","",IF(Q1032="Y",1,IF(P1032&gt;='Read me'!$B$16,3,IF(AND(R1032&gt;='Read me'!$B$14,P1032&lt;='Read me'!$B$15),1,2))))</f>
        <v>1</v>
      </c>
    </row>
    <row r="1033" customFormat="false" ht="23.85" hidden="false" customHeight="false" outlineLevel="0" collapsed="false">
      <c r="A1033" s="11" t="s">
        <v>6495</v>
      </c>
      <c r="B1033" s="11" t="s">
        <v>40</v>
      </c>
      <c r="C1033" s="11" t="s">
        <v>245</v>
      </c>
      <c r="D1033" s="11" t="s">
        <v>246</v>
      </c>
      <c r="E1033" s="11" t="s">
        <v>476</v>
      </c>
      <c r="F1033" s="11" t="s">
        <v>6496</v>
      </c>
      <c r="G1033" s="11" t="s">
        <v>6497</v>
      </c>
      <c r="H1033" s="11"/>
      <c r="I1033" s="11" t="s">
        <v>6498</v>
      </c>
      <c r="J1033" s="11" t="s">
        <v>6499</v>
      </c>
      <c r="K1033" s="11" t="s">
        <v>6500</v>
      </c>
      <c r="L1033" s="11" t="s">
        <v>6501</v>
      </c>
      <c r="M1033" s="11"/>
      <c r="N1033" s="14" t="n">
        <v>5</v>
      </c>
      <c r="O1033" s="14" t="n">
        <v>4</v>
      </c>
      <c r="P1033" s="14" t="n">
        <v>1</v>
      </c>
      <c r="Q1033" s="14"/>
      <c r="R1033" s="12" t="n">
        <f aca="false">IF(OR(N1033="",P1033=""),"",ROUND(N1033*O1033/P1033,1))</f>
        <v>20</v>
      </c>
      <c r="S1033" s="13" t="n">
        <f aca="false">IF(R1033="","",IF(Q1033="Y",1,IF(P1033&gt;='Read me'!$B$16,3,IF(AND(R1033&gt;='Read me'!$B$14,P1033&lt;='Read me'!$B$15),1,2))))</f>
        <v>1</v>
      </c>
    </row>
    <row r="1034" customFormat="false" ht="15" hidden="false" customHeight="false" outlineLevel="0" collapsed="false">
      <c r="A1034" s="11" t="s">
        <v>6502</v>
      </c>
      <c r="B1034" s="11" t="s">
        <v>40</v>
      </c>
      <c r="C1034" s="11" t="s">
        <v>245</v>
      </c>
      <c r="D1034" s="11" t="s">
        <v>246</v>
      </c>
      <c r="E1034" s="11" t="s">
        <v>476</v>
      </c>
      <c r="F1034" s="11" t="s">
        <v>6496</v>
      </c>
      <c r="G1034" s="11" t="s">
        <v>597</v>
      </c>
      <c r="H1034" s="11"/>
      <c r="I1034" s="11" t="s">
        <v>6503</v>
      </c>
      <c r="J1034" s="11" t="s">
        <v>6504</v>
      </c>
      <c r="K1034" s="11" t="s">
        <v>6505</v>
      </c>
      <c r="L1034" s="11" t="s">
        <v>5319</v>
      </c>
      <c r="M1034" s="11"/>
      <c r="N1034" s="14" t="n">
        <v>4</v>
      </c>
      <c r="O1034" s="14" t="n">
        <v>4</v>
      </c>
      <c r="P1034" s="14" t="n">
        <v>1</v>
      </c>
      <c r="Q1034" s="14"/>
      <c r="R1034" s="12" t="n">
        <f aca="false">IF(OR(N1034="",P1034=""),"",ROUND(N1034*O1034/P1034,1))</f>
        <v>16</v>
      </c>
      <c r="S1034" s="13" t="n">
        <f aca="false">IF(R1034="","",IF(Q1034="Y",1,IF(P1034&gt;='Read me'!$B$16,3,IF(AND(R1034&gt;='Read me'!$B$14,P1034&lt;='Read me'!$B$15),1,2))))</f>
        <v>1</v>
      </c>
    </row>
    <row r="1035" customFormat="false" ht="35.05" hidden="false" customHeight="false" outlineLevel="0" collapsed="false">
      <c r="A1035" s="11" t="s">
        <v>6506</v>
      </c>
      <c r="B1035" s="11" t="s">
        <v>40</v>
      </c>
      <c r="C1035" s="11" t="s">
        <v>245</v>
      </c>
      <c r="D1035" s="11" t="s">
        <v>246</v>
      </c>
      <c r="E1035" s="11" t="s">
        <v>476</v>
      </c>
      <c r="F1035" s="11" t="s">
        <v>6507</v>
      </c>
      <c r="G1035" s="11" t="s">
        <v>6508</v>
      </c>
      <c r="H1035" s="11"/>
      <c r="I1035" s="11" t="s">
        <v>512</v>
      </c>
      <c r="J1035" s="11" t="s">
        <v>6509</v>
      </c>
      <c r="K1035" s="11" t="s">
        <v>4502</v>
      </c>
      <c r="L1035" s="11" t="s">
        <v>6510</v>
      </c>
      <c r="M1035" s="11" t="s">
        <v>5331</v>
      </c>
      <c r="N1035" s="14" t="n">
        <v>3</v>
      </c>
      <c r="O1035" s="14" t="n">
        <v>4</v>
      </c>
      <c r="P1035" s="14" t="n">
        <v>2</v>
      </c>
      <c r="Q1035" s="14"/>
      <c r="R1035" s="12" t="n">
        <f aca="false">IF(OR(N1035="",P1035=""),"",ROUND(N1035*O1035/P1035,1))</f>
        <v>6</v>
      </c>
      <c r="S1035" s="13" t="n">
        <f aca="false">IF(R1035="","",IF(Q1035="Y",1,IF(P1035&gt;='Read me'!$B$16,3,IF(AND(R1035&gt;='Read me'!$B$14,P1035&lt;='Read me'!$B$15),1,2))))</f>
        <v>1</v>
      </c>
    </row>
    <row r="1036" customFormat="false" ht="15" hidden="false" customHeight="false" outlineLevel="0" collapsed="false">
      <c r="A1036" s="11" t="s">
        <v>6511</v>
      </c>
      <c r="B1036" s="11" t="s">
        <v>40</v>
      </c>
      <c r="C1036" s="11" t="s">
        <v>245</v>
      </c>
      <c r="D1036" s="11" t="s">
        <v>246</v>
      </c>
      <c r="E1036" s="11" t="s">
        <v>626</v>
      </c>
      <c r="F1036" s="11" t="s">
        <v>6512</v>
      </c>
      <c r="G1036" s="11" t="s">
        <v>6513</v>
      </c>
      <c r="H1036" s="11"/>
      <c r="I1036" s="11" t="s">
        <v>6514</v>
      </c>
      <c r="J1036" s="11" t="s">
        <v>6515</v>
      </c>
      <c r="K1036" s="11" t="s">
        <v>5430</v>
      </c>
      <c r="L1036" s="11" t="s">
        <v>6516</v>
      </c>
      <c r="M1036" s="11"/>
      <c r="N1036" s="14" t="n">
        <v>3</v>
      </c>
      <c r="O1036" s="14" t="n">
        <v>3</v>
      </c>
      <c r="P1036" s="14" t="n">
        <v>2</v>
      </c>
      <c r="Q1036" s="14"/>
      <c r="R1036" s="12" t="n">
        <f aca="false">IF(OR(N1036="",P1036=""),"",ROUND(N1036*O1036/P1036,1))</f>
        <v>4.5</v>
      </c>
      <c r="S1036" s="13" t="n">
        <f aca="false">IF(R1036="","",IF(Q1036="Y",1,IF(P1036&gt;='Read me'!$B$16,3,IF(AND(R1036&gt;='Read me'!$B$14,P1036&lt;='Read me'!$B$15),1,2))))</f>
        <v>2</v>
      </c>
    </row>
    <row r="1037" customFormat="false" ht="23.85" hidden="false" customHeight="false" outlineLevel="0" collapsed="false">
      <c r="A1037" s="11" t="s">
        <v>6517</v>
      </c>
      <c r="B1037" s="11" t="s">
        <v>40</v>
      </c>
      <c r="C1037" s="11" t="s">
        <v>245</v>
      </c>
      <c r="D1037" s="11" t="s">
        <v>246</v>
      </c>
      <c r="E1037" s="11" t="s">
        <v>626</v>
      </c>
      <c r="F1037" s="11" t="s">
        <v>6518</v>
      </c>
      <c r="G1037" s="11" t="s">
        <v>6519</v>
      </c>
      <c r="H1037" s="11"/>
      <c r="I1037" s="11" t="s">
        <v>6520</v>
      </c>
      <c r="J1037" s="11" t="s">
        <v>6521</v>
      </c>
      <c r="K1037" s="11" t="s">
        <v>6522</v>
      </c>
      <c r="L1037" s="11" t="s">
        <v>6523</v>
      </c>
      <c r="M1037" s="11"/>
      <c r="N1037" s="14" t="n">
        <v>3</v>
      </c>
      <c r="O1037" s="14" t="n">
        <v>3</v>
      </c>
      <c r="P1037" s="14" t="n">
        <v>1</v>
      </c>
      <c r="Q1037" s="14"/>
      <c r="R1037" s="12" t="n">
        <f aca="false">IF(OR(N1037="",P1037=""),"",ROUND(N1037*O1037/P1037,1))</f>
        <v>9</v>
      </c>
      <c r="S1037" s="13" t="n">
        <f aca="false">IF(R1037="","",IF(Q1037="Y",1,IF(P1037&gt;='Read me'!$B$16,3,IF(AND(R1037&gt;='Read me'!$B$14,P1037&lt;='Read me'!$B$15),1,2))))</f>
        <v>1</v>
      </c>
    </row>
    <row r="1038" customFormat="false" ht="23.85" hidden="false" customHeight="false" outlineLevel="0" collapsed="false">
      <c r="A1038" s="11" t="s">
        <v>6524</v>
      </c>
      <c r="B1038" s="11" t="s">
        <v>40</v>
      </c>
      <c r="C1038" s="11" t="s">
        <v>245</v>
      </c>
      <c r="D1038" s="11" t="s">
        <v>246</v>
      </c>
      <c r="E1038" s="11" t="s">
        <v>626</v>
      </c>
      <c r="F1038" s="11" t="s">
        <v>6525</v>
      </c>
      <c r="G1038" s="11" t="s">
        <v>6526</v>
      </c>
      <c r="H1038" s="11"/>
      <c r="I1038" s="11" t="s">
        <v>6527</v>
      </c>
      <c r="J1038" s="11" t="s">
        <v>6528</v>
      </c>
      <c r="K1038" s="11" t="s">
        <v>529</v>
      </c>
      <c r="L1038" s="11" t="s">
        <v>6529</v>
      </c>
      <c r="M1038" s="11"/>
      <c r="N1038" s="14" t="n">
        <v>3</v>
      </c>
      <c r="O1038" s="14" t="n">
        <v>4</v>
      </c>
      <c r="P1038" s="14" t="n">
        <v>2</v>
      </c>
      <c r="Q1038" s="14"/>
      <c r="R1038" s="12" t="n">
        <f aca="false">IF(OR(N1038="",P1038=""),"",ROUND(N1038*O1038/P1038,1))</f>
        <v>6</v>
      </c>
      <c r="S1038" s="13" t="n">
        <f aca="false">IF(R1038="","",IF(Q1038="Y",1,IF(P1038&gt;='Read me'!$B$16,3,IF(AND(R1038&gt;='Read me'!$B$14,P1038&lt;='Read me'!$B$15),1,2))))</f>
        <v>1</v>
      </c>
    </row>
    <row r="1039" customFormat="false" ht="23.85" hidden="false" customHeight="false" outlineLevel="0" collapsed="false">
      <c r="A1039" s="11" t="s">
        <v>6530</v>
      </c>
      <c r="B1039" s="11" t="s">
        <v>40</v>
      </c>
      <c r="C1039" s="11" t="s">
        <v>245</v>
      </c>
      <c r="D1039" s="11" t="s">
        <v>246</v>
      </c>
      <c r="E1039" s="11" t="s">
        <v>626</v>
      </c>
      <c r="F1039" s="11" t="s">
        <v>6531</v>
      </c>
      <c r="G1039" s="11" t="s">
        <v>6532</v>
      </c>
      <c r="H1039" s="11" t="s">
        <v>6533</v>
      </c>
      <c r="I1039" s="11" t="s">
        <v>6534</v>
      </c>
      <c r="J1039" s="11" t="s">
        <v>6535</v>
      </c>
      <c r="K1039" s="11" t="s">
        <v>6536</v>
      </c>
      <c r="L1039" s="11" t="s">
        <v>6537</v>
      </c>
      <c r="M1039" s="11" t="s">
        <v>6538</v>
      </c>
      <c r="N1039" s="14" t="n">
        <v>2</v>
      </c>
      <c r="O1039" s="14" t="n">
        <v>3</v>
      </c>
      <c r="P1039" s="14" t="n">
        <v>3</v>
      </c>
      <c r="Q1039" s="14"/>
      <c r="R1039" s="12" t="n">
        <f aca="false">IF(OR(N1039="",P1039=""),"",ROUND(N1039*O1039/P1039,1))</f>
        <v>2</v>
      </c>
      <c r="S1039" s="13" t="n">
        <f aca="false">IF(R1039="","",IF(Q1039="Y",1,IF(P1039&gt;='Read me'!$B$16,3,IF(AND(R1039&gt;='Read me'!$B$14,P1039&lt;='Read me'!$B$15),1,2))))</f>
        <v>2</v>
      </c>
    </row>
    <row r="1040" customFormat="false" ht="23.85" hidden="false" customHeight="false" outlineLevel="0" collapsed="false">
      <c r="A1040" s="11" t="s">
        <v>6539</v>
      </c>
      <c r="B1040" s="11" t="s">
        <v>40</v>
      </c>
      <c r="C1040" s="11" t="s">
        <v>245</v>
      </c>
      <c r="D1040" s="11" t="s">
        <v>246</v>
      </c>
      <c r="E1040" s="11" t="s">
        <v>751</v>
      </c>
      <c r="F1040" s="11" t="s">
        <v>6540</v>
      </c>
      <c r="G1040" s="11" t="s">
        <v>1252</v>
      </c>
      <c r="H1040" s="11"/>
      <c r="I1040" s="11" t="s">
        <v>6541</v>
      </c>
      <c r="J1040" s="11" t="s">
        <v>6542</v>
      </c>
      <c r="K1040" s="11" t="s">
        <v>6543</v>
      </c>
      <c r="L1040" s="11" t="s">
        <v>6544</v>
      </c>
      <c r="M1040" s="11" t="s">
        <v>1577</v>
      </c>
      <c r="N1040" s="14" t="n">
        <v>5</v>
      </c>
      <c r="O1040" s="14" t="n">
        <v>4</v>
      </c>
      <c r="P1040" s="14" t="n">
        <v>3</v>
      </c>
      <c r="Q1040" s="14"/>
      <c r="R1040" s="12" t="n">
        <f aca="false">IF(OR(N1040="",P1040=""),"",ROUND(N1040*O1040/P1040,1))</f>
        <v>6.7</v>
      </c>
      <c r="S1040" s="13" t="n">
        <f aca="false">IF(R1040="","",IF(Q1040="Y",1,IF(P1040&gt;='Read me'!$B$16,3,IF(AND(R1040&gt;='Read me'!$B$14,P1040&lt;='Read me'!$B$15),1,2))))</f>
        <v>2</v>
      </c>
    </row>
    <row r="1041" customFormat="false" ht="23.85" hidden="false" customHeight="false" outlineLevel="0" collapsed="false">
      <c r="A1041" s="11" t="s">
        <v>6545</v>
      </c>
      <c r="B1041" s="11" t="s">
        <v>40</v>
      </c>
      <c r="C1041" s="11" t="s">
        <v>245</v>
      </c>
      <c r="D1041" s="11" t="s">
        <v>246</v>
      </c>
      <c r="E1041" s="11" t="s">
        <v>751</v>
      </c>
      <c r="F1041" s="11" t="s">
        <v>6540</v>
      </c>
      <c r="G1041" s="11" t="s">
        <v>1267</v>
      </c>
      <c r="H1041" s="11"/>
      <c r="I1041" s="11" t="s">
        <v>6546</v>
      </c>
      <c r="J1041" s="11" t="s">
        <v>6547</v>
      </c>
      <c r="K1041" s="11" t="s">
        <v>1254</v>
      </c>
      <c r="L1041" s="11" t="s">
        <v>6548</v>
      </c>
      <c r="M1041" s="11" t="s">
        <v>1577</v>
      </c>
      <c r="N1041" s="14" t="n">
        <v>3</v>
      </c>
      <c r="O1041" s="14" t="n">
        <v>3</v>
      </c>
      <c r="P1041" s="14" t="n">
        <v>3</v>
      </c>
      <c r="Q1041" s="14"/>
      <c r="R1041" s="12" t="n">
        <f aca="false">IF(OR(N1041="",P1041=""),"",ROUND(N1041*O1041/P1041,1))</f>
        <v>3</v>
      </c>
      <c r="S1041" s="13" t="n">
        <f aca="false">IF(R1041="","",IF(Q1041="Y",1,IF(P1041&gt;='Read me'!$B$16,3,IF(AND(R1041&gt;='Read me'!$B$14,P1041&lt;='Read me'!$B$15),1,2))))</f>
        <v>2</v>
      </c>
    </row>
    <row r="1042" customFormat="false" ht="23.85" hidden="false" customHeight="false" outlineLevel="0" collapsed="false">
      <c r="A1042" s="11" t="s">
        <v>6549</v>
      </c>
      <c r="B1042" s="11" t="s">
        <v>40</v>
      </c>
      <c r="C1042" s="11" t="s">
        <v>245</v>
      </c>
      <c r="D1042" s="11" t="s">
        <v>246</v>
      </c>
      <c r="E1042" s="11" t="s">
        <v>751</v>
      </c>
      <c r="F1042" s="11" t="s">
        <v>6540</v>
      </c>
      <c r="G1042" s="11" t="s">
        <v>1259</v>
      </c>
      <c r="H1042" s="11"/>
      <c r="I1042" s="11" t="s">
        <v>5248</v>
      </c>
      <c r="J1042" s="11" t="s">
        <v>5249</v>
      </c>
      <c r="K1042" s="11" t="s">
        <v>1262</v>
      </c>
      <c r="L1042" s="11" t="s">
        <v>1263</v>
      </c>
      <c r="M1042" s="11" t="s">
        <v>1577</v>
      </c>
      <c r="N1042" s="14" t="n">
        <v>3</v>
      </c>
      <c r="O1042" s="14" t="n">
        <v>3</v>
      </c>
      <c r="P1042" s="14" t="n">
        <v>3</v>
      </c>
      <c r="Q1042" s="14"/>
      <c r="R1042" s="12" t="n">
        <f aca="false">IF(OR(N1042="",P1042=""),"",ROUND(N1042*O1042/P1042,1))</f>
        <v>3</v>
      </c>
      <c r="S1042" s="13" t="n">
        <f aca="false">IF(R1042="","",IF(Q1042="Y",1,IF(P1042&gt;='Read me'!$B$16,3,IF(AND(R1042&gt;='Read me'!$B$14,P1042&lt;='Read me'!$B$15),1,2))))</f>
        <v>2</v>
      </c>
    </row>
    <row r="1043" customFormat="false" ht="15" hidden="false" customHeight="false" outlineLevel="0" collapsed="false">
      <c r="A1043" s="11" t="s">
        <v>6550</v>
      </c>
      <c r="B1043" s="11" t="s">
        <v>40</v>
      </c>
      <c r="C1043" s="11" t="s">
        <v>245</v>
      </c>
      <c r="D1043" s="11" t="s">
        <v>246</v>
      </c>
      <c r="E1043" s="11" t="s">
        <v>751</v>
      </c>
      <c r="F1043" s="11" t="s">
        <v>6540</v>
      </c>
      <c r="G1043" s="11" t="s">
        <v>4791</v>
      </c>
      <c r="H1043" s="11" t="s">
        <v>1284</v>
      </c>
      <c r="I1043" s="11" t="s">
        <v>754</v>
      </c>
      <c r="J1043" s="11" t="s">
        <v>6551</v>
      </c>
      <c r="K1043" s="11" t="s">
        <v>935</v>
      </c>
      <c r="L1043" s="11" t="s">
        <v>6552</v>
      </c>
      <c r="M1043" s="11"/>
      <c r="N1043" s="14" t="n">
        <v>2</v>
      </c>
      <c r="O1043" s="14" t="n">
        <v>2</v>
      </c>
      <c r="P1043" s="14" t="n">
        <v>4</v>
      </c>
      <c r="Q1043" s="14"/>
      <c r="R1043" s="12" t="n">
        <f aca="false">IF(OR(N1043="",P1043=""),"",ROUND(N1043*O1043/P1043,1))</f>
        <v>1</v>
      </c>
      <c r="S1043" s="13" t="n">
        <f aca="false">IF(R1043="","",IF(Q1043="Y",1,IF(P1043&gt;='Read me'!$B$16,3,IF(AND(R1043&gt;='Read me'!$B$14,P1043&lt;='Read me'!$B$15),1,2))))</f>
        <v>3</v>
      </c>
    </row>
    <row r="1044" customFormat="false" ht="46.25" hidden="false" customHeight="false" outlineLevel="0" collapsed="false">
      <c r="A1044" s="11" t="s">
        <v>6553</v>
      </c>
      <c r="B1044" s="11" t="s">
        <v>40</v>
      </c>
      <c r="C1044" s="11" t="s">
        <v>245</v>
      </c>
      <c r="D1044" s="11" t="s">
        <v>246</v>
      </c>
      <c r="E1044" s="11" t="s">
        <v>751</v>
      </c>
      <c r="F1044" s="11" t="s">
        <v>6540</v>
      </c>
      <c r="G1044" s="11" t="s">
        <v>6554</v>
      </c>
      <c r="H1044" s="11" t="s">
        <v>6211</v>
      </c>
      <c r="I1044" s="11" t="s">
        <v>6555</v>
      </c>
      <c r="J1044" s="11" t="s">
        <v>6556</v>
      </c>
      <c r="K1044" s="11" t="s">
        <v>2887</v>
      </c>
      <c r="L1044" s="11" t="s">
        <v>6557</v>
      </c>
      <c r="M1044" s="11" t="s">
        <v>6558</v>
      </c>
      <c r="N1044" s="14" t="n">
        <v>1</v>
      </c>
      <c r="O1044" s="14" t="n">
        <v>2</v>
      </c>
      <c r="P1044" s="14" t="n">
        <v>4</v>
      </c>
      <c r="Q1044" s="14"/>
      <c r="R1044" s="12" t="n">
        <f aca="false">IF(OR(N1044="",P1044=""),"",ROUND(N1044*O1044/P1044,1))</f>
        <v>0.5</v>
      </c>
      <c r="S1044" s="13" t="n">
        <f aca="false">IF(R1044="","",IF(Q1044="Y",1,IF(P1044&gt;='Read me'!$B$16,3,IF(AND(R1044&gt;='Read me'!$B$14,P1044&lt;='Read me'!$B$15),1,2))))</f>
        <v>3</v>
      </c>
    </row>
    <row r="1045" customFormat="false" ht="15" hidden="false" customHeight="false" outlineLevel="0" collapsed="false">
      <c r="A1045" s="11" t="s">
        <v>6559</v>
      </c>
      <c r="B1045" s="11" t="s">
        <v>40</v>
      </c>
      <c r="C1045" s="11" t="s">
        <v>245</v>
      </c>
      <c r="D1045" s="11" t="s">
        <v>246</v>
      </c>
      <c r="E1045" s="11" t="s">
        <v>751</v>
      </c>
      <c r="F1045" s="11" t="s">
        <v>6540</v>
      </c>
      <c r="G1045" s="11" t="s">
        <v>6560</v>
      </c>
      <c r="H1045" s="11" t="s">
        <v>5469</v>
      </c>
      <c r="I1045" s="11" t="s">
        <v>6561</v>
      </c>
      <c r="J1045" s="11" t="s">
        <v>6562</v>
      </c>
      <c r="K1045" s="11" t="s">
        <v>675</v>
      </c>
      <c r="L1045" s="11" t="s">
        <v>6563</v>
      </c>
      <c r="M1045" s="11"/>
      <c r="N1045" s="14" t="n">
        <v>1</v>
      </c>
      <c r="O1045" s="14" t="n">
        <v>3</v>
      </c>
      <c r="P1045" s="14" t="n">
        <v>5</v>
      </c>
      <c r="Q1045" s="14"/>
      <c r="R1045" s="12" t="n">
        <f aca="false">IF(OR(N1045="",P1045=""),"",ROUND(N1045*O1045/P1045,1))</f>
        <v>0.6</v>
      </c>
      <c r="S1045" s="13" t="n">
        <f aca="false">IF(R1045="","",IF(Q1045="Y",1,IF(P1045&gt;='Read me'!$B$16,3,IF(AND(R1045&gt;='Read me'!$B$14,P1045&lt;='Read me'!$B$15),1,2))))</f>
        <v>3</v>
      </c>
    </row>
    <row r="1046" customFormat="false" ht="23.85" hidden="false" customHeight="false" outlineLevel="0" collapsed="false">
      <c r="A1046" s="11" t="s">
        <v>6564</v>
      </c>
      <c r="B1046" s="11" t="s">
        <v>40</v>
      </c>
      <c r="C1046" s="11" t="s">
        <v>245</v>
      </c>
      <c r="D1046" s="11" t="s">
        <v>246</v>
      </c>
      <c r="E1046" s="11" t="s">
        <v>1187</v>
      </c>
      <c r="F1046" s="11" t="s">
        <v>6565</v>
      </c>
      <c r="G1046" s="11" t="s">
        <v>6566</v>
      </c>
      <c r="H1046" s="11"/>
      <c r="I1046" s="11" t="s">
        <v>6567</v>
      </c>
      <c r="J1046" s="11" t="s">
        <v>6568</v>
      </c>
      <c r="K1046" s="11" t="s">
        <v>675</v>
      </c>
      <c r="L1046" s="11" t="s">
        <v>6569</v>
      </c>
      <c r="M1046" s="11"/>
      <c r="N1046" s="14" t="n">
        <v>1</v>
      </c>
      <c r="O1046" s="14" t="n">
        <v>4</v>
      </c>
      <c r="P1046" s="14" t="n">
        <v>5</v>
      </c>
      <c r="Q1046" s="14"/>
      <c r="R1046" s="12" t="n">
        <f aca="false">IF(OR(N1046="",P1046=""),"",ROUND(N1046*O1046/P1046,1))</f>
        <v>0.8</v>
      </c>
      <c r="S1046" s="13" t="n">
        <f aca="false">IF(R1046="","",IF(Q1046="Y",1,IF(P1046&gt;='Read me'!$B$16,3,IF(AND(R1046&gt;='Read me'!$B$14,P1046&lt;='Read me'!$B$15),1,2))))</f>
        <v>3</v>
      </c>
    </row>
    <row r="1047" customFormat="false" ht="23.85" hidden="false" customHeight="false" outlineLevel="0" collapsed="false">
      <c r="A1047" s="11" t="s">
        <v>6570</v>
      </c>
      <c r="B1047" s="11" t="s">
        <v>40</v>
      </c>
      <c r="C1047" s="11" t="s">
        <v>245</v>
      </c>
      <c r="D1047" s="11" t="s">
        <v>246</v>
      </c>
      <c r="E1047" s="11" t="s">
        <v>1187</v>
      </c>
      <c r="F1047" s="11" t="s">
        <v>6571</v>
      </c>
      <c r="G1047" s="11" t="s">
        <v>6572</v>
      </c>
      <c r="H1047" s="11" t="s">
        <v>6573</v>
      </c>
      <c r="I1047" s="11" t="s">
        <v>6574</v>
      </c>
      <c r="J1047" s="11" t="s">
        <v>6575</v>
      </c>
      <c r="K1047" s="11" t="s">
        <v>6576</v>
      </c>
      <c r="L1047" s="11" t="s">
        <v>6577</v>
      </c>
      <c r="M1047" s="11"/>
      <c r="N1047" s="14" t="n">
        <v>2</v>
      </c>
      <c r="O1047" s="14" t="n">
        <v>3</v>
      </c>
      <c r="P1047" s="14" t="n">
        <v>4</v>
      </c>
      <c r="Q1047" s="14"/>
      <c r="R1047" s="12" t="n">
        <f aca="false">IF(OR(N1047="",P1047=""),"",ROUND(N1047*O1047/P1047,1))</f>
        <v>1.5</v>
      </c>
      <c r="S1047" s="13" t="n">
        <f aca="false">IF(R1047="","",IF(Q1047="Y",1,IF(P1047&gt;='Read me'!$B$16,3,IF(AND(R1047&gt;='Read me'!$B$14,P1047&lt;='Read me'!$B$15),1,2))))</f>
        <v>3</v>
      </c>
    </row>
    <row r="1048" customFormat="false" ht="23.85" hidden="false" customHeight="false" outlineLevel="0" collapsed="false">
      <c r="A1048" s="11" t="s">
        <v>6578</v>
      </c>
      <c r="B1048" s="11" t="s">
        <v>40</v>
      </c>
      <c r="C1048" s="11" t="s">
        <v>245</v>
      </c>
      <c r="D1048" s="11" t="s">
        <v>246</v>
      </c>
      <c r="E1048" s="11" t="s">
        <v>1187</v>
      </c>
      <c r="F1048" s="11" t="s">
        <v>6579</v>
      </c>
      <c r="G1048" s="11" t="s">
        <v>6580</v>
      </c>
      <c r="H1048" s="11" t="s">
        <v>6581</v>
      </c>
      <c r="I1048" s="11" t="s">
        <v>6582</v>
      </c>
      <c r="J1048" s="11" t="s">
        <v>6583</v>
      </c>
      <c r="K1048" s="11" t="s">
        <v>6584</v>
      </c>
      <c r="L1048" s="11" t="s">
        <v>6585</v>
      </c>
      <c r="M1048" s="11"/>
      <c r="N1048" s="14" t="n">
        <v>2</v>
      </c>
      <c r="O1048" s="14" t="n">
        <v>3</v>
      </c>
      <c r="P1048" s="14" t="n">
        <v>4</v>
      </c>
      <c r="Q1048" s="14"/>
      <c r="R1048" s="12" t="n">
        <f aca="false">IF(OR(N1048="",P1048=""),"",ROUND(N1048*O1048/P1048,1))</f>
        <v>1.5</v>
      </c>
      <c r="S1048" s="13" t="n">
        <f aca="false">IF(R1048="","",IF(Q1048="Y",1,IF(P1048&gt;='Read me'!$B$16,3,IF(AND(R1048&gt;='Read me'!$B$14,P1048&lt;='Read me'!$B$15),1,2))))</f>
        <v>3</v>
      </c>
    </row>
    <row r="1049" customFormat="false" ht="23.85" hidden="false" customHeight="false" outlineLevel="0" collapsed="false">
      <c r="A1049" s="11" t="s">
        <v>6586</v>
      </c>
      <c r="B1049" s="11" t="s">
        <v>40</v>
      </c>
      <c r="C1049" s="11" t="s">
        <v>245</v>
      </c>
      <c r="D1049" s="11" t="s">
        <v>246</v>
      </c>
      <c r="E1049" s="11" t="s">
        <v>1187</v>
      </c>
      <c r="F1049" s="11" t="s">
        <v>6587</v>
      </c>
      <c r="G1049" s="11" t="s">
        <v>6588</v>
      </c>
      <c r="H1049" s="11" t="s">
        <v>686</v>
      </c>
      <c r="I1049" s="11" t="s">
        <v>6589</v>
      </c>
      <c r="J1049" s="11" t="s">
        <v>6590</v>
      </c>
      <c r="K1049" s="11" t="s">
        <v>2222</v>
      </c>
      <c r="L1049" s="11" t="s">
        <v>6591</v>
      </c>
      <c r="M1049" s="11"/>
      <c r="N1049" s="14" t="n">
        <v>2</v>
      </c>
      <c r="O1049" s="14" t="n">
        <v>2</v>
      </c>
      <c r="P1049" s="14" t="n">
        <v>1</v>
      </c>
      <c r="Q1049" s="14"/>
      <c r="R1049" s="12" t="n">
        <f aca="false">IF(OR(N1049="",P1049=""),"",ROUND(N1049*O1049/P1049,1))</f>
        <v>4</v>
      </c>
      <c r="S1049" s="13" t="n">
        <f aca="false">IF(R1049="","",IF(Q1049="Y",1,IF(P1049&gt;='Read me'!$B$16,3,IF(AND(R1049&gt;='Read me'!$B$14,P1049&lt;='Read me'!$B$15),1,2))))</f>
        <v>2</v>
      </c>
    </row>
    <row r="1050" customFormat="false" ht="46.25" hidden="false" customHeight="false" outlineLevel="0" collapsed="false">
      <c r="A1050" s="11" t="s">
        <v>6592</v>
      </c>
      <c r="B1050" s="11" t="s">
        <v>40</v>
      </c>
      <c r="C1050" s="11" t="s">
        <v>245</v>
      </c>
      <c r="D1050" s="11" t="s">
        <v>246</v>
      </c>
      <c r="E1050" s="11" t="s">
        <v>1187</v>
      </c>
      <c r="F1050" s="11" t="s">
        <v>6593</v>
      </c>
      <c r="G1050" s="11" t="s">
        <v>1990</v>
      </c>
      <c r="H1050" s="11" t="s">
        <v>6594</v>
      </c>
      <c r="I1050" s="11" t="s">
        <v>6595</v>
      </c>
      <c r="J1050" s="11" t="s">
        <v>6596</v>
      </c>
      <c r="K1050" s="11" t="s">
        <v>5663</v>
      </c>
      <c r="L1050" s="11" t="s">
        <v>6597</v>
      </c>
      <c r="M1050" s="11" t="s">
        <v>6558</v>
      </c>
      <c r="N1050" s="14" t="n">
        <v>2</v>
      </c>
      <c r="O1050" s="14" t="n">
        <v>2</v>
      </c>
      <c r="P1050" s="14" t="n">
        <v>3</v>
      </c>
      <c r="Q1050" s="14"/>
      <c r="R1050" s="12" t="n">
        <f aca="false">IF(OR(N1050="",P1050=""),"",ROUND(N1050*O1050/P1050,1))</f>
        <v>1.3</v>
      </c>
      <c r="S1050" s="13" t="n">
        <f aca="false">IF(R1050="","",IF(Q1050="Y",1,IF(P1050&gt;='Read me'!$B$16,3,IF(AND(R1050&gt;='Read me'!$B$14,P1050&lt;='Read me'!$B$15),1,2))))</f>
        <v>2</v>
      </c>
    </row>
    <row r="1051" customFormat="false" ht="23.85" hidden="false" customHeight="false" outlineLevel="0" collapsed="false">
      <c r="A1051" s="11" t="s">
        <v>6598</v>
      </c>
      <c r="B1051" s="11" t="s">
        <v>40</v>
      </c>
      <c r="C1051" s="11" t="s">
        <v>245</v>
      </c>
      <c r="D1051" s="11" t="s">
        <v>246</v>
      </c>
      <c r="E1051" s="11" t="s">
        <v>1133</v>
      </c>
      <c r="F1051" s="11" t="s">
        <v>1366</v>
      </c>
      <c r="G1051" s="11" t="s">
        <v>1367</v>
      </c>
      <c r="H1051" s="11"/>
      <c r="I1051" s="11" t="s">
        <v>6599</v>
      </c>
      <c r="J1051" s="11" t="s">
        <v>6600</v>
      </c>
      <c r="K1051" s="11" t="s">
        <v>4446</v>
      </c>
      <c r="L1051" s="11" t="s">
        <v>6601</v>
      </c>
      <c r="M1051" s="11" t="s">
        <v>5306</v>
      </c>
      <c r="N1051" s="14" t="n">
        <v>2</v>
      </c>
      <c r="O1051" s="14" t="n">
        <v>1</v>
      </c>
      <c r="P1051" s="14" t="n">
        <v>1</v>
      </c>
      <c r="Q1051" s="14"/>
      <c r="R1051" s="12" t="n">
        <f aca="false">IF(OR(N1051="",P1051=""),"",ROUND(N1051*O1051/P1051,1))</f>
        <v>2</v>
      </c>
      <c r="S1051" s="13" t="n">
        <f aca="false">IF(R1051="","",IF(Q1051="Y",1,IF(P1051&gt;='Read me'!$B$16,3,IF(AND(R1051&gt;='Read me'!$B$14,P1051&lt;='Read me'!$B$15),1,2))))</f>
        <v>2</v>
      </c>
    </row>
    <row r="1052" customFormat="false" ht="23.85" hidden="false" customHeight="false" outlineLevel="0" collapsed="false">
      <c r="A1052" s="11" t="s">
        <v>6602</v>
      </c>
      <c r="B1052" s="11" t="s">
        <v>40</v>
      </c>
      <c r="C1052" s="11" t="s">
        <v>249</v>
      </c>
      <c r="D1052" s="11" t="s">
        <v>250</v>
      </c>
      <c r="E1052" s="11" t="s">
        <v>476</v>
      </c>
      <c r="F1052" s="11" t="s">
        <v>6603</v>
      </c>
      <c r="G1052" s="11" t="s">
        <v>6604</v>
      </c>
      <c r="H1052" s="11"/>
      <c r="I1052" s="11" t="s">
        <v>6605</v>
      </c>
      <c r="J1052" s="11" t="s">
        <v>6606</v>
      </c>
      <c r="K1052" s="11" t="s">
        <v>6607</v>
      </c>
      <c r="L1052" s="11" t="s">
        <v>6608</v>
      </c>
      <c r="M1052" s="11"/>
      <c r="N1052" s="14" t="n">
        <v>5</v>
      </c>
      <c r="O1052" s="14" t="n">
        <v>4</v>
      </c>
      <c r="P1052" s="14" t="n">
        <v>2</v>
      </c>
      <c r="Q1052" s="14"/>
      <c r="R1052" s="12" t="n">
        <f aca="false">IF(OR(N1052="",P1052=""),"",ROUND(N1052*O1052/P1052,1))</f>
        <v>10</v>
      </c>
      <c r="S1052" s="13" t="n">
        <f aca="false">IF(R1052="","",IF(Q1052="Y",1,IF(P1052&gt;='Read me'!$B$16,3,IF(AND(R1052&gt;='Read me'!$B$14,P1052&lt;='Read me'!$B$15),1,2))))</f>
        <v>1</v>
      </c>
    </row>
    <row r="1053" customFormat="false" ht="23.85" hidden="false" customHeight="false" outlineLevel="0" collapsed="false">
      <c r="A1053" s="11" t="s">
        <v>6609</v>
      </c>
      <c r="B1053" s="11" t="s">
        <v>40</v>
      </c>
      <c r="C1053" s="11" t="s">
        <v>249</v>
      </c>
      <c r="D1053" s="11" t="s">
        <v>250</v>
      </c>
      <c r="E1053" s="11" t="s">
        <v>476</v>
      </c>
      <c r="F1053" s="11" t="s">
        <v>6610</v>
      </c>
      <c r="G1053" s="11" t="s">
        <v>6611</v>
      </c>
      <c r="H1053" s="11"/>
      <c r="I1053" s="11" t="s">
        <v>6612</v>
      </c>
      <c r="J1053" s="11" t="s">
        <v>6613</v>
      </c>
      <c r="K1053" s="11" t="s">
        <v>6500</v>
      </c>
      <c r="L1053" s="11" t="s">
        <v>6614</v>
      </c>
      <c r="M1053" s="11"/>
      <c r="N1053" s="14" t="n">
        <v>3</v>
      </c>
      <c r="O1053" s="14" t="n">
        <v>3</v>
      </c>
      <c r="P1053" s="14" t="n">
        <v>1</v>
      </c>
      <c r="Q1053" s="14"/>
      <c r="R1053" s="12" t="n">
        <f aca="false">IF(OR(N1053="",P1053=""),"",ROUND(N1053*O1053/P1053,1))</f>
        <v>9</v>
      </c>
      <c r="S1053" s="13" t="n">
        <f aca="false">IF(R1053="","",IF(Q1053="Y",1,IF(P1053&gt;='Read me'!$B$16,3,IF(AND(R1053&gt;='Read me'!$B$14,P1053&lt;='Read me'!$B$15),1,2))))</f>
        <v>1</v>
      </c>
    </row>
    <row r="1054" customFormat="false" ht="23.85" hidden="false" customHeight="false" outlineLevel="0" collapsed="false">
      <c r="A1054" s="11" t="s">
        <v>6615</v>
      </c>
      <c r="B1054" s="11" t="s">
        <v>40</v>
      </c>
      <c r="C1054" s="11" t="s">
        <v>249</v>
      </c>
      <c r="D1054" s="11" t="s">
        <v>250</v>
      </c>
      <c r="E1054" s="11" t="s">
        <v>476</v>
      </c>
      <c r="F1054" s="11" t="s">
        <v>5828</v>
      </c>
      <c r="G1054" s="11" t="s">
        <v>1393</v>
      </c>
      <c r="H1054" s="11"/>
      <c r="I1054" s="11" t="s">
        <v>512</v>
      </c>
      <c r="J1054" s="11" t="s">
        <v>6616</v>
      </c>
      <c r="K1054" s="11" t="s">
        <v>6617</v>
      </c>
      <c r="L1054" s="11" t="s">
        <v>5831</v>
      </c>
      <c r="M1054" s="11"/>
      <c r="N1054" s="14" t="n">
        <v>4</v>
      </c>
      <c r="O1054" s="14" t="n">
        <v>4</v>
      </c>
      <c r="P1054" s="14" t="n">
        <v>2</v>
      </c>
      <c r="Q1054" s="14"/>
      <c r="R1054" s="12" t="n">
        <f aca="false">IF(OR(N1054="",P1054=""),"",ROUND(N1054*O1054/P1054,1))</f>
        <v>8</v>
      </c>
      <c r="S1054" s="13" t="n">
        <f aca="false">IF(R1054="","",IF(Q1054="Y",1,IF(P1054&gt;='Read me'!$B$16,3,IF(AND(R1054&gt;='Read me'!$B$14,P1054&lt;='Read me'!$B$15),1,2))))</f>
        <v>1</v>
      </c>
    </row>
    <row r="1055" customFormat="false" ht="23.85" hidden="false" customHeight="false" outlineLevel="0" collapsed="false">
      <c r="A1055" s="11" t="s">
        <v>6618</v>
      </c>
      <c r="B1055" s="11" t="s">
        <v>40</v>
      </c>
      <c r="C1055" s="11" t="s">
        <v>249</v>
      </c>
      <c r="D1055" s="11" t="s">
        <v>250</v>
      </c>
      <c r="E1055" s="11" t="s">
        <v>626</v>
      </c>
      <c r="F1055" s="11" t="s">
        <v>6619</v>
      </c>
      <c r="G1055" s="11" t="s">
        <v>6620</v>
      </c>
      <c r="H1055" s="11"/>
      <c r="I1055" s="11" t="s">
        <v>6621</v>
      </c>
      <c r="J1055" s="11" t="s">
        <v>6622</v>
      </c>
      <c r="K1055" s="11" t="s">
        <v>6500</v>
      </c>
      <c r="L1055" s="11" t="s">
        <v>6623</v>
      </c>
      <c r="M1055" s="11" t="s">
        <v>6624</v>
      </c>
      <c r="N1055" s="14" t="n">
        <v>3</v>
      </c>
      <c r="O1055" s="14" t="n">
        <v>3</v>
      </c>
      <c r="P1055" s="14" t="n">
        <v>1</v>
      </c>
      <c r="Q1055" s="14"/>
      <c r="R1055" s="12" t="n">
        <f aca="false">IF(OR(N1055="",P1055=""),"",ROUND(N1055*O1055/P1055,1))</f>
        <v>9</v>
      </c>
      <c r="S1055" s="13" t="n">
        <f aca="false">IF(R1055="","",IF(Q1055="Y",1,IF(P1055&gt;='Read me'!$B$16,3,IF(AND(R1055&gt;='Read me'!$B$14,P1055&lt;='Read me'!$B$15),1,2))))</f>
        <v>1</v>
      </c>
    </row>
    <row r="1056" customFormat="false" ht="15" hidden="false" customHeight="false" outlineLevel="0" collapsed="false">
      <c r="A1056" s="11" t="s">
        <v>6625</v>
      </c>
      <c r="B1056" s="11" t="s">
        <v>40</v>
      </c>
      <c r="C1056" s="11" t="s">
        <v>249</v>
      </c>
      <c r="D1056" s="11" t="s">
        <v>250</v>
      </c>
      <c r="E1056" s="11" t="s">
        <v>626</v>
      </c>
      <c r="F1056" s="11" t="s">
        <v>6626</v>
      </c>
      <c r="G1056" s="11" t="s">
        <v>6627</v>
      </c>
      <c r="H1056" s="11"/>
      <c r="I1056" s="11" t="s">
        <v>6628</v>
      </c>
      <c r="J1056" s="11" t="s">
        <v>6629</v>
      </c>
      <c r="K1056" s="11" t="s">
        <v>5430</v>
      </c>
      <c r="L1056" s="11" t="s">
        <v>6516</v>
      </c>
      <c r="M1056" s="11"/>
      <c r="N1056" s="14" t="n">
        <v>2</v>
      </c>
      <c r="O1056" s="14" t="n">
        <v>2</v>
      </c>
      <c r="P1056" s="14" t="n">
        <v>2</v>
      </c>
      <c r="Q1056" s="14"/>
      <c r="R1056" s="12" t="n">
        <f aca="false">IF(OR(N1056="",P1056=""),"",ROUND(N1056*O1056/P1056,1))</f>
        <v>2</v>
      </c>
      <c r="S1056" s="13" t="n">
        <f aca="false">IF(R1056="","",IF(Q1056="Y",1,IF(P1056&gt;='Read me'!$B$16,3,IF(AND(R1056&gt;='Read me'!$B$14,P1056&lt;='Read me'!$B$15),1,2))))</f>
        <v>2</v>
      </c>
    </row>
    <row r="1057" customFormat="false" ht="23.85" hidden="false" customHeight="false" outlineLevel="0" collapsed="false">
      <c r="A1057" s="11" t="s">
        <v>6630</v>
      </c>
      <c r="B1057" s="11" t="s">
        <v>40</v>
      </c>
      <c r="C1057" s="11" t="s">
        <v>249</v>
      </c>
      <c r="D1057" s="11" t="s">
        <v>250</v>
      </c>
      <c r="E1057" s="11" t="s">
        <v>626</v>
      </c>
      <c r="F1057" s="11" t="s">
        <v>6631</v>
      </c>
      <c r="G1057" s="11" t="s">
        <v>6632</v>
      </c>
      <c r="H1057" s="11"/>
      <c r="I1057" s="11" t="s">
        <v>6633</v>
      </c>
      <c r="J1057" s="11" t="s">
        <v>6634</v>
      </c>
      <c r="K1057" s="11" t="s">
        <v>5836</v>
      </c>
      <c r="L1057" s="11" t="s">
        <v>6635</v>
      </c>
      <c r="M1057" s="11" t="s">
        <v>6636</v>
      </c>
      <c r="N1057" s="14" t="n">
        <v>2</v>
      </c>
      <c r="O1057" s="14" t="n">
        <v>3</v>
      </c>
      <c r="P1057" s="14" t="n">
        <v>2</v>
      </c>
      <c r="Q1057" s="14"/>
      <c r="R1057" s="12" t="n">
        <f aca="false">IF(OR(N1057="",P1057=""),"",ROUND(N1057*O1057/P1057,1))</f>
        <v>3</v>
      </c>
      <c r="S1057" s="13" t="n">
        <f aca="false">IF(R1057="","",IF(Q1057="Y",1,IF(P1057&gt;='Read me'!$B$16,3,IF(AND(R1057&gt;='Read me'!$B$14,P1057&lt;='Read me'!$B$15),1,2))))</f>
        <v>2</v>
      </c>
    </row>
    <row r="1058" customFormat="false" ht="23.85" hidden="false" customHeight="false" outlineLevel="0" collapsed="false">
      <c r="A1058" s="11" t="s">
        <v>6637</v>
      </c>
      <c r="B1058" s="11" t="s">
        <v>40</v>
      </c>
      <c r="C1058" s="11" t="s">
        <v>249</v>
      </c>
      <c r="D1058" s="11" t="s">
        <v>250</v>
      </c>
      <c r="E1058" s="11" t="s">
        <v>751</v>
      </c>
      <c r="F1058" s="11" t="s">
        <v>6638</v>
      </c>
      <c r="G1058" s="11" t="s">
        <v>1252</v>
      </c>
      <c r="H1058" s="11"/>
      <c r="I1058" s="11" t="s">
        <v>6639</v>
      </c>
      <c r="J1058" s="11" t="s">
        <v>6640</v>
      </c>
      <c r="K1058" s="11" t="s">
        <v>6641</v>
      </c>
      <c r="L1058" s="11" t="s">
        <v>6642</v>
      </c>
      <c r="M1058" s="11" t="s">
        <v>1577</v>
      </c>
      <c r="N1058" s="14" t="n">
        <v>5</v>
      </c>
      <c r="O1058" s="14" t="n">
        <v>4</v>
      </c>
      <c r="P1058" s="14" t="n">
        <v>3</v>
      </c>
      <c r="Q1058" s="14"/>
      <c r="R1058" s="12" t="n">
        <f aca="false">IF(OR(N1058="",P1058=""),"",ROUND(N1058*O1058/P1058,1))</f>
        <v>6.7</v>
      </c>
      <c r="S1058" s="13" t="n">
        <f aca="false">IF(R1058="","",IF(Q1058="Y",1,IF(P1058&gt;='Read me'!$B$16,3,IF(AND(R1058&gt;='Read me'!$B$14,P1058&lt;='Read me'!$B$15),1,2))))</f>
        <v>2</v>
      </c>
    </row>
    <row r="1059" customFormat="false" ht="23.85" hidden="false" customHeight="false" outlineLevel="0" collapsed="false">
      <c r="A1059" s="11" t="s">
        <v>6643</v>
      </c>
      <c r="B1059" s="11" t="s">
        <v>40</v>
      </c>
      <c r="C1059" s="11" t="s">
        <v>249</v>
      </c>
      <c r="D1059" s="11" t="s">
        <v>250</v>
      </c>
      <c r="E1059" s="11" t="s">
        <v>751</v>
      </c>
      <c r="F1059" s="11" t="s">
        <v>6638</v>
      </c>
      <c r="G1059" s="11" t="s">
        <v>6644</v>
      </c>
      <c r="H1059" s="11"/>
      <c r="I1059" s="11" t="s">
        <v>6645</v>
      </c>
      <c r="J1059" s="11" t="s">
        <v>6646</v>
      </c>
      <c r="K1059" s="11" t="s">
        <v>6647</v>
      </c>
      <c r="L1059" s="11" t="s">
        <v>6648</v>
      </c>
      <c r="M1059" s="11" t="s">
        <v>1577</v>
      </c>
      <c r="N1059" s="14" t="n">
        <v>3</v>
      </c>
      <c r="O1059" s="14" t="n">
        <v>3</v>
      </c>
      <c r="P1059" s="14" t="n">
        <v>2</v>
      </c>
      <c r="Q1059" s="14"/>
      <c r="R1059" s="12" t="n">
        <f aca="false">IF(OR(N1059="",P1059=""),"",ROUND(N1059*O1059/P1059,1))</f>
        <v>4.5</v>
      </c>
      <c r="S1059" s="13" t="n">
        <f aca="false">IF(R1059="","",IF(Q1059="Y",1,IF(P1059&gt;='Read me'!$B$16,3,IF(AND(R1059&gt;='Read me'!$B$14,P1059&lt;='Read me'!$B$15),1,2))))</f>
        <v>2</v>
      </c>
    </row>
    <row r="1060" customFormat="false" ht="23.85" hidden="false" customHeight="false" outlineLevel="0" collapsed="false">
      <c r="A1060" s="11" t="s">
        <v>6649</v>
      </c>
      <c r="B1060" s="11" t="s">
        <v>40</v>
      </c>
      <c r="C1060" s="11" t="s">
        <v>249</v>
      </c>
      <c r="D1060" s="11" t="s">
        <v>250</v>
      </c>
      <c r="E1060" s="11" t="s">
        <v>751</v>
      </c>
      <c r="F1060" s="11" t="s">
        <v>6638</v>
      </c>
      <c r="G1060" s="11" t="s">
        <v>491</v>
      </c>
      <c r="H1060" s="11" t="s">
        <v>1280</v>
      </c>
      <c r="I1060" s="11" t="s">
        <v>6650</v>
      </c>
      <c r="J1060" s="11" t="s">
        <v>6651</v>
      </c>
      <c r="K1060" s="11" t="s">
        <v>6652</v>
      </c>
      <c r="L1060" s="11" t="s">
        <v>5455</v>
      </c>
      <c r="M1060" s="11"/>
      <c r="N1060" s="14" t="n">
        <v>3</v>
      </c>
      <c r="O1060" s="14" t="n">
        <v>2</v>
      </c>
      <c r="P1060" s="14" t="n">
        <v>1</v>
      </c>
      <c r="Q1060" s="14"/>
      <c r="R1060" s="12" t="n">
        <f aca="false">IF(OR(N1060="",P1060=""),"",ROUND(N1060*O1060/P1060,1))</f>
        <v>6</v>
      </c>
      <c r="S1060" s="13" t="n">
        <f aca="false">IF(R1060="","",IF(Q1060="Y",1,IF(P1060&gt;='Read me'!$B$16,3,IF(AND(R1060&gt;='Read me'!$B$14,P1060&lt;='Read me'!$B$15),1,2))))</f>
        <v>1</v>
      </c>
    </row>
    <row r="1061" customFormat="false" ht="23.85" hidden="false" customHeight="false" outlineLevel="0" collapsed="false">
      <c r="A1061" s="11" t="s">
        <v>6653</v>
      </c>
      <c r="B1061" s="11" t="s">
        <v>40</v>
      </c>
      <c r="C1061" s="11" t="s">
        <v>249</v>
      </c>
      <c r="D1061" s="11" t="s">
        <v>250</v>
      </c>
      <c r="E1061" s="11" t="s">
        <v>751</v>
      </c>
      <c r="F1061" s="11" t="s">
        <v>6638</v>
      </c>
      <c r="G1061" s="11" t="s">
        <v>5897</v>
      </c>
      <c r="H1061" s="11" t="s">
        <v>5898</v>
      </c>
      <c r="I1061" s="11" t="s">
        <v>6654</v>
      </c>
      <c r="J1061" s="11" t="s">
        <v>6655</v>
      </c>
      <c r="K1061" s="11" t="s">
        <v>675</v>
      </c>
      <c r="L1061" s="11" t="s">
        <v>4535</v>
      </c>
      <c r="M1061" s="11"/>
      <c r="N1061" s="14" t="n">
        <v>1</v>
      </c>
      <c r="O1061" s="14" t="n">
        <v>3</v>
      </c>
      <c r="P1061" s="14" t="n">
        <v>4</v>
      </c>
      <c r="Q1061" s="14"/>
      <c r="R1061" s="12" t="n">
        <f aca="false">IF(OR(N1061="",P1061=""),"",ROUND(N1061*O1061/P1061,1))</f>
        <v>0.8</v>
      </c>
      <c r="S1061" s="13" t="n">
        <f aca="false">IF(R1061="","",IF(Q1061="Y",1,IF(P1061&gt;='Read me'!$B$16,3,IF(AND(R1061&gt;='Read me'!$B$14,P1061&lt;='Read me'!$B$15),1,2))))</f>
        <v>3</v>
      </c>
    </row>
    <row r="1062" customFormat="false" ht="23.85" hidden="false" customHeight="false" outlineLevel="0" collapsed="false">
      <c r="A1062" s="11" t="s">
        <v>6656</v>
      </c>
      <c r="B1062" s="11" t="s">
        <v>40</v>
      </c>
      <c r="C1062" s="11" t="s">
        <v>249</v>
      </c>
      <c r="D1062" s="11" t="s">
        <v>250</v>
      </c>
      <c r="E1062" s="11" t="s">
        <v>751</v>
      </c>
      <c r="F1062" s="11" t="s">
        <v>6657</v>
      </c>
      <c r="G1062" s="11" t="s">
        <v>6658</v>
      </c>
      <c r="H1062" s="11" t="s">
        <v>6594</v>
      </c>
      <c r="I1062" s="11" t="s">
        <v>6659</v>
      </c>
      <c r="J1062" s="11" t="s">
        <v>6660</v>
      </c>
      <c r="K1062" s="11" t="s">
        <v>5663</v>
      </c>
      <c r="L1062" s="11" t="s">
        <v>6661</v>
      </c>
      <c r="M1062" s="11"/>
      <c r="N1062" s="14" t="n">
        <v>2</v>
      </c>
      <c r="O1062" s="14" t="n">
        <v>2</v>
      </c>
      <c r="P1062" s="14" t="n">
        <v>3</v>
      </c>
      <c r="Q1062" s="14"/>
      <c r="R1062" s="12" t="n">
        <f aca="false">IF(OR(N1062="",P1062=""),"",ROUND(N1062*O1062/P1062,1))</f>
        <v>1.3</v>
      </c>
      <c r="S1062" s="13" t="n">
        <f aca="false">IF(R1062="","",IF(Q1062="Y",1,IF(P1062&gt;='Read me'!$B$16,3,IF(AND(R1062&gt;='Read me'!$B$14,P1062&lt;='Read me'!$B$15),1,2))))</f>
        <v>2</v>
      </c>
    </row>
    <row r="1063" customFormat="false" ht="23.85" hidden="false" customHeight="false" outlineLevel="0" collapsed="false">
      <c r="A1063" s="11" t="s">
        <v>6662</v>
      </c>
      <c r="B1063" s="11" t="s">
        <v>40</v>
      </c>
      <c r="C1063" s="11" t="s">
        <v>249</v>
      </c>
      <c r="D1063" s="11" t="s">
        <v>250</v>
      </c>
      <c r="E1063" s="11" t="s">
        <v>1187</v>
      </c>
      <c r="F1063" s="11" t="s">
        <v>6663</v>
      </c>
      <c r="G1063" s="11" t="s">
        <v>6664</v>
      </c>
      <c r="H1063" s="11" t="s">
        <v>6665</v>
      </c>
      <c r="I1063" s="11" t="s">
        <v>6666</v>
      </c>
      <c r="J1063" s="11" t="s">
        <v>6667</v>
      </c>
      <c r="K1063" s="11" t="s">
        <v>1363</v>
      </c>
      <c r="L1063" s="11" t="s">
        <v>6668</v>
      </c>
      <c r="M1063" s="11"/>
      <c r="N1063" s="14" t="n">
        <v>2</v>
      </c>
      <c r="O1063" s="14" t="n">
        <v>3</v>
      </c>
      <c r="P1063" s="14" t="n">
        <v>4</v>
      </c>
      <c r="Q1063" s="14"/>
      <c r="R1063" s="12" t="n">
        <f aca="false">IF(OR(N1063="",P1063=""),"",ROUND(N1063*O1063/P1063,1))</f>
        <v>1.5</v>
      </c>
      <c r="S1063" s="13" t="n">
        <f aca="false">IF(R1063="","",IF(Q1063="Y",1,IF(P1063&gt;='Read me'!$B$16,3,IF(AND(R1063&gt;='Read me'!$B$14,P1063&lt;='Read me'!$B$15),1,2))))</f>
        <v>3</v>
      </c>
    </row>
    <row r="1064" customFormat="false" ht="23.85" hidden="false" customHeight="false" outlineLevel="0" collapsed="false">
      <c r="A1064" s="11" t="s">
        <v>6669</v>
      </c>
      <c r="B1064" s="11" t="s">
        <v>40</v>
      </c>
      <c r="C1064" s="11" t="s">
        <v>249</v>
      </c>
      <c r="D1064" s="11" t="s">
        <v>250</v>
      </c>
      <c r="E1064" s="11" t="s">
        <v>1187</v>
      </c>
      <c r="F1064" s="11" t="s">
        <v>6670</v>
      </c>
      <c r="G1064" s="11" t="s">
        <v>6580</v>
      </c>
      <c r="H1064" s="11" t="s">
        <v>6581</v>
      </c>
      <c r="I1064" s="11" t="s">
        <v>6671</v>
      </c>
      <c r="J1064" s="11" t="s">
        <v>6672</v>
      </c>
      <c r="K1064" s="11" t="s">
        <v>6584</v>
      </c>
      <c r="L1064" s="11" t="s">
        <v>6673</v>
      </c>
      <c r="M1064" s="11"/>
      <c r="N1064" s="14" t="n">
        <v>2</v>
      </c>
      <c r="O1064" s="14" t="n">
        <v>3</v>
      </c>
      <c r="P1064" s="14" t="n">
        <v>4</v>
      </c>
      <c r="Q1064" s="14"/>
      <c r="R1064" s="12" t="n">
        <f aca="false">IF(OR(N1064="",P1064=""),"",ROUND(N1064*O1064/P1064,1))</f>
        <v>1.5</v>
      </c>
      <c r="S1064" s="13" t="n">
        <f aca="false">IF(R1064="","",IF(Q1064="Y",1,IF(P1064&gt;='Read me'!$B$16,3,IF(AND(R1064&gt;='Read me'!$B$14,P1064&lt;='Read me'!$B$15),1,2))))</f>
        <v>3</v>
      </c>
    </row>
    <row r="1065" customFormat="false" ht="46.25" hidden="false" customHeight="false" outlineLevel="0" collapsed="false">
      <c r="A1065" s="11" t="s">
        <v>6674</v>
      </c>
      <c r="B1065" s="11" t="s">
        <v>40</v>
      </c>
      <c r="C1065" s="11" t="s">
        <v>249</v>
      </c>
      <c r="D1065" s="11" t="s">
        <v>250</v>
      </c>
      <c r="E1065" s="11" t="s">
        <v>1187</v>
      </c>
      <c r="F1065" s="11" t="s">
        <v>6675</v>
      </c>
      <c r="G1065" s="11" t="s">
        <v>6676</v>
      </c>
      <c r="H1065" s="11" t="s">
        <v>4577</v>
      </c>
      <c r="I1065" s="11" t="s">
        <v>6677</v>
      </c>
      <c r="J1065" s="11" t="s">
        <v>6678</v>
      </c>
      <c r="K1065" s="11" t="s">
        <v>675</v>
      </c>
      <c r="L1065" s="11" t="s">
        <v>6679</v>
      </c>
      <c r="M1065" s="11" t="s">
        <v>6558</v>
      </c>
      <c r="N1065" s="14" t="n">
        <v>2</v>
      </c>
      <c r="O1065" s="14" t="n">
        <v>2</v>
      </c>
      <c r="P1065" s="14" t="n">
        <v>3</v>
      </c>
      <c r="Q1065" s="14"/>
      <c r="R1065" s="12" t="n">
        <f aca="false">IF(OR(N1065="",P1065=""),"",ROUND(N1065*O1065/P1065,1))</f>
        <v>1.3</v>
      </c>
      <c r="S1065" s="13" t="n">
        <f aca="false">IF(R1065="","",IF(Q1065="Y",1,IF(P1065&gt;='Read me'!$B$16,3,IF(AND(R1065&gt;='Read me'!$B$14,P1065&lt;='Read me'!$B$15),1,2))))</f>
        <v>2</v>
      </c>
    </row>
    <row r="1066" customFormat="false" ht="23.85" hidden="false" customHeight="false" outlineLevel="0" collapsed="false">
      <c r="A1066" s="11" t="s">
        <v>6680</v>
      </c>
      <c r="B1066" s="11" t="s">
        <v>40</v>
      </c>
      <c r="C1066" s="11" t="s">
        <v>249</v>
      </c>
      <c r="D1066" s="11" t="s">
        <v>250</v>
      </c>
      <c r="E1066" s="11" t="s">
        <v>1187</v>
      </c>
      <c r="F1066" s="11" t="s">
        <v>6681</v>
      </c>
      <c r="G1066" s="11" t="s">
        <v>6682</v>
      </c>
      <c r="H1066" s="11"/>
      <c r="I1066" s="11" t="s">
        <v>6683</v>
      </c>
      <c r="J1066" s="11" t="s">
        <v>6684</v>
      </c>
      <c r="K1066" s="11" t="s">
        <v>675</v>
      </c>
      <c r="L1066" s="11" t="s">
        <v>6685</v>
      </c>
      <c r="M1066" s="11"/>
      <c r="N1066" s="14" t="n">
        <v>1</v>
      </c>
      <c r="O1066" s="14" t="n">
        <v>4</v>
      </c>
      <c r="P1066" s="14" t="n">
        <v>5</v>
      </c>
      <c r="Q1066" s="14"/>
      <c r="R1066" s="12" t="n">
        <f aca="false">IF(OR(N1066="",P1066=""),"",ROUND(N1066*O1066/P1066,1))</f>
        <v>0.8</v>
      </c>
      <c r="S1066" s="13" t="n">
        <f aca="false">IF(R1066="","",IF(Q1066="Y",1,IF(P1066&gt;='Read me'!$B$16,3,IF(AND(R1066&gt;='Read me'!$B$14,P1066&lt;='Read me'!$B$15),1,2))))</f>
        <v>3</v>
      </c>
    </row>
    <row r="1067" customFormat="false" ht="23.85" hidden="false" customHeight="false" outlineLevel="0" collapsed="false">
      <c r="A1067" s="11" t="s">
        <v>6686</v>
      </c>
      <c r="B1067" s="11" t="s">
        <v>40</v>
      </c>
      <c r="C1067" s="11" t="s">
        <v>249</v>
      </c>
      <c r="D1067" s="11" t="s">
        <v>250</v>
      </c>
      <c r="E1067" s="11" t="s">
        <v>1133</v>
      </c>
      <c r="F1067" s="11" t="s">
        <v>6687</v>
      </c>
      <c r="G1067" s="11" t="s">
        <v>6688</v>
      </c>
      <c r="H1067" s="11"/>
      <c r="I1067" s="11" t="s">
        <v>6689</v>
      </c>
      <c r="J1067" s="11" t="s">
        <v>6690</v>
      </c>
      <c r="K1067" s="11" t="s">
        <v>6691</v>
      </c>
      <c r="L1067" s="11" t="s">
        <v>6692</v>
      </c>
      <c r="M1067" s="11"/>
      <c r="N1067" s="14" t="n">
        <v>3</v>
      </c>
      <c r="O1067" s="14" t="n">
        <v>2</v>
      </c>
      <c r="P1067" s="14" t="n">
        <v>2</v>
      </c>
      <c r="Q1067" s="14"/>
      <c r="R1067" s="12" t="n">
        <f aca="false">IF(OR(N1067="",P1067=""),"",ROUND(N1067*O1067/P1067,1))</f>
        <v>3</v>
      </c>
      <c r="S1067" s="13" t="n">
        <f aca="false">IF(R1067="","",IF(Q1067="Y",1,IF(P1067&gt;='Read me'!$B$16,3,IF(AND(R1067&gt;='Read me'!$B$14,P1067&lt;='Read me'!$B$15),1,2))))</f>
        <v>2</v>
      </c>
    </row>
    <row r="1068" customFormat="false" ht="35.05" hidden="false" customHeight="false" outlineLevel="0" collapsed="false">
      <c r="A1068" s="11" t="s">
        <v>6693</v>
      </c>
      <c r="B1068" s="11" t="s">
        <v>40</v>
      </c>
      <c r="C1068" s="11" t="s">
        <v>252</v>
      </c>
      <c r="D1068" s="11" t="s">
        <v>253</v>
      </c>
      <c r="E1068" s="11" t="s">
        <v>532</v>
      </c>
      <c r="F1068" s="11" t="s">
        <v>6694</v>
      </c>
      <c r="G1068" s="11" t="s">
        <v>6695</v>
      </c>
      <c r="H1068" s="11"/>
      <c r="I1068" s="11" t="s">
        <v>6696</v>
      </c>
      <c r="J1068" s="11" t="s">
        <v>6697</v>
      </c>
      <c r="K1068" s="11" t="s">
        <v>6698</v>
      </c>
      <c r="L1068" s="11" t="s">
        <v>6699</v>
      </c>
      <c r="M1068" s="11" t="s">
        <v>4716</v>
      </c>
      <c r="N1068" s="14" t="n">
        <v>5</v>
      </c>
      <c r="O1068" s="14" t="n">
        <v>4</v>
      </c>
      <c r="P1068" s="14" t="n">
        <v>2</v>
      </c>
      <c r="Q1068" s="14"/>
      <c r="R1068" s="12" t="n">
        <f aca="false">IF(OR(N1068="",P1068=""),"",ROUND(N1068*O1068/P1068,1))</f>
        <v>10</v>
      </c>
      <c r="S1068" s="13" t="n">
        <f aca="false">IF(R1068="","",IF(Q1068="Y",1,IF(P1068&gt;='Read me'!$B$16,3,IF(AND(R1068&gt;='Read me'!$B$14,P1068&lt;='Read me'!$B$15),1,2))))</f>
        <v>1</v>
      </c>
    </row>
    <row r="1069" customFormat="false" ht="23.85" hidden="false" customHeight="false" outlineLevel="0" collapsed="false">
      <c r="A1069" s="11" t="s">
        <v>6700</v>
      </c>
      <c r="B1069" s="11" t="s">
        <v>40</v>
      </c>
      <c r="C1069" s="11" t="s">
        <v>252</v>
      </c>
      <c r="D1069" s="11" t="s">
        <v>253</v>
      </c>
      <c r="E1069" s="11" t="s">
        <v>532</v>
      </c>
      <c r="F1069" s="11" t="s">
        <v>6694</v>
      </c>
      <c r="G1069" s="11" t="s">
        <v>6701</v>
      </c>
      <c r="H1069" s="11"/>
      <c r="I1069" s="11" t="s">
        <v>6702</v>
      </c>
      <c r="J1069" s="11" t="s">
        <v>6703</v>
      </c>
      <c r="K1069" s="11" t="s">
        <v>6704</v>
      </c>
      <c r="L1069" s="11" t="s">
        <v>6705</v>
      </c>
      <c r="M1069" s="11"/>
      <c r="N1069" s="14" t="n">
        <v>4</v>
      </c>
      <c r="O1069" s="14" t="n">
        <v>3</v>
      </c>
      <c r="P1069" s="14" t="n">
        <v>2</v>
      </c>
      <c r="Q1069" s="14"/>
      <c r="R1069" s="12" t="n">
        <f aca="false">IF(OR(N1069="",P1069=""),"",ROUND(N1069*O1069/P1069,1))</f>
        <v>6</v>
      </c>
      <c r="S1069" s="13" t="n">
        <f aca="false">IF(R1069="","",IF(Q1069="Y",1,IF(P1069&gt;='Read me'!$B$16,3,IF(AND(R1069&gt;='Read me'!$B$14,P1069&lt;='Read me'!$B$15),1,2))))</f>
        <v>1</v>
      </c>
    </row>
    <row r="1070" customFormat="false" ht="23.85" hidden="false" customHeight="false" outlineLevel="0" collapsed="false">
      <c r="A1070" s="11" t="s">
        <v>6706</v>
      </c>
      <c r="B1070" s="11" t="s">
        <v>40</v>
      </c>
      <c r="C1070" s="11" t="s">
        <v>252</v>
      </c>
      <c r="D1070" s="11" t="s">
        <v>253</v>
      </c>
      <c r="E1070" s="11" t="s">
        <v>532</v>
      </c>
      <c r="F1070" s="11" t="s">
        <v>6707</v>
      </c>
      <c r="G1070" s="11" t="s">
        <v>6708</v>
      </c>
      <c r="H1070" s="11"/>
      <c r="I1070" s="11" t="s">
        <v>6709</v>
      </c>
      <c r="J1070" s="11" t="s">
        <v>6710</v>
      </c>
      <c r="K1070" s="11" t="s">
        <v>6711</v>
      </c>
      <c r="L1070" s="11" t="s">
        <v>6712</v>
      </c>
      <c r="M1070" s="11"/>
      <c r="N1070" s="14" t="n">
        <v>2</v>
      </c>
      <c r="O1070" s="14" t="n">
        <v>3</v>
      </c>
      <c r="P1070" s="14" t="n">
        <v>3</v>
      </c>
      <c r="Q1070" s="14"/>
      <c r="R1070" s="12" t="n">
        <f aca="false">IF(OR(N1070="",P1070=""),"",ROUND(N1070*O1070/P1070,1))</f>
        <v>2</v>
      </c>
      <c r="S1070" s="13" t="n">
        <f aca="false">IF(R1070="","",IF(Q1070="Y",1,IF(P1070&gt;='Read me'!$B$16,3,IF(AND(R1070&gt;='Read me'!$B$14,P1070&lt;='Read me'!$B$15),1,2))))</f>
        <v>2</v>
      </c>
    </row>
    <row r="1071" customFormat="false" ht="35.05" hidden="false" customHeight="false" outlineLevel="0" collapsed="false">
      <c r="A1071" s="11" t="s">
        <v>6713</v>
      </c>
      <c r="B1071" s="11" t="s">
        <v>40</v>
      </c>
      <c r="C1071" s="11" t="s">
        <v>252</v>
      </c>
      <c r="D1071" s="11" t="s">
        <v>253</v>
      </c>
      <c r="E1071" s="11" t="s">
        <v>532</v>
      </c>
      <c r="F1071" s="11" t="s">
        <v>6714</v>
      </c>
      <c r="G1071" s="11" t="s">
        <v>6715</v>
      </c>
      <c r="H1071" s="11"/>
      <c r="I1071" s="11" t="s">
        <v>6716</v>
      </c>
      <c r="J1071" s="11" t="s">
        <v>6717</v>
      </c>
      <c r="K1071" s="11" t="s">
        <v>6718</v>
      </c>
      <c r="L1071" s="11" t="s">
        <v>6719</v>
      </c>
      <c r="M1071" s="11" t="s">
        <v>6720</v>
      </c>
      <c r="N1071" s="14" t="n">
        <v>2</v>
      </c>
      <c r="O1071" s="14" t="n">
        <v>3</v>
      </c>
      <c r="P1071" s="14" t="n">
        <v>2</v>
      </c>
      <c r="Q1071" s="14"/>
      <c r="R1071" s="12" t="n">
        <f aca="false">IF(OR(N1071="",P1071=""),"",ROUND(N1071*O1071/P1071,1))</f>
        <v>3</v>
      </c>
      <c r="S1071" s="13" t="n">
        <f aca="false">IF(R1071="","",IF(Q1071="Y",1,IF(P1071&gt;='Read me'!$B$16,3,IF(AND(R1071&gt;='Read me'!$B$14,P1071&lt;='Read me'!$B$15),1,2))))</f>
        <v>2</v>
      </c>
    </row>
    <row r="1072" customFormat="false" ht="23.85" hidden="false" customHeight="false" outlineLevel="0" collapsed="false">
      <c r="A1072" s="11" t="s">
        <v>6721</v>
      </c>
      <c r="B1072" s="11" t="s">
        <v>40</v>
      </c>
      <c r="C1072" s="11" t="s">
        <v>252</v>
      </c>
      <c r="D1072" s="11" t="s">
        <v>253</v>
      </c>
      <c r="E1072" s="11" t="s">
        <v>626</v>
      </c>
      <c r="F1072" s="11" t="s">
        <v>6722</v>
      </c>
      <c r="G1072" s="11" t="s">
        <v>6723</v>
      </c>
      <c r="H1072" s="11"/>
      <c r="I1072" s="11" t="s">
        <v>6724</v>
      </c>
      <c r="J1072" s="11" t="s">
        <v>6725</v>
      </c>
      <c r="K1072" s="11" t="s">
        <v>6726</v>
      </c>
      <c r="L1072" s="11" t="s">
        <v>6727</v>
      </c>
      <c r="M1072" s="11"/>
      <c r="N1072" s="14" t="n">
        <v>3</v>
      </c>
      <c r="O1072" s="14" t="n">
        <v>3</v>
      </c>
      <c r="P1072" s="14" t="n">
        <v>1</v>
      </c>
      <c r="Q1072" s="14"/>
      <c r="R1072" s="12" t="n">
        <f aca="false">IF(OR(N1072="",P1072=""),"",ROUND(N1072*O1072/P1072,1))</f>
        <v>9</v>
      </c>
      <c r="S1072" s="13" t="n">
        <f aca="false">IF(R1072="","",IF(Q1072="Y",1,IF(P1072&gt;='Read me'!$B$16,3,IF(AND(R1072&gt;='Read me'!$B$14,P1072&lt;='Read me'!$B$15),1,2))))</f>
        <v>1</v>
      </c>
    </row>
    <row r="1073" customFormat="false" ht="15" hidden="false" customHeight="false" outlineLevel="0" collapsed="false">
      <c r="A1073" s="11" t="s">
        <v>6728</v>
      </c>
      <c r="B1073" s="11" t="s">
        <v>40</v>
      </c>
      <c r="C1073" s="11" t="s">
        <v>252</v>
      </c>
      <c r="D1073" s="11" t="s">
        <v>253</v>
      </c>
      <c r="E1073" s="11" t="s">
        <v>626</v>
      </c>
      <c r="F1073" s="11" t="s">
        <v>6729</v>
      </c>
      <c r="G1073" s="11" t="s">
        <v>6730</v>
      </c>
      <c r="H1073" s="11"/>
      <c r="I1073" s="11" t="s">
        <v>6731</v>
      </c>
      <c r="J1073" s="11" t="s">
        <v>6732</v>
      </c>
      <c r="K1073" s="11" t="s">
        <v>6733</v>
      </c>
      <c r="L1073" s="11" t="s">
        <v>6734</v>
      </c>
      <c r="M1073" s="11"/>
      <c r="N1073" s="14" t="n">
        <v>3</v>
      </c>
      <c r="O1073" s="14" t="n">
        <v>3</v>
      </c>
      <c r="P1073" s="14" t="n">
        <v>1</v>
      </c>
      <c r="Q1073" s="14"/>
      <c r="R1073" s="12" t="n">
        <f aca="false">IF(OR(N1073="",P1073=""),"",ROUND(N1073*O1073/P1073,1))</f>
        <v>9</v>
      </c>
      <c r="S1073" s="13" t="n">
        <f aca="false">IF(R1073="","",IF(Q1073="Y",1,IF(P1073&gt;='Read me'!$B$16,3,IF(AND(R1073&gt;='Read me'!$B$14,P1073&lt;='Read me'!$B$15),1,2))))</f>
        <v>1</v>
      </c>
    </row>
    <row r="1074" customFormat="false" ht="15" hidden="false" customHeight="false" outlineLevel="0" collapsed="false">
      <c r="A1074" s="11" t="s">
        <v>6735</v>
      </c>
      <c r="B1074" s="11" t="s">
        <v>40</v>
      </c>
      <c r="C1074" s="11" t="s">
        <v>252</v>
      </c>
      <c r="D1074" s="11" t="s">
        <v>253</v>
      </c>
      <c r="E1074" s="11" t="s">
        <v>626</v>
      </c>
      <c r="F1074" s="11" t="s">
        <v>6736</v>
      </c>
      <c r="G1074" s="11" t="s">
        <v>3783</v>
      </c>
      <c r="H1074" s="11"/>
      <c r="I1074" s="11" t="s">
        <v>6737</v>
      </c>
      <c r="J1074" s="11" t="s">
        <v>6738</v>
      </c>
      <c r="K1074" s="11" t="s">
        <v>6739</v>
      </c>
      <c r="L1074" s="11" t="s">
        <v>6719</v>
      </c>
      <c r="M1074" s="11" t="s">
        <v>6740</v>
      </c>
      <c r="N1074" s="14" t="n">
        <v>2</v>
      </c>
      <c r="O1074" s="14" t="n">
        <v>2</v>
      </c>
      <c r="P1074" s="14" t="n">
        <v>1</v>
      </c>
      <c r="Q1074" s="14"/>
      <c r="R1074" s="12" t="n">
        <f aca="false">IF(OR(N1074="",P1074=""),"",ROUND(N1074*O1074/P1074,1))</f>
        <v>4</v>
      </c>
      <c r="S1074" s="13" t="n">
        <f aca="false">IF(R1074="","",IF(Q1074="Y",1,IF(P1074&gt;='Read me'!$B$16,3,IF(AND(R1074&gt;='Read me'!$B$14,P1074&lt;='Read me'!$B$15),1,2))))</f>
        <v>2</v>
      </c>
    </row>
    <row r="1075" customFormat="false" ht="23.85" hidden="false" customHeight="false" outlineLevel="0" collapsed="false">
      <c r="A1075" s="11" t="s">
        <v>6741</v>
      </c>
      <c r="B1075" s="11" t="s">
        <v>40</v>
      </c>
      <c r="C1075" s="11" t="s">
        <v>252</v>
      </c>
      <c r="D1075" s="11" t="s">
        <v>253</v>
      </c>
      <c r="E1075" s="11" t="s">
        <v>751</v>
      </c>
      <c r="F1075" s="11" t="s">
        <v>6742</v>
      </c>
      <c r="G1075" s="11" t="s">
        <v>1252</v>
      </c>
      <c r="H1075" s="11"/>
      <c r="I1075" s="11" t="s">
        <v>1251</v>
      </c>
      <c r="J1075" s="11" t="s">
        <v>6743</v>
      </c>
      <c r="K1075" s="11" t="s">
        <v>1254</v>
      </c>
      <c r="L1075" s="11" t="s">
        <v>6744</v>
      </c>
      <c r="M1075" s="11" t="s">
        <v>1577</v>
      </c>
      <c r="N1075" s="14" t="n">
        <v>4</v>
      </c>
      <c r="O1075" s="14" t="n">
        <v>4</v>
      </c>
      <c r="P1075" s="14" t="n">
        <v>3</v>
      </c>
      <c r="Q1075" s="14"/>
      <c r="R1075" s="12" t="n">
        <f aca="false">IF(OR(N1075="",P1075=""),"",ROUND(N1075*O1075/P1075,1))</f>
        <v>5.3</v>
      </c>
      <c r="S1075" s="13" t="n">
        <f aca="false">IF(R1075="","",IF(Q1075="Y",1,IF(P1075&gt;='Read me'!$B$16,3,IF(AND(R1075&gt;='Read me'!$B$14,P1075&lt;='Read me'!$B$15),1,2))))</f>
        <v>2</v>
      </c>
    </row>
    <row r="1076" customFormat="false" ht="23.85" hidden="false" customHeight="false" outlineLevel="0" collapsed="false">
      <c r="A1076" s="11" t="s">
        <v>6745</v>
      </c>
      <c r="B1076" s="11" t="s">
        <v>40</v>
      </c>
      <c r="C1076" s="11" t="s">
        <v>252</v>
      </c>
      <c r="D1076" s="11" t="s">
        <v>253</v>
      </c>
      <c r="E1076" s="11" t="s">
        <v>751</v>
      </c>
      <c r="F1076" s="11" t="s">
        <v>6742</v>
      </c>
      <c r="G1076" s="11" t="s">
        <v>2540</v>
      </c>
      <c r="H1076" s="11"/>
      <c r="I1076" s="11" t="s">
        <v>6746</v>
      </c>
      <c r="J1076" s="11" t="s">
        <v>6747</v>
      </c>
      <c r="K1076" s="11" t="s">
        <v>1254</v>
      </c>
      <c r="L1076" s="11"/>
      <c r="M1076" s="11" t="s">
        <v>1577</v>
      </c>
      <c r="N1076" s="14" t="n">
        <v>3</v>
      </c>
      <c r="O1076" s="14" t="n">
        <v>3</v>
      </c>
      <c r="P1076" s="14" t="n">
        <v>3</v>
      </c>
      <c r="Q1076" s="14"/>
      <c r="R1076" s="12" t="n">
        <f aca="false">IF(OR(N1076="",P1076=""),"",ROUND(N1076*O1076/P1076,1))</f>
        <v>3</v>
      </c>
      <c r="S1076" s="13" t="n">
        <f aca="false">IF(R1076="","",IF(Q1076="Y",1,IF(P1076&gt;='Read me'!$B$16,3,IF(AND(R1076&gt;='Read me'!$B$14,P1076&lt;='Read me'!$B$15),1,2))))</f>
        <v>2</v>
      </c>
    </row>
    <row r="1077" customFormat="false" ht="23.85" hidden="false" customHeight="false" outlineLevel="0" collapsed="false">
      <c r="A1077" s="11" t="s">
        <v>6748</v>
      </c>
      <c r="B1077" s="11" t="s">
        <v>40</v>
      </c>
      <c r="C1077" s="11" t="s">
        <v>252</v>
      </c>
      <c r="D1077" s="11" t="s">
        <v>253</v>
      </c>
      <c r="E1077" s="11" t="s">
        <v>802</v>
      </c>
      <c r="F1077" s="11" t="s">
        <v>6749</v>
      </c>
      <c r="G1077" s="11" t="s">
        <v>6750</v>
      </c>
      <c r="H1077" s="11"/>
      <c r="I1077" s="11" t="s">
        <v>6751</v>
      </c>
      <c r="J1077" s="11" t="s">
        <v>6752</v>
      </c>
      <c r="K1077" s="11" t="s">
        <v>6753</v>
      </c>
      <c r="L1077" s="11" t="s">
        <v>6754</v>
      </c>
      <c r="M1077" s="11" t="s">
        <v>1350</v>
      </c>
      <c r="N1077" s="14" t="n">
        <v>2</v>
      </c>
      <c r="O1077" s="14" t="n">
        <v>3</v>
      </c>
      <c r="P1077" s="14" t="n">
        <v>3</v>
      </c>
      <c r="Q1077" s="14"/>
      <c r="R1077" s="12" t="n">
        <f aca="false">IF(OR(N1077="",P1077=""),"",ROUND(N1077*O1077/P1077,1))</f>
        <v>2</v>
      </c>
      <c r="S1077" s="13" t="n">
        <f aca="false">IF(R1077="","",IF(Q1077="Y",1,IF(P1077&gt;='Read me'!$B$16,3,IF(AND(R1077&gt;='Read me'!$B$14,P1077&lt;='Read me'!$B$15),1,2))))</f>
        <v>2</v>
      </c>
    </row>
    <row r="1078" customFormat="false" ht="15" hidden="false" customHeight="false" outlineLevel="0" collapsed="false">
      <c r="A1078" s="11" t="s">
        <v>6755</v>
      </c>
      <c r="B1078" s="11" t="s">
        <v>40</v>
      </c>
      <c r="C1078" s="11" t="s">
        <v>252</v>
      </c>
      <c r="D1078" s="11" t="s">
        <v>253</v>
      </c>
      <c r="E1078" s="11" t="s">
        <v>765</v>
      </c>
      <c r="F1078" s="11" t="s">
        <v>6756</v>
      </c>
      <c r="G1078" s="11" t="s">
        <v>2806</v>
      </c>
      <c r="H1078" s="11"/>
      <c r="I1078" s="11" t="s">
        <v>6757</v>
      </c>
      <c r="J1078" s="11" t="s">
        <v>6758</v>
      </c>
      <c r="K1078" s="11" t="s">
        <v>4220</v>
      </c>
      <c r="L1078" s="11" t="s">
        <v>6759</v>
      </c>
      <c r="M1078" s="11"/>
      <c r="N1078" s="14" t="n">
        <v>2</v>
      </c>
      <c r="O1078" s="14" t="n">
        <v>2</v>
      </c>
      <c r="P1078" s="14" t="n">
        <v>1</v>
      </c>
      <c r="Q1078" s="14"/>
      <c r="R1078" s="12" t="n">
        <f aca="false">IF(OR(N1078="",P1078=""),"",ROUND(N1078*O1078/P1078,1))</f>
        <v>4</v>
      </c>
      <c r="S1078" s="13" t="n">
        <f aca="false">IF(R1078="","",IF(Q1078="Y",1,IF(P1078&gt;='Read me'!$B$16,3,IF(AND(R1078&gt;='Read me'!$B$14,P1078&lt;='Read me'!$B$15),1,2))))</f>
        <v>2</v>
      </c>
    </row>
    <row r="1079" customFormat="false" ht="15" hidden="false" customHeight="false" outlineLevel="0" collapsed="false">
      <c r="A1079" s="11" t="s">
        <v>6760</v>
      </c>
      <c r="B1079" s="11" t="s">
        <v>40</v>
      </c>
      <c r="C1079" s="11" t="s">
        <v>252</v>
      </c>
      <c r="D1079" s="11" t="s">
        <v>253</v>
      </c>
      <c r="E1079" s="11" t="s">
        <v>765</v>
      </c>
      <c r="F1079" s="11" t="s">
        <v>6761</v>
      </c>
      <c r="G1079" s="11" t="s">
        <v>6762</v>
      </c>
      <c r="H1079" s="11"/>
      <c r="I1079" s="11" t="s">
        <v>6763</v>
      </c>
      <c r="J1079" s="11" t="s">
        <v>6764</v>
      </c>
      <c r="K1079" s="11" t="s">
        <v>990</v>
      </c>
      <c r="L1079" s="11" t="s">
        <v>6765</v>
      </c>
      <c r="M1079" s="11"/>
      <c r="N1079" s="14" t="n">
        <v>2</v>
      </c>
      <c r="O1079" s="14" t="n">
        <v>2</v>
      </c>
      <c r="P1079" s="14" t="n">
        <v>2</v>
      </c>
      <c r="Q1079" s="14"/>
      <c r="R1079" s="12" t="n">
        <f aca="false">IF(OR(N1079="",P1079=""),"",ROUND(N1079*O1079/P1079,1))</f>
        <v>2</v>
      </c>
      <c r="S1079" s="13" t="n">
        <f aca="false">IF(R1079="","",IF(Q1079="Y",1,IF(P1079&gt;='Read me'!$B$16,3,IF(AND(R1079&gt;='Read me'!$B$14,P1079&lt;='Read me'!$B$15),1,2))))</f>
        <v>2</v>
      </c>
    </row>
    <row r="1080" customFormat="false" ht="23.85" hidden="false" customHeight="false" outlineLevel="0" collapsed="false">
      <c r="A1080" s="11" t="s">
        <v>6766</v>
      </c>
      <c r="B1080" s="11" t="s">
        <v>40</v>
      </c>
      <c r="C1080" s="11" t="s">
        <v>252</v>
      </c>
      <c r="D1080" s="11" t="s">
        <v>253</v>
      </c>
      <c r="E1080" s="11" t="s">
        <v>765</v>
      </c>
      <c r="F1080" s="11" t="s">
        <v>6767</v>
      </c>
      <c r="G1080" s="11" t="s">
        <v>953</v>
      </c>
      <c r="H1080" s="11" t="s">
        <v>6768</v>
      </c>
      <c r="I1080" s="11" t="s">
        <v>6769</v>
      </c>
      <c r="J1080" s="11" t="s">
        <v>6770</v>
      </c>
      <c r="K1080" s="11" t="s">
        <v>6771</v>
      </c>
      <c r="L1080" s="11" t="s">
        <v>6772</v>
      </c>
      <c r="M1080" s="11"/>
      <c r="N1080" s="14" t="n">
        <v>2</v>
      </c>
      <c r="O1080" s="14" t="n">
        <v>3</v>
      </c>
      <c r="P1080" s="14" t="n">
        <v>3</v>
      </c>
      <c r="Q1080" s="14"/>
      <c r="R1080" s="12" t="n">
        <f aca="false">IF(OR(N1080="",P1080=""),"",ROUND(N1080*O1080/P1080,1))</f>
        <v>2</v>
      </c>
      <c r="S1080" s="13" t="n">
        <f aca="false">IF(R1080="","",IF(Q1080="Y",1,IF(P1080&gt;='Read me'!$B$16,3,IF(AND(R1080&gt;='Read me'!$B$14,P1080&lt;='Read me'!$B$15),1,2))))</f>
        <v>2</v>
      </c>
    </row>
    <row r="1081" customFormat="false" ht="23.85" hidden="false" customHeight="false" outlineLevel="0" collapsed="false">
      <c r="A1081" s="11" t="s">
        <v>6773</v>
      </c>
      <c r="B1081" s="11" t="s">
        <v>40</v>
      </c>
      <c r="C1081" s="11" t="s">
        <v>252</v>
      </c>
      <c r="D1081" s="11" t="s">
        <v>253</v>
      </c>
      <c r="E1081" s="11" t="s">
        <v>1081</v>
      </c>
      <c r="F1081" s="11" t="s">
        <v>6774</v>
      </c>
      <c r="G1081" s="11" t="s">
        <v>6775</v>
      </c>
      <c r="H1081" s="11"/>
      <c r="I1081" s="11" t="s">
        <v>6776</v>
      </c>
      <c r="J1081" s="11" t="s">
        <v>6777</v>
      </c>
      <c r="K1081" s="11" t="s">
        <v>4699</v>
      </c>
      <c r="L1081" s="11" t="s">
        <v>6778</v>
      </c>
      <c r="M1081" s="11"/>
      <c r="N1081" s="14" t="n">
        <v>3</v>
      </c>
      <c r="O1081" s="14" t="n">
        <v>2</v>
      </c>
      <c r="P1081" s="14" t="n">
        <v>1</v>
      </c>
      <c r="Q1081" s="14"/>
      <c r="R1081" s="12" t="n">
        <f aca="false">IF(OR(N1081="",P1081=""),"",ROUND(N1081*O1081/P1081,1))</f>
        <v>6</v>
      </c>
      <c r="S1081" s="13" t="n">
        <f aca="false">IF(R1081="","",IF(Q1081="Y",1,IF(P1081&gt;='Read me'!$B$16,3,IF(AND(R1081&gt;='Read me'!$B$14,P1081&lt;='Read me'!$B$15),1,2))))</f>
        <v>1</v>
      </c>
    </row>
    <row r="1082" customFormat="false" ht="23.85" hidden="false" customHeight="false" outlineLevel="0" collapsed="false">
      <c r="A1082" s="11" t="s">
        <v>6779</v>
      </c>
      <c r="B1082" s="11" t="s">
        <v>40</v>
      </c>
      <c r="C1082" s="11" t="s">
        <v>252</v>
      </c>
      <c r="D1082" s="11" t="s">
        <v>253</v>
      </c>
      <c r="E1082" s="11" t="s">
        <v>1187</v>
      </c>
      <c r="F1082" s="11" t="s">
        <v>6780</v>
      </c>
      <c r="G1082" s="11" t="s">
        <v>6339</v>
      </c>
      <c r="H1082" s="11" t="s">
        <v>6573</v>
      </c>
      <c r="I1082" s="11" t="s">
        <v>6781</v>
      </c>
      <c r="J1082" s="11" t="s">
        <v>6782</v>
      </c>
      <c r="K1082" s="11" t="s">
        <v>6771</v>
      </c>
      <c r="L1082" s="11" t="s">
        <v>6783</v>
      </c>
      <c r="M1082" s="11"/>
      <c r="N1082" s="14" t="n">
        <v>2</v>
      </c>
      <c r="O1082" s="14" t="n">
        <v>3</v>
      </c>
      <c r="P1082" s="14" t="n">
        <v>3</v>
      </c>
      <c r="Q1082" s="14"/>
      <c r="R1082" s="12" t="n">
        <f aca="false">IF(OR(N1082="",P1082=""),"",ROUND(N1082*O1082/P1082,1))</f>
        <v>2</v>
      </c>
      <c r="S1082" s="13" t="n">
        <f aca="false">IF(R1082="","",IF(Q1082="Y",1,IF(P1082&gt;='Read me'!$B$16,3,IF(AND(R1082&gt;='Read me'!$B$14,P1082&lt;='Read me'!$B$15),1,2))))</f>
        <v>2</v>
      </c>
    </row>
    <row r="1083" customFormat="false" ht="23.85" hidden="false" customHeight="false" outlineLevel="0" collapsed="false">
      <c r="A1083" s="11" t="s">
        <v>6784</v>
      </c>
      <c r="B1083" s="11" t="s">
        <v>40</v>
      </c>
      <c r="C1083" s="11" t="s">
        <v>252</v>
      </c>
      <c r="D1083" s="11" t="s">
        <v>253</v>
      </c>
      <c r="E1083" s="11" t="s">
        <v>1187</v>
      </c>
      <c r="F1083" s="11" t="s">
        <v>6785</v>
      </c>
      <c r="G1083" s="11" t="s">
        <v>6786</v>
      </c>
      <c r="H1083" s="11" t="s">
        <v>6787</v>
      </c>
      <c r="I1083" s="11" t="s">
        <v>6788</v>
      </c>
      <c r="J1083" s="11" t="s">
        <v>6789</v>
      </c>
      <c r="K1083" s="11" t="s">
        <v>675</v>
      </c>
      <c r="L1083" s="11" t="s">
        <v>6790</v>
      </c>
      <c r="M1083" s="11"/>
      <c r="N1083" s="14" t="n">
        <v>1</v>
      </c>
      <c r="O1083" s="14" t="n">
        <v>3</v>
      </c>
      <c r="P1083" s="14" t="n">
        <v>4</v>
      </c>
      <c r="Q1083" s="14"/>
      <c r="R1083" s="12" t="n">
        <f aca="false">IF(OR(N1083="",P1083=""),"",ROUND(N1083*O1083/P1083,1))</f>
        <v>0.8</v>
      </c>
      <c r="S1083" s="13" t="n">
        <f aca="false">IF(R1083="","",IF(Q1083="Y",1,IF(P1083&gt;='Read me'!$B$16,3,IF(AND(R1083&gt;='Read me'!$B$14,P1083&lt;='Read me'!$B$15),1,2))))</f>
        <v>3</v>
      </c>
    </row>
    <row r="1084" customFormat="false" ht="23.85" hidden="false" customHeight="false" outlineLevel="0" collapsed="false">
      <c r="A1084" s="11" t="s">
        <v>6791</v>
      </c>
      <c r="B1084" s="11" t="s">
        <v>40</v>
      </c>
      <c r="C1084" s="11" t="s">
        <v>252</v>
      </c>
      <c r="D1084" s="11" t="s">
        <v>253</v>
      </c>
      <c r="E1084" s="11" t="s">
        <v>1187</v>
      </c>
      <c r="F1084" s="11" t="s">
        <v>6792</v>
      </c>
      <c r="G1084" s="11" t="s">
        <v>6532</v>
      </c>
      <c r="H1084" s="11" t="s">
        <v>6793</v>
      </c>
      <c r="I1084" s="11" t="s">
        <v>6794</v>
      </c>
      <c r="J1084" s="11" t="s">
        <v>6795</v>
      </c>
      <c r="K1084" s="11" t="s">
        <v>675</v>
      </c>
      <c r="L1084" s="11" t="s">
        <v>6796</v>
      </c>
      <c r="M1084" s="11"/>
      <c r="N1084" s="14" t="n">
        <v>1</v>
      </c>
      <c r="O1084" s="14" t="n">
        <v>2</v>
      </c>
      <c r="P1084" s="14" t="n">
        <v>3</v>
      </c>
      <c r="Q1084" s="14"/>
      <c r="R1084" s="12" t="n">
        <f aca="false">IF(OR(N1084="",P1084=""),"",ROUND(N1084*O1084/P1084,1))</f>
        <v>0.7</v>
      </c>
      <c r="S1084" s="13" t="n">
        <f aca="false">IF(R1084="","",IF(Q1084="Y",1,IF(P1084&gt;='Read me'!$B$16,3,IF(AND(R1084&gt;='Read me'!$B$14,P1084&lt;='Read me'!$B$15),1,2))))</f>
        <v>2</v>
      </c>
    </row>
    <row r="1085" customFormat="false" ht="15" hidden="false" customHeight="false" outlineLevel="0" collapsed="false">
      <c r="A1085" s="11" t="s">
        <v>6797</v>
      </c>
      <c r="B1085" s="11" t="s">
        <v>40</v>
      </c>
      <c r="C1085" s="11" t="s">
        <v>252</v>
      </c>
      <c r="D1085" s="11" t="s">
        <v>253</v>
      </c>
      <c r="E1085" s="11" t="s">
        <v>1187</v>
      </c>
      <c r="F1085" s="11" t="s">
        <v>6798</v>
      </c>
      <c r="G1085" s="11" t="s">
        <v>6799</v>
      </c>
      <c r="H1085" s="11" t="s">
        <v>5469</v>
      </c>
      <c r="I1085" s="11" t="s">
        <v>6800</v>
      </c>
      <c r="J1085" s="11" t="s">
        <v>6562</v>
      </c>
      <c r="K1085" s="11" t="s">
        <v>675</v>
      </c>
      <c r="L1085" s="11" t="s">
        <v>6801</v>
      </c>
      <c r="M1085" s="11"/>
      <c r="N1085" s="14" t="n">
        <v>1</v>
      </c>
      <c r="O1085" s="14" t="n">
        <v>3</v>
      </c>
      <c r="P1085" s="14" t="n">
        <v>5</v>
      </c>
      <c r="Q1085" s="14"/>
      <c r="R1085" s="12" t="n">
        <f aca="false">IF(OR(N1085="",P1085=""),"",ROUND(N1085*O1085/P1085,1))</f>
        <v>0.6</v>
      </c>
      <c r="S1085" s="13" t="n">
        <f aca="false">IF(R1085="","",IF(Q1085="Y",1,IF(P1085&gt;='Read me'!$B$16,3,IF(AND(R1085&gt;='Read me'!$B$14,P1085&lt;='Read me'!$B$15),1,2))))</f>
        <v>3</v>
      </c>
    </row>
    <row r="1086" customFormat="false" ht="35.05" hidden="false" customHeight="false" outlineLevel="0" collapsed="false">
      <c r="A1086" s="11" t="s">
        <v>6802</v>
      </c>
      <c r="B1086" s="11" t="s">
        <v>40</v>
      </c>
      <c r="C1086" s="11" t="s">
        <v>252</v>
      </c>
      <c r="D1086" s="11" t="s">
        <v>253</v>
      </c>
      <c r="E1086" s="11" t="s">
        <v>1133</v>
      </c>
      <c r="F1086" s="11" t="s">
        <v>6803</v>
      </c>
      <c r="G1086" s="11" t="s">
        <v>6804</v>
      </c>
      <c r="H1086" s="11"/>
      <c r="I1086" s="11" t="s">
        <v>512</v>
      </c>
      <c r="J1086" s="11" t="s">
        <v>6805</v>
      </c>
      <c r="K1086" s="11" t="s">
        <v>6806</v>
      </c>
      <c r="L1086" s="11" t="s">
        <v>6807</v>
      </c>
      <c r="M1086" s="11" t="s">
        <v>4716</v>
      </c>
      <c r="N1086" s="14" t="n">
        <v>3</v>
      </c>
      <c r="O1086" s="14" t="n">
        <v>4</v>
      </c>
      <c r="P1086" s="14" t="n">
        <v>2</v>
      </c>
      <c r="Q1086" s="14"/>
      <c r="R1086" s="12" t="n">
        <f aca="false">IF(OR(N1086="",P1086=""),"",ROUND(N1086*O1086/P1086,1))</f>
        <v>6</v>
      </c>
      <c r="S1086" s="13" t="n">
        <f aca="false">IF(R1086="","",IF(Q1086="Y",1,IF(P1086&gt;='Read me'!$B$16,3,IF(AND(R1086&gt;='Read me'!$B$14,P1086&lt;='Read me'!$B$15),1,2))))</f>
        <v>1</v>
      </c>
    </row>
    <row r="1087" customFormat="false" ht="15" hidden="false" customHeight="false" outlineLevel="0" collapsed="false">
      <c r="A1087" s="11" t="s">
        <v>6808</v>
      </c>
      <c r="B1087" s="11" t="s">
        <v>40</v>
      </c>
      <c r="C1087" s="11" t="s">
        <v>257</v>
      </c>
      <c r="D1087" s="11" t="s">
        <v>258</v>
      </c>
      <c r="E1087" s="11" t="s">
        <v>626</v>
      </c>
      <c r="F1087" s="11" t="s">
        <v>6809</v>
      </c>
      <c r="G1087" s="11" t="s">
        <v>6810</v>
      </c>
      <c r="H1087" s="11"/>
      <c r="I1087" s="11" t="s">
        <v>6811</v>
      </c>
      <c r="J1087" s="11" t="s">
        <v>6812</v>
      </c>
      <c r="K1087" s="11" t="s">
        <v>1145</v>
      </c>
      <c r="L1087" s="11" t="s">
        <v>6813</v>
      </c>
      <c r="M1087" s="11"/>
      <c r="N1087" s="14" t="n">
        <v>2</v>
      </c>
      <c r="O1087" s="14" t="n">
        <v>2</v>
      </c>
      <c r="P1087" s="14" t="n">
        <v>1</v>
      </c>
      <c r="Q1087" s="14"/>
      <c r="R1087" s="12" t="n">
        <f aca="false">IF(OR(N1087="",P1087=""),"",ROUND(N1087*O1087/P1087,1))</f>
        <v>4</v>
      </c>
      <c r="S1087" s="13" t="n">
        <f aca="false">IF(R1087="","",IF(Q1087="Y",1,IF(P1087&gt;='Read me'!$B$16,3,IF(AND(R1087&gt;='Read me'!$B$14,P1087&lt;='Read me'!$B$15),1,2))))</f>
        <v>2</v>
      </c>
    </row>
    <row r="1088" customFormat="false" ht="46.25" hidden="false" customHeight="false" outlineLevel="0" collapsed="false">
      <c r="A1088" s="11" t="s">
        <v>6814</v>
      </c>
      <c r="B1088" s="11" t="s">
        <v>40</v>
      </c>
      <c r="C1088" s="11" t="s">
        <v>257</v>
      </c>
      <c r="D1088" s="11" t="s">
        <v>258</v>
      </c>
      <c r="E1088" s="11" t="s">
        <v>751</v>
      </c>
      <c r="F1088" s="11" t="s">
        <v>6815</v>
      </c>
      <c r="G1088" s="11" t="s">
        <v>6816</v>
      </c>
      <c r="H1088" s="11"/>
      <c r="I1088" s="11" t="s">
        <v>6817</v>
      </c>
      <c r="J1088" s="11" t="s">
        <v>6818</v>
      </c>
      <c r="K1088" s="11" t="s">
        <v>1254</v>
      </c>
      <c r="L1088" s="11" t="s">
        <v>6819</v>
      </c>
      <c r="M1088" s="11" t="s">
        <v>6558</v>
      </c>
      <c r="N1088" s="14" t="n">
        <v>2</v>
      </c>
      <c r="O1088" s="14" t="n">
        <v>2</v>
      </c>
      <c r="P1088" s="14" t="n">
        <v>3</v>
      </c>
      <c r="Q1088" s="14"/>
      <c r="R1088" s="12" t="n">
        <f aca="false">IF(OR(N1088="",P1088=""),"",ROUND(N1088*O1088/P1088,1))</f>
        <v>1.3</v>
      </c>
      <c r="S1088" s="13" t="n">
        <f aca="false">IF(R1088="","",IF(Q1088="Y",1,IF(P1088&gt;='Read me'!$B$16,3,IF(AND(R1088&gt;='Read me'!$B$14,P1088&lt;='Read me'!$B$15),1,2))))</f>
        <v>2</v>
      </c>
    </row>
    <row r="1089" customFormat="false" ht="46.25" hidden="false" customHeight="false" outlineLevel="0" collapsed="false">
      <c r="A1089" s="11" t="s">
        <v>6820</v>
      </c>
      <c r="B1089" s="11" t="s">
        <v>40</v>
      </c>
      <c r="C1089" s="11" t="s">
        <v>257</v>
      </c>
      <c r="D1089" s="11" t="s">
        <v>258</v>
      </c>
      <c r="E1089" s="11" t="s">
        <v>765</v>
      </c>
      <c r="F1089" s="11" t="s">
        <v>6821</v>
      </c>
      <c r="G1089" s="11" t="s">
        <v>6822</v>
      </c>
      <c r="H1089" s="11"/>
      <c r="I1089" s="11" t="s">
        <v>512</v>
      </c>
      <c r="J1089" s="11" t="s">
        <v>6823</v>
      </c>
      <c r="K1089" s="11" t="s">
        <v>6824</v>
      </c>
      <c r="L1089" s="11" t="s">
        <v>6825</v>
      </c>
      <c r="M1089" s="11" t="s">
        <v>6558</v>
      </c>
      <c r="N1089" s="14" t="n">
        <v>4</v>
      </c>
      <c r="O1089" s="14" t="n">
        <v>3</v>
      </c>
      <c r="P1089" s="14" t="n">
        <v>2</v>
      </c>
      <c r="Q1089" s="14"/>
      <c r="R1089" s="12" t="n">
        <f aca="false">IF(OR(N1089="",P1089=""),"",ROUND(N1089*O1089/P1089,1))</f>
        <v>6</v>
      </c>
      <c r="S1089" s="13" t="n">
        <f aca="false">IF(R1089="","",IF(Q1089="Y",1,IF(P1089&gt;='Read me'!$B$16,3,IF(AND(R1089&gt;='Read me'!$B$14,P1089&lt;='Read me'!$B$15),1,2))))</f>
        <v>1</v>
      </c>
    </row>
    <row r="1090" customFormat="false" ht="23.85" hidden="false" customHeight="false" outlineLevel="0" collapsed="false">
      <c r="A1090" s="11" t="s">
        <v>6826</v>
      </c>
      <c r="B1090" s="11" t="s">
        <v>40</v>
      </c>
      <c r="C1090" s="11" t="s">
        <v>257</v>
      </c>
      <c r="D1090" s="11" t="s">
        <v>258</v>
      </c>
      <c r="E1090" s="11" t="s">
        <v>1081</v>
      </c>
      <c r="F1090" s="11" t="s">
        <v>6827</v>
      </c>
      <c r="G1090" s="11" t="s">
        <v>6828</v>
      </c>
      <c r="H1090" s="11"/>
      <c r="I1090" s="11" t="s">
        <v>6829</v>
      </c>
      <c r="J1090" s="11" t="s">
        <v>6830</v>
      </c>
      <c r="K1090" s="11" t="s">
        <v>6831</v>
      </c>
      <c r="L1090" s="11" t="s">
        <v>6832</v>
      </c>
      <c r="M1090" s="11"/>
      <c r="N1090" s="14" t="n">
        <v>4</v>
      </c>
      <c r="O1090" s="14" t="n">
        <v>3</v>
      </c>
      <c r="P1090" s="14" t="n">
        <v>2</v>
      </c>
      <c r="Q1090" s="14"/>
      <c r="R1090" s="12" t="n">
        <f aca="false">IF(OR(N1090="",P1090=""),"",ROUND(N1090*O1090/P1090,1))</f>
        <v>6</v>
      </c>
      <c r="S1090" s="13" t="n">
        <f aca="false">IF(R1090="","",IF(Q1090="Y",1,IF(P1090&gt;='Read me'!$B$16,3,IF(AND(R1090&gt;='Read me'!$B$14,P1090&lt;='Read me'!$B$15),1,2))))</f>
        <v>1</v>
      </c>
    </row>
    <row r="1091" customFormat="false" ht="23.85" hidden="false" customHeight="false" outlineLevel="0" collapsed="false">
      <c r="A1091" s="11" t="s">
        <v>6833</v>
      </c>
      <c r="B1091" s="11" t="s">
        <v>40</v>
      </c>
      <c r="C1091" s="11" t="s">
        <v>257</v>
      </c>
      <c r="D1091" s="11" t="s">
        <v>258</v>
      </c>
      <c r="E1091" s="11" t="s">
        <v>1081</v>
      </c>
      <c r="F1091" s="11" t="s">
        <v>6834</v>
      </c>
      <c r="G1091" s="11" t="s">
        <v>6835</v>
      </c>
      <c r="H1091" s="11"/>
      <c r="I1091" s="11" t="s">
        <v>6836</v>
      </c>
      <c r="J1091" s="11" t="s">
        <v>6837</v>
      </c>
      <c r="K1091" s="11" t="s">
        <v>6838</v>
      </c>
      <c r="L1091" s="11" t="s">
        <v>6839</v>
      </c>
      <c r="M1091" s="11"/>
      <c r="N1091" s="14" t="n">
        <v>3</v>
      </c>
      <c r="O1091" s="14" t="n">
        <v>3</v>
      </c>
      <c r="P1091" s="14" t="n">
        <v>3</v>
      </c>
      <c r="Q1091" s="14"/>
      <c r="R1091" s="12" t="n">
        <f aca="false">IF(OR(N1091="",P1091=""),"",ROUND(N1091*O1091/P1091,1))</f>
        <v>3</v>
      </c>
      <c r="S1091" s="13" t="n">
        <f aca="false">IF(R1091="","",IF(Q1091="Y",1,IF(P1091&gt;='Read me'!$B$16,3,IF(AND(R1091&gt;='Read me'!$B$14,P1091&lt;='Read me'!$B$15),1,2))))</f>
        <v>2</v>
      </c>
    </row>
    <row r="1092" customFormat="false" ht="23.85" hidden="false" customHeight="false" outlineLevel="0" collapsed="false">
      <c r="A1092" s="11" t="s">
        <v>6840</v>
      </c>
      <c r="B1092" s="11" t="s">
        <v>40</v>
      </c>
      <c r="C1092" s="11" t="s">
        <v>257</v>
      </c>
      <c r="D1092" s="11" t="s">
        <v>258</v>
      </c>
      <c r="E1092" s="11" t="s">
        <v>1081</v>
      </c>
      <c r="F1092" s="11" t="s">
        <v>6841</v>
      </c>
      <c r="G1092" s="11" t="s">
        <v>6842</v>
      </c>
      <c r="H1092" s="11"/>
      <c r="I1092" s="11" t="s">
        <v>6843</v>
      </c>
      <c r="J1092" s="11" t="s">
        <v>6844</v>
      </c>
      <c r="K1092" s="11" t="s">
        <v>6845</v>
      </c>
      <c r="L1092" s="11" t="s">
        <v>6846</v>
      </c>
      <c r="M1092" s="11"/>
      <c r="N1092" s="14" t="n">
        <v>3</v>
      </c>
      <c r="O1092" s="14" t="n">
        <v>2</v>
      </c>
      <c r="P1092" s="14" t="n">
        <v>1</v>
      </c>
      <c r="Q1092" s="14"/>
      <c r="R1092" s="12" t="n">
        <f aca="false">IF(OR(N1092="",P1092=""),"",ROUND(N1092*O1092/P1092,1))</f>
        <v>6</v>
      </c>
      <c r="S1092" s="13" t="n">
        <f aca="false">IF(R1092="","",IF(Q1092="Y",1,IF(P1092&gt;='Read me'!$B$16,3,IF(AND(R1092&gt;='Read me'!$B$14,P1092&lt;='Read me'!$B$15),1,2))))</f>
        <v>1</v>
      </c>
    </row>
    <row r="1093" customFormat="false" ht="46.25" hidden="false" customHeight="false" outlineLevel="0" collapsed="false">
      <c r="A1093" s="11" t="s">
        <v>6847</v>
      </c>
      <c r="B1093" s="11" t="s">
        <v>40</v>
      </c>
      <c r="C1093" s="11" t="s">
        <v>257</v>
      </c>
      <c r="D1093" s="11" t="s">
        <v>258</v>
      </c>
      <c r="E1093" s="11" t="s">
        <v>1187</v>
      </c>
      <c r="F1093" s="11" t="s">
        <v>6848</v>
      </c>
      <c r="G1093" s="11" t="s">
        <v>6822</v>
      </c>
      <c r="H1093" s="11" t="s">
        <v>4577</v>
      </c>
      <c r="I1093" s="11" t="s">
        <v>6849</v>
      </c>
      <c r="J1093" s="11" t="s">
        <v>6678</v>
      </c>
      <c r="K1093" s="11" t="s">
        <v>675</v>
      </c>
      <c r="L1093" s="11" t="s">
        <v>6850</v>
      </c>
      <c r="M1093" s="11" t="s">
        <v>6558</v>
      </c>
      <c r="N1093" s="14" t="n">
        <v>2</v>
      </c>
      <c r="O1093" s="14" t="n">
        <v>2</v>
      </c>
      <c r="P1093" s="14" t="n">
        <v>3</v>
      </c>
      <c r="Q1093" s="14"/>
      <c r="R1093" s="12" t="n">
        <f aca="false">IF(OR(N1093="",P1093=""),"",ROUND(N1093*O1093/P1093,1))</f>
        <v>1.3</v>
      </c>
      <c r="S1093" s="13" t="n">
        <f aca="false">IF(R1093="","",IF(Q1093="Y",1,IF(P1093&gt;='Read me'!$B$16,3,IF(AND(R1093&gt;='Read me'!$B$14,P1093&lt;='Read me'!$B$15),1,2))))</f>
        <v>2</v>
      </c>
    </row>
    <row r="1094" customFormat="false" ht="23.85" hidden="false" customHeight="false" outlineLevel="0" collapsed="false">
      <c r="A1094" s="11" t="s">
        <v>6851</v>
      </c>
      <c r="B1094" s="11" t="s">
        <v>40</v>
      </c>
      <c r="C1094" s="11" t="s">
        <v>257</v>
      </c>
      <c r="D1094" s="11" t="s">
        <v>258</v>
      </c>
      <c r="E1094" s="11" t="s">
        <v>1187</v>
      </c>
      <c r="F1094" s="11" t="s">
        <v>6852</v>
      </c>
      <c r="G1094" s="11" t="s">
        <v>6853</v>
      </c>
      <c r="H1094" s="11" t="s">
        <v>6854</v>
      </c>
      <c r="I1094" s="11" t="s">
        <v>6855</v>
      </c>
      <c r="J1094" s="11" t="s">
        <v>6856</v>
      </c>
      <c r="K1094" s="11" t="s">
        <v>1417</v>
      </c>
      <c r="L1094" s="11" t="s">
        <v>6857</v>
      </c>
      <c r="M1094" s="11"/>
      <c r="N1094" s="14" t="n">
        <v>1</v>
      </c>
      <c r="O1094" s="14" t="n">
        <v>3</v>
      </c>
      <c r="P1094" s="14" t="n">
        <v>4</v>
      </c>
      <c r="Q1094" s="14"/>
      <c r="R1094" s="12" t="n">
        <f aca="false">IF(OR(N1094="",P1094=""),"",ROUND(N1094*O1094/P1094,1))</f>
        <v>0.8</v>
      </c>
      <c r="S1094" s="13" t="n">
        <f aca="false">IF(R1094="","",IF(Q1094="Y",1,IF(P1094&gt;='Read me'!$B$16,3,IF(AND(R1094&gt;='Read me'!$B$14,P1094&lt;='Read me'!$B$15),1,2))))</f>
        <v>3</v>
      </c>
    </row>
    <row r="1095" customFormat="false" ht="23.85" hidden="false" customHeight="false" outlineLevel="0" collapsed="false">
      <c r="A1095" s="11" t="s">
        <v>6858</v>
      </c>
      <c r="B1095" s="11" t="s">
        <v>40</v>
      </c>
      <c r="C1095" s="11" t="s">
        <v>257</v>
      </c>
      <c r="D1095" s="11" t="s">
        <v>258</v>
      </c>
      <c r="E1095" s="11" t="s">
        <v>1187</v>
      </c>
      <c r="F1095" s="11" t="s">
        <v>6859</v>
      </c>
      <c r="G1095" s="11" t="s">
        <v>6688</v>
      </c>
      <c r="H1095" s="11"/>
      <c r="I1095" s="11" t="s">
        <v>6860</v>
      </c>
      <c r="J1095" s="11" t="s">
        <v>6861</v>
      </c>
      <c r="K1095" s="11" t="s">
        <v>6862</v>
      </c>
      <c r="L1095" s="11" t="s">
        <v>6863</v>
      </c>
      <c r="M1095" s="11"/>
      <c r="N1095" s="14" t="n">
        <v>3</v>
      </c>
      <c r="O1095" s="14" t="n">
        <v>2</v>
      </c>
      <c r="P1095" s="14" t="n">
        <v>2</v>
      </c>
      <c r="Q1095" s="14"/>
      <c r="R1095" s="12" t="n">
        <f aca="false">IF(OR(N1095="",P1095=""),"",ROUND(N1095*O1095/P1095,1))</f>
        <v>3</v>
      </c>
      <c r="S1095" s="13" t="n">
        <f aca="false">IF(R1095="","",IF(Q1095="Y",1,IF(P1095&gt;='Read me'!$B$16,3,IF(AND(R1095&gt;='Read me'!$B$14,P1095&lt;='Read me'!$B$15),1,2))))</f>
        <v>2</v>
      </c>
    </row>
    <row r="1096" customFormat="false" ht="23.85" hidden="false" customHeight="false" outlineLevel="0" collapsed="false">
      <c r="A1096" s="11" t="s">
        <v>6864</v>
      </c>
      <c r="B1096" s="11" t="s">
        <v>40</v>
      </c>
      <c r="C1096" s="11" t="s">
        <v>257</v>
      </c>
      <c r="D1096" s="11" t="s">
        <v>258</v>
      </c>
      <c r="E1096" s="11" t="s">
        <v>1187</v>
      </c>
      <c r="F1096" s="11" t="s">
        <v>6865</v>
      </c>
      <c r="G1096" s="11" t="s">
        <v>6866</v>
      </c>
      <c r="H1096" s="11"/>
      <c r="I1096" s="11" t="s">
        <v>6867</v>
      </c>
      <c r="J1096" s="11" t="s">
        <v>6868</v>
      </c>
      <c r="K1096" s="11" t="s">
        <v>696</v>
      </c>
      <c r="L1096" s="11" t="s">
        <v>6869</v>
      </c>
      <c r="M1096" s="11"/>
      <c r="N1096" s="14" t="n">
        <v>1</v>
      </c>
      <c r="O1096" s="14" t="n">
        <v>3</v>
      </c>
      <c r="P1096" s="14" t="n">
        <v>4</v>
      </c>
      <c r="Q1096" s="14"/>
      <c r="R1096" s="12" t="n">
        <f aca="false">IF(OR(N1096="",P1096=""),"",ROUND(N1096*O1096/P1096,1))</f>
        <v>0.8</v>
      </c>
      <c r="S1096" s="13" t="n">
        <f aca="false">IF(R1096="","",IF(Q1096="Y",1,IF(P1096&gt;='Read me'!$B$16,3,IF(AND(R1096&gt;='Read me'!$B$14,P1096&lt;='Read me'!$B$15),1,2))))</f>
        <v>3</v>
      </c>
    </row>
    <row r="1097" customFormat="false" ht="23.85" hidden="false" customHeight="false" outlineLevel="0" collapsed="false">
      <c r="A1097" s="11" t="s">
        <v>6870</v>
      </c>
      <c r="B1097" s="11" t="s">
        <v>40</v>
      </c>
      <c r="C1097" s="11" t="s">
        <v>257</v>
      </c>
      <c r="D1097" s="11" t="s">
        <v>258</v>
      </c>
      <c r="E1097" s="11" t="s">
        <v>1187</v>
      </c>
      <c r="F1097" s="11" t="s">
        <v>6871</v>
      </c>
      <c r="G1097" s="11" t="s">
        <v>6872</v>
      </c>
      <c r="H1097" s="11" t="s">
        <v>5941</v>
      </c>
      <c r="I1097" s="11" t="s">
        <v>6873</v>
      </c>
      <c r="J1097" s="11" t="s">
        <v>6874</v>
      </c>
      <c r="K1097" s="11" t="s">
        <v>4362</v>
      </c>
      <c r="L1097" s="11" t="s">
        <v>6875</v>
      </c>
      <c r="M1097" s="11"/>
      <c r="N1097" s="14" t="n">
        <v>1</v>
      </c>
      <c r="O1097" s="14" t="n">
        <v>3</v>
      </c>
      <c r="P1097" s="14" t="n">
        <v>5</v>
      </c>
      <c r="Q1097" s="14"/>
      <c r="R1097" s="12" t="n">
        <f aca="false">IF(OR(N1097="",P1097=""),"",ROUND(N1097*O1097/P1097,1))</f>
        <v>0.6</v>
      </c>
      <c r="S1097" s="13" t="n">
        <f aca="false">IF(R1097="","",IF(Q1097="Y",1,IF(P1097&gt;='Read me'!$B$16,3,IF(AND(R1097&gt;='Read me'!$B$14,P1097&lt;='Read me'!$B$15),1,2))))</f>
        <v>3</v>
      </c>
    </row>
    <row r="1098" customFormat="false" ht="46.25" hidden="false" customHeight="false" outlineLevel="0" collapsed="false">
      <c r="A1098" s="11" t="s">
        <v>6876</v>
      </c>
      <c r="B1098" s="11" t="s">
        <v>40</v>
      </c>
      <c r="C1098" s="11" t="s">
        <v>257</v>
      </c>
      <c r="D1098" s="11" t="s">
        <v>258</v>
      </c>
      <c r="E1098" s="11" t="s">
        <v>1187</v>
      </c>
      <c r="F1098" s="11" t="s">
        <v>6877</v>
      </c>
      <c r="G1098" s="11" t="s">
        <v>6878</v>
      </c>
      <c r="H1098" s="11"/>
      <c r="I1098" s="11" t="s">
        <v>6879</v>
      </c>
      <c r="J1098" s="11" t="s">
        <v>6880</v>
      </c>
      <c r="K1098" s="11" t="s">
        <v>675</v>
      </c>
      <c r="L1098" s="11" t="s">
        <v>6881</v>
      </c>
      <c r="M1098" s="11" t="s">
        <v>6119</v>
      </c>
      <c r="N1098" s="14" t="n">
        <v>1</v>
      </c>
      <c r="O1098" s="14" t="n">
        <v>3</v>
      </c>
      <c r="P1098" s="14" t="n">
        <v>4</v>
      </c>
      <c r="Q1098" s="14"/>
      <c r="R1098" s="12" t="n">
        <f aca="false">IF(OR(N1098="",P1098=""),"",ROUND(N1098*O1098/P1098,1))</f>
        <v>0.8</v>
      </c>
      <c r="S1098" s="13" t="n">
        <f aca="false">IF(R1098="","",IF(Q1098="Y",1,IF(P1098&gt;='Read me'!$B$16,3,IF(AND(R1098&gt;='Read me'!$B$14,P1098&lt;='Read me'!$B$15),1,2))))</f>
        <v>3</v>
      </c>
    </row>
    <row r="1099" customFormat="false" ht="23.85" hidden="false" customHeight="false" outlineLevel="0" collapsed="false">
      <c r="A1099" s="11" t="s">
        <v>6882</v>
      </c>
      <c r="B1099" s="11" t="s">
        <v>40</v>
      </c>
      <c r="C1099" s="11" t="s">
        <v>257</v>
      </c>
      <c r="D1099" s="11" t="s">
        <v>258</v>
      </c>
      <c r="E1099" s="11" t="s">
        <v>1187</v>
      </c>
      <c r="F1099" s="11" t="s">
        <v>6883</v>
      </c>
      <c r="G1099" s="11" t="s">
        <v>6828</v>
      </c>
      <c r="H1099" s="11" t="s">
        <v>6884</v>
      </c>
      <c r="I1099" s="11" t="s">
        <v>6885</v>
      </c>
      <c r="J1099" s="11" t="s">
        <v>6886</v>
      </c>
      <c r="K1099" s="11" t="s">
        <v>3572</v>
      </c>
      <c r="L1099" s="11" t="s">
        <v>6887</v>
      </c>
      <c r="M1099" s="11"/>
      <c r="N1099" s="14" t="n">
        <v>1</v>
      </c>
      <c r="O1099" s="14" t="n">
        <v>2</v>
      </c>
      <c r="P1099" s="14" t="n">
        <v>2</v>
      </c>
      <c r="Q1099" s="14"/>
      <c r="R1099" s="12" t="n">
        <f aca="false">IF(OR(N1099="",P1099=""),"",ROUND(N1099*O1099/P1099,1))</f>
        <v>1</v>
      </c>
      <c r="S1099" s="13" t="n">
        <f aca="false">IF(R1099="","",IF(Q1099="Y",1,IF(P1099&gt;='Read me'!$B$16,3,IF(AND(R1099&gt;='Read me'!$B$14,P1099&lt;='Read me'!$B$15),1,2))))</f>
        <v>2</v>
      </c>
    </row>
    <row r="1100" customFormat="false" ht="35.05" hidden="false" customHeight="false" outlineLevel="0" collapsed="false">
      <c r="A1100" s="11" t="s">
        <v>6888</v>
      </c>
      <c r="B1100" s="11" t="s">
        <v>40</v>
      </c>
      <c r="C1100" s="11" t="s">
        <v>257</v>
      </c>
      <c r="D1100" s="11" t="s">
        <v>258</v>
      </c>
      <c r="E1100" s="11" t="s">
        <v>1372</v>
      </c>
      <c r="F1100" s="11" t="s">
        <v>6889</v>
      </c>
      <c r="G1100" s="11" t="s">
        <v>6890</v>
      </c>
      <c r="H1100" s="11"/>
      <c r="I1100" s="11" t="s">
        <v>6891</v>
      </c>
      <c r="J1100" s="11" t="s">
        <v>6892</v>
      </c>
      <c r="K1100" s="11" t="s">
        <v>6893</v>
      </c>
      <c r="L1100" s="11" t="s">
        <v>6894</v>
      </c>
      <c r="M1100" s="11"/>
      <c r="N1100" s="14" t="n">
        <v>4</v>
      </c>
      <c r="O1100" s="14" t="n">
        <v>3</v>
      </c>
      <c r="P1100" s="14" t="n">
        <v>2</v>
      </c>
      <c r="Q1100" s="14"/>
      <c r="R1100" s="12" t="n">
        <f aca="false">IF(OR(N1100="",P1100=""),"",ROUND(N1100*O1100/P1100,1))</f>
        <v>6</v>
      </c>
      <c r="S1100" s="13" t="n">
        <f aca="false">IF(R1100="","",IF(Q1100="Y",1,IF(P1100&gt;='Read me'!$B$16,3,IF(AND(R1100&gt;='Read me'!$B$14,P1100&lt;='Read me'!$B$15),1,2))))</f>
        <v>1</v>
      </c>
    </row>
    <row r="1101" customFormat="false" ht="15" hidden="false" customHeight="false" outlineLevel="0" collapsed="false">
      <c r="A1101" s="11" t="s">
        <v>6895</v>
      </c>
      <c r="B1101" s="11" t="s">
        <v>40</v>
      </c>
      <c r="C1101" s="11" t="s">
        <v>257</v>
      </c>
      <c r="D1101" s="11" t="s">
        <v>258</v>
      </c>
      <c r="E1101" s="11" t="s">
        <v>1372</v>
      </c>
      <c r="F1101" s="11" t="s">
        <v>6896</v>
      </c>
      <c r="G1101" s="11" t="s">
        <v>6897</v>
      </c>
      <c r="H1101" s="11"/>
      <c r="I1101" s="11" t="s">
        <v>6898</v>
      </c>
      <c r="J1101" s="11" t="s">
        <v>6899</v>
      </c>
      <c r="K1101" s="11" t="s">
        <v>6845</v>
      </c>
      <c r="L1101" s="11" t="s">
        <v>6846</v>
      </c>
      <c r="M1101" s="11"/>
      <c r="N1101" s="14" t="n">
        <v>4</v>
      </c>
      <c r="O1101" s="14" t="n">
        <v>3</v>
      </c>
      <c r="P1101" s="14" t="n">
        <v>2</v>
      </c>
      <c r="Q1101" s="14"/>
      <c r="R1101" s="12" t="n">
        <f aca="false">IF(OR(N1101="",P1101=""),"",ROUND(N1101*O1101/P1101,1))</f>
        <v>6</v>
      </c>
      <c r="S1101" s="13" t="n">
        <f aca="false">IF(R1101="","",IF(Q1101="Y",1,IF(P1101&gt;='Read me'!$B$16,3,IF(AND(R1101&gt;='Read me'!$B$14,P1101&lt;='Read me'!$B$15),1,2))))</f>
        <v>1</v>
      </c>
    </row>
    <row r="1102" customFormat="false" ht="23.85" hidden="false" customHeight="false" outlineLevel="0" collapsed="false">
      <c r="A1102" s="11" t="s">
        <v>6900</v>
      </c>
      <c r="B1102" s="11" t="s">
        <v>40</v>
      </c>
      <c r="C1102" s="11" t="s">
        <v>257</v>
      </c>
      <c r="D1102" s="11" t="s">
        <v>258</v>
      </c>
      <c r="E1102" s="11" t="s">
        <v>1372</v>
      </c>
      <c r="F1102" s="11" t="s">
        <v>6901</v>
      </c>
      <c r="G1102" s="11" t="s">
        <v>6902</v>
      </c>
      <c r="H1102" s="11"/>
      <c r="I1102" s="11" t="s">
        <v>6903</v>
      </c>
      <c r="J1102" s="11" t="s">
        <v>6904</v>
      </c>
      <c r="K1102" s="11" t="s">
        <v>6905</v>
      </c>
      <c r="L1102" s="11" t="s">
        <v>6906</v>
      </c>
      <c r="M1102" s="11"/>
      <c r="N1102" s="14" t="n">
        <v>2</v>
      </c>
      <c r="O1102" s="14" t="n">
        <v>2</v>
      </c>
      <c r="P1102" s="14" t="n">
        <v>2</v>
      </c>
      <c r="Q1102" s="14"/>
      <c r="R1102" s="12" t="n">
        <f aca="false">IF(OR(N1102="",P1102=""),"",ROUND(N1102*O1102/P1102,1))</f>
        <v>2</v>
      </c>
      <c r="S1102" s="13" t="n">
        <f aca="false">IF(R1102="","",IF(Q1102="Y",1,IF(P1102&gt;='Read me'!$B$16,3,IF(AND(R1102&gt;='Read me'!$B$14,P1102&lt;='Read me'!$B$15),1,2))))</f>
        <v>2</v>
      </c>
    </row>
    <row r="1103" customFormat="false" ht="15" hidden="false" customHeight="false" outlineLevel="0" collapsed="false">
      <c r="A1103" s="11" t="s">
        <v>6907</v>
      </c>
      <c r="B1103" s="11" t="s">
        <v>40</v>
      </c>
      <c r="C1103" s="11" t="s">
        <v>257</v>
      </c>
      <c r="D1103" s="11" t="s">
        <v>258</v>
      </c>
      <c r="E1103" s="11" t="s">
        <v>1372</v>
      </c>
      <c r="F1103" s="11" t="s">
        <v>6908</v>
      </c>
      <c r="G1103" s="11" t="s">
        <v>6909</v>
      </c>
      <c r="H1103" s="11"/>
      <c r="I1103" s="11" t="s">
        <v>6910</v>
      </c>
      <c r="J1103" s="11" t="s">
        <v>6911</v>
      </c>
      <c r="K1103" s="11" t="s">
        <v>3870</v>
      </c>
      <c r="L1103" s="11" t="s">
        <v>6912</v>
      </c>
      <c r="M1103" s="11"/>
      <c r="N1103" s="14" t="n">
        <v>1</v>
      </c>
      <c r="O1103" s="14" t="n">
        <v>2</v>
      </c>
      <c r="P1103" s="14" t="n">
        <v>2</v>
      </c>
      <c r="Q1103" s="14"/>
      <c r="R1103" s="12" t="n">
        <f aca="false">IF(OR(N1103="",P1103=""),"",ROUND(N1103*O1103/P1103,1))</f>
        <v>1</v>
      </c>
      <c r="S1103" s="13" t="n">
        <f aca="false">IF(R1103="","",IF(Q1103="Y",1,IF(P1103&gt;='Read me'!$B$16,3,IF(AND(R1103&gt;='Read me'!$B$14,P1103&lt;='Read me'!$B$15),1,2))))</f>
        <v>2</v>
      </c>
    </row>
    <row r="1104" customFormat="false" ht="46.25" hidden="false" customHeight="false" outlineLevel="0" collapsed="false">
      <c r="A1104" s="11" t="s">
        <v>6913</v>
      </c>
      <c r="B1104" s="11" t="s">
        <v>40</v>
      </c>
      <c r="C1104" s="11" t="s">
        <v>261</v>
      </c>
      <c r="D1104" s="11" t="s">
        <v>262</v>
      </c>
      <c r="E1104" s="11" t="s">
        <v>532</v>
      </c>
      <c r="F1104" s="11" t="s">
        <v>6914</v>
      </c>
      <c r="G1104" s="11" t="s">
        <v>6915</v>
      </c>
      <c r="H1104" s="11"/>
      <c r="I1104" s="11" t="s">
        <v>6916</v>
      </c>
      <c r="J1104" s="11" t="s">
        <v>6917</v>
      </c>
      <c r="K1104" s="11" t="s">
        <v>6500</v>
      </c>
      <c r="L1104" s="11" t="s">
        <v>6918</v>
      </c>
      <c r="M1104" s="11" t="s">
        <v>6558</v>
      </c>
      <c r="N1104" s="14" t="n">
        <v>3</v>
      </c>
      <c r="O1104" s="14" t="n">
        <v>3</v>
      </c>
      <c r="P1104" s="14" t="n">
        <v>2</v>
      </c>
      <c r="Q1104" s="14"/>
      <c r="R1104" s="12" t="n">
        <f aca="false">IF(OR(N1104="",P1104=""),"",ROUND(N1104*O1104/P1104,1))</f>
        <v>4.5</v>
      </c>
      <c r="S1104" s="13" t="n">
        <f aca="false">IF(R1104="","",IF(Q1104="Y",1,IF(P1104&gt;='Read me'!$B$16,3,IF(AND(R1104&gt;='Read me'!$B$14,P1104&lt;='Read me'!$B$15),1,2))))</f>
        <v>2</v>
      </c>
    </row>
    <row r="1105" customFormat="false" ht="46.25" hidden="false" customHeight="false" outlineLevel="0" collapsed="false">
      <c r="A1105" s="11" t="s">
        <v>6919</v>
      </c>
      <c r="B1105" s="11" t="s">
        <v>40</v>
      </c>
      <c r="C1105" s="11" t="s">
        <v>261</v>
      </c>
      <c r="D1105" s="11" t="s">
        <v>262</v>
      </c>
      <c r="E1105" s="11" t="s">
        <v>532</v>
      </c>
      <c r="F1105" s="11" t="s">
        <v>6920</v>
      </c>
      <c r="G1105" s="11" t="s">
        <v>6921</v>
      </c>
      <c r="H1105" s="11"/>
      <c r="I1105" s="11" t="s">
        <v>6922</v>
      </c>
      <c r="J1105" s="11" t="s">
        <v>6923</v>
      </c>
      <c r="K1105" s="11" t="s">
        <v>6924</v>
      </c>
      <c r="L1105" s="11" t="s">
        <v>6925</v>
      </c>
      <c r="M1105" s="11" t="s">
        <v>6558</v>
      </c>
      <c r="N1105" s="14" t="n">
        <v>2</v>
      </c>
      <c r="O1105" s="14" t="n">
        <v>3</v>
      </c>
      <c r="P1105" s="14" t="n">
        <v>4</v>
      </c>
      <c r="Q1105" s="14"/>
      <c r="R1105" s="12" t="n">
        <f aca="false">IF(OR(N1105="",P1105=""),"",ROUND(N1105*O1105/P1105,1))</f>
        <v>1.5</v>
      </c>
      <c r="S1105" s="13" t="n">
        <f aca="false">IF(R1105="","",IF(Q1105="Y",1,IF(P1105&gt;='Read me'!$B$16,3,IF(AND(R1105&gt;='Read me'!$B$14,P1105&lt;='Read me'!$B$15),1,2))))</f>
        <v>3</v>
      </c>
    </row>
    <row r="1106" customFormat="false" ht="35.05" hidden="false" customHeight="false" outlineLevel="0" collapsed="false">
      <c r="A1106" s="11" t="s">
        <v>6926</v>
      </c>
      <c r="B1106" s="11" t="s">
        <v>40</v>
      </c>
      <c r="C1106" s="11" t="s">
        <v>261</v>
      </c>
      <c r="D1106" s="11" t="s">
        <v>262</v>
      </c>
      <c r="E1106" s="11" t="s">
        <v>532</v>
      </c>
      <c r="F1106" s="11" t="s">
        <v>6927</v>
      </c>
      <c r="G1106" s="11" t="s">
        <v>2301</v>
      </c>
      <c r="H1106" s="11"/>
      <c r="I1106" s="11" t="s">
        <v>6928</v>
      </c>
      <c r="J1106" s="11" t="s">
        <v>6929</v>
      </c>
      <c r="K1106" s="11" t="s">
        <v>6930</v>
      </c>
      <c r="L1106" s="11" t="s">
        <v>6931</v>
      </c>
      <c r="M1106" s="11"/>
      <c r="N1106" s="14" t="n">
        <v>2</v>
      </c>
      <c r="O1106" s="14" t="n">
        <v>5</v>
      </c>
      <c r="P1106" s="14" t="n">
        <v>3</v>
      </c>
      <c r="Q1106" s="14"/>
      <c r="R1106" s="12" t="n">
        <f aca="false">IF(OR(N1106="",P1106=""),"",ROUND(N1106*O1106/P1106,1))</f>
        <v>3.3</v>
      </c>
      <c r="S1106" s="13" t="n">
        <f aca="false">IF(R1106="","",IF(Q1106="Y",1,IF(P1106&gt;='Read me'!$B$16,3,IF(AND(R1106&gt;='Read me'!$B$14,P1106&lt;='Read me'!$B$15),1,2))))</f>
        <v>2</v>
      </c>
    </row>
    <row r="1107" customFormat="false" ht="35.05" hidden="false" customHeight="false" outlineLevel="0" collapsed="false">
      <c r="A1107" s="11" t="s">
        <v>6932</v>
      </c>
      <c r="B1107" s="11" t="s">
        <v>40</v>
      </c>
      <c r="C1107" s="11" t="s">
        <v>261</v>
      </c>
      <c r="D1107" s="11" t="s">
        <v>262</v>
      </c>
      <c r="E1107" s="11" t="s">
        <v>626</v>
      </c>
      <c r="F1107" s="11" t="s">
        <v>6933</v>
      </c>
      <c r="G1107" s="11" t="s">
        <v>6934</v>
      </c>
      <c r="H1107" s="11"/>
      <c r="I1107" s="11" t="s">
        <v>6935</v>
      </c>
      <c r="J1107" s="11" t="s">
        <v>6936</v>
      </c>
      <c r="K1107" s="11" t="s">
        <v>6937</v>
      </c>
      <c r="L1107" s="11" t="s">
        <v>6938</v>
      </c>
      <c r="M1107" s="11" t="s">
        <v>4716</v>
      </c>
      <c r="N1107" s="14" t="n">
        <v>2</v>
      </c>
      <c r="O1107" s="14" t="n">
        <v>4</v>
      </c>
      <c r="P1107" s="14" t="n">
        <v>3</v>
      </c>
      <c r="Q1107" s="14"/>
      <c r="R1107" s="12" t="n">
        <f aca="false">IF(OR(N1107="",P1107=""),"",ROUND(N1107*O1107/P1107,1))</f>
        <v>2.7</v>
      </c>
      <c r="S1107" s="13" t="n">
        <f aca="false">IF(R1107="","",IF(Q1107="Y",1,IF(P1107&gt;='Read me'!$B$16,3,IF(AND(R1107&gt;='Read me'!$B$14,P1107&lt;='Read me'!$B$15),1,2))))</f>
        <v>2</v>
      </c>
    </row>
    <row r="1108" customFormat="false" ht="23.85" hidden="false" customHeight="false" outlineLevel="0" collapsed="false">
      <c r="A1108" s="11" t="s">
        <v>6939</v>
      </c>
      <c r="B1108" s="11" t="s">
        <v>40</v>
      </c>
      <c r="C1108" s="11" t="s">
        <v>261</v>
      </c>
      <c r="D1108" s="11" t="s">
        <v>262</v>
      </c>
      <c r="E1108" s="11" t="s">
        <v>626</v>
      </c>
      <c r="F1108" s="11" t="s">
        <v>6940</v>
      </c>
      <c r="G1108" s="11" t="s">
        <v>6941</v>
      </c>
      <c r="H1108" s="11"/>
      <c r="I1108" s="11" t="s">
        <v>6942</v>
      </c>
      <c r="J1108" s="11" t="s">
        <v>6943</v>
      </c>
      <c r="K1108" s="11" t="s">
        <v>6944</v>
      </c>
      <c r="L1108" s="11" t="s">
        <v>6945</v>
      </c>
      <c r="M1108" s="11"/>
      <c r="N1108" s="14" t="n">
        <v>1</v>
      </c>
      <c r="O1108" s="14" t="n">
        <v>3</v>
      </c>
      <c r="P1108" s="14" t="n">
        <v>1</v>
      </c>
      <c r="Q1108" s="14"/>
      <c r="R1108" s="12" t="n">
        <f aca="false">IF(OR(N1108="",P1108=""),"",ROUND(N1108*O1108/P1108,1))</f>
        <v>3</v>
      </c>
      <c r="S1108" s="13" t="n">
        <f aca="false">IF(R1108="","",IF(Q1108="Y",1,IF(P1108&gt;='Read me'!$B$16,3,IF(AND(R1108&gt;='Read me'!$B$14,P1108&lt;='Read me'!$B$15),1,2))))</f>
        <v>2</v>
      </c>
    </row>
    <row r="1109" customFormat="false" ht="23.85" hidden="false" customHeight="false" outlineLevel="0" collapsed="false">
      <c r="A1109" s="11" t="s">
        <v>6946</v>
      </c>
      <c r="B1109" s="11" t="s">
        <v>40</v>
      </c>
      <c r="C1109" s="11" t="s">
        <v>261</v>
      </c>
      <c r="D1109" s="11" t="s">
        <v>262</v>
      </c>
      <c r="E1109" s="11" t="s">
        <v>751</v>
      </c>
      <c r="F1109" s="11" t="s">
        <v>6947</v>
      </c>
      <c r="G1109" s="11" t="s">
        <v>6948</v>
      </c>
      <c r="H1109" s="11"/>
      <c r="I1109" s="11" t="s">
        <v>6949</v>
      </c>
      <c r="J1109" s="11" t="s">
        <v>6950</v>
      </c>
      <c r="K1109" s="11" t="s">
        <v>6951</v>
      </c>
      <c r="L1109" s="11" t="s">
        <v>6952</v>
      </c>
      <c r="M1109" s="11" t="s">
        <v>1577</v>
      </c>
      <c r="N1109" s="14" t="n">
        <v>2</v>
      </c>
      <c r="O1109" s="14" t="n">
        <v>5</v>
      </c>
      <c r="P1109" s="14" t="n">
        <v>4</v>
      </c>
      <c r="Q1109" s="14"/>
      <c r="R1109" s="12" t="n">
        <f aca="false">IF(OR(N1109="",P1109=""),"",ROUND(N1109*O1109/P1109,1))</f>
        <v>2.5</v>
      </c>
      <c r="S1109" s="13" t="n">
        <f aca="false">IF(R1109="","",IF(Q1109="Y",1,IF(P1109&gt;='Read me'!$B$16,3,IF(AND(R1109&gt;='Read me'!$B$14,P1109&lt;='Read me'!$B$15),1,2))))</f>
        <v>3</v>
      </c>
    </row>
    <row r="1110" customFormat="false" ht="23.85" hidden="false" customHeight="false" outlineLevel="0" collapsed="false">
      <c r="A1110" s="11" t="s">
        <v>6953</v>
      </c>
      <c r="B1110" s="11" t="s">
        <v>40</v>
      </c>
      <c r="C1110" s="11" t="s">
        <v>261</v>
      </c>
      <c r="D1110" s="11" t="s">
        <v>262</v>
      </c>
      <c r="E1110" s="11" t="s">
        <v>751</v>
      </c>
      <c r="F1110" s="11" t="s">
        <v>6947</v>
      </c>
      <c r="G1110" s="11" t="s">
        <v>6954</v>
      </c>
      <c r="H1110" s="11"/>
      <c r="I1110" s="11" t="s">
        <v>6955</v>
      </c>
      <c r="J1110" s="11" t="s">
        <v>6956</v>
      </c>
      <c r="K1110" s="11" t="s">
        <v>1151</v>
      </c>
      <c r="L1110" s="11" t="s">
        <v>6957</v>
      </c>
      <c r="M1110" s="11"/>
      <c r="N1110" s="14" t="n">
        <v>1</v>
      </c>
      <c r="O1110" s="14" t="n">
        <v>4</v>
      </c>
      <c r="P1110" s="14" t="n">
        <v>3</v>
      </c>
      <c r="Q1110" s="14"/>
      <c r="R1110" s="12" t="n">
        <f aca="false">IF(OR(N1110="",P1110=""),"",ROUND(N1110*O1110/P1110,1))</f>
        <v>1.3</v>
      </c>
      <c r="S1110" s="13" t="n">
        <f aca="false">IF(R1110="","",IF(Q1110="Y",1,IF(P1110&gt;='Read me'!$B$16,3,IF(AND(R1110&gt;='Read me'!$B$14,P1110&lt;='Read me'!$B$15),1,2))))</f>
        <v>2</v>
      </c>
    </row>
    <row r="1111" customFormat="false" ht="23.85" hidden="false" customHeight="false" outlineLevel="0" collapsed="false">
      <c r="A1111" s="11" t="s">
        <v>6958</v>
      </c>
      <c r="B1111" s="11" t="s">
        <v>40</v>
      </c>
      <c r="C1111" s="11" t="s">
        <v>261</v>
      </c>
      <c r="D1111" s="11" t="s">
        <v>262</v>
      </c>
      <c r="E1111" s="11" t="s">
        <v>751</v>
      </c>
      <c r="F1111" s="11" t="s">
        <v>6947</v>
      </c>
      <c r="G1111" s="11" t="s">
        <v>6959</v>
      </c>
      <c r="H1111" s="11" t="s">
        <v>6960</v>
      </c>
      <c r="I1111" s="11" t="s">
        <v>754</v>
      </c>
      <c r="J1111" s="11" t="s">
        <v>6961</v>
      </c>
      <c r="K1111" s="11" t="s">
        <v>675</v>
      </c>
      <c r="L1111" s="11" t="s">
        <v>6962</v>
      </c>
      <c r="M1111" s="11"/>
      <c r="N1111" s="14" t="n">
        <v>1</v>
      </c>
      <c r="O1111" s="14" t="n">
        <v>3</v>
      </c>
      <c r="P1111" s="14" t="n">
        <v>3</v>
      </c>
      <c r="Q1111" s="14"/>
      <c r="R1111" s="12" t="n">
        <f aca="false">IF(OR(N1111="",P1111=""),"",ROUND(N1111*O1111/P1111,1))</f>
        <v>1</v>
      </c>
      <c r="S1111" s="13" t="n">
        <f aca="false">IF(R1111="","",IF(Q1111="Y",1,IF(P1111&gt;='Read me'!$B$16,3,IF(AND(R1111&gt;='Read me'!$B$14,P1111&lt;='Read me'!$B$15),1,2))))</f>
        <v>2</v>
      </c>
    </row>
    <row r="1112" customFormat="false" ht="15" hidden="false" customHeight="false" outlineLevel="0" collapsed="false">
      <c r="A1112" s="11" t="s">
        <v>6963</v>
      </c>
      <c r="B1112" s="11" t="s">
        <v>40</v>
      </c>
      <c r="C1112" s="11" t="s">
        <v>261</v>
      </c>
      <c r="D1112" s="11" t="s">
        <v>262</v>
      </c>
      <c r="E1112" s="11" t="s">
        <v>765</v>
      </c>
      <c r="F1112" s="11" t="s">
        <v>6964</v>
      </c>
      <c r="G1112" s="11" t="s">
        <v>6965</v>
      </c>
      <c r="H1112" s="11"/>
      <c r="I1112" s="11" t="s">
        <v>6966</v>
      </c>
      <c r="J1112" s="11" t="s">
        <v>6967</v>
      </c>
      <c r="K1112" s="11" t="s">
        <v>4220</v>
      </c>
      <c r="L1112" s="11" t="s">
        <v>6968</v>
      </c>
      <c r="M1112" s="11"/>
      <c r="N1112" s="14" t="n">
        <v>2</v>
      </c>
      <c r="O1112" s="14" t="n">
        <v>3</v>
      </c>
      <c r="P1112" s="14" t="n">
        <v>2</v>
      </c>
      <c r="Q1112" s="14"/>
      <c r="R1112" s="12" t="n">
        <f aca="false">IF(OR(N1112="",P1112=""),"",ROUND(N1112*O1112/P1112,1))</f>
        <v>3</v>
      </c>
      <c r="S1112" s="13" t="n">
        <f aca="false">IF(R1112="","",IF(Q1112="Y",1,IF(P1112&gt;='Read me'!$B$16,3,IF(AND(R1112&gt;='Read me'!$B$14,P1112&lt;='Read me'!$B$15),1,2))))</f>
        <v>2</v>
      </c>
    </row>
    <row r="1113" customFormat="false" ht="23.85" hidden="false" customHeight="false" outlineLevel="0" collapsed="false">
      <c r="A1113" s="11" t="s">
        <v>6969</v>
      </c>
      <c r="B1113" s="11" t="s">
        <v>40</v>
      </c>
      <c r="C1113" s="11" t="s">
        <v>261</v>
      </c>
      <c r="D1113" s="11" t="s">
        <v>262</v>
      </c>
      <c r="E1113" s="11" t="s">
        <v>765</v>
      </c>
      <c r="F1113" s="11" t="s">
        <v>6970</v>
      </c>
      <c r="G1113" s="11" t="s">
        <v>6971</v>
      </c>
      <c r="H1113" s="11"/>
      <c r="I1113" s="11" t="s">
        <v>6972</v>
      </c>
      <c r="J1113" s="11" t="s">
        <v>6973</v>
      </c>
      <c r="K1113" s="11" t="s">
        <v>6974</v>
      </c>
      <c r="L1113" s="11" t="s">
        <v>6975</v>
      </c>
      <c r="M1113" s="11"/>
      <c r="N1113" s="14" t="n">
        <v>1</v>
      </c>
      <c r="O1113" s="14" t="n">
        <v>3</v>
      </c>
      <c r="P1113" s="14" t="n">
        <v>3</v>
      </c>
      <c r="Q1113" s="14"/>
      <c r="R1113" s="12" t="n">
        <f aca="false">IF(OR(N1113="",P1113=""),"",ROUND(N1113*O1113/P1113,1))</f>
        <v>1</v>
      </c>
      <c r="S1113" s="13" t="n">
        <f aca="false">IF(R1113="","",IF(Q1113="Y",1,IF(P1113&gt;='Read me'!$B$16,3,IF(AND(R1113&gt;='Read me'!$B$14,P1113&lt;='Read me'!$B$15),1,2))))</f>
        <v>2</v>
      </c>
    </row>
    <row r="1114" customFormat="false" ht="35.05" hidden="false" customHeight="false" outlineLevel="0" collapsed="false">
      <c r="A1114" s="11" t="s">
        <v>6976</v>
      </c>
      <c r="B1114" s="11" t="s">
        <v>40</v>
      </c>
      <c r="C1114" s="11" t="s">
        <v>261</v>
      </c>
      <c r="D1114" s="11" t="s">
        <v>262</v>
      </c>
      <c r="E1114" s="11" t="s">
        <v>1081</v>
      </c>
      <c r="F1114" s="11" t="s">
        <v>6977</v>
      </c>
      <c r="G1114" s="11" t="s">
        <v>6978</v>
      </c>
      <c r="H1114" s="11"/>
      <c r="I1114" s="11" t="s">
        <v>6979</v>
      </c>
      <c r="J1114" s="11" t="s">
        <v>6980</v>
      </c>
      <c r="K1114" s="11" t="s">
        <v>6981</v>
      </c>
      <c r="L1114" s="11" t="s">
        <v>6982</v>
      </c>
      <c r="M1114" s="11" t="s">
        <v>4716</v>
      </c>
      <c r="N1114" s="14" t="n">
        <v>2</v>
      </c>
      <c r="O1114" s="14" t="n">
        <v>3</v>
      </c>
      <c r="P1114" s="14" t="n">
        <v>2</v>
      </c>
      <c r="Q1114" s="14"/>
      <c r="R1114" s="12" t="n">
        <f aca="false">IF(OR(N1114="",P1114=""),"",ROUND(N1114*O1114/P1114,1))</f>
        <v>3</v>
      </c>
      <c r="S1114" s="13" t="n">
        <f aca="false">IF(R1114="","",IF(Q1114="Y",1,IF(P1114&gt;='Read me'!$B$16,3,IF(AND(R1114&gt;='Read me'!$B$14,P1114&lt;='Read me'!$B$15),1,2))))</f>
        <v>2</v>
      </c>
    </row>
    <row r="1115" customFormat="false" ht="23.85" hidden="false" customHeight="false" outlineLevel="0" collapsed="false">
      <c r="A1115" s="11" t="s">
        <v>6983</v>
      </c>
      <c r="B1115" s="11" t="s">
        <v>40</v>
      </c>
      <c r="C1115" s="11" t="s">
        <v>261</v>
      </c>
      <c r="D1115" s="11" t="s">
        <v>262</v>
      </c>
      <c r="E1115" s="11" t="s">
        <v>1187</v>
      </c>
      <c r="F1115" s="11" t="s">
        <v>6984</v>
      </c>
      <c r="G1115" s="11" t="s">
        <v>6985</v>
      </c>
      <c r="H1115" s="11" t="s">
        <v>6986</v>
      </c>
      <c r="I1115" s="11" t="s">
        <v>512</v>
      </c>
      <c r="J1115" s="11" t="s">
        <v>6987</v>
      </c>
      <c r="K1115" s="11" t="s">
        <v>6937</v>
      </c>
      <c r="L1115" s="11" t="s">
        <v>6988</v>
      </c>
      <c r="M1115" s="11"/>
      <c r="N1115" s="14" t="n">
        <v>2</v>
      </c>
      <c r="O1115" s="14" t="n">
        <v>3</v>
      </c>
      <c r="P1115" s="14" t="n">
        <v>3</v>
      </c>
      <c r="Q1115" s="14"/>
      <c r="R1115" s="12" t="n">
        <f aca="false">IF(OR(N1115="",P1115=""),"",ROUND(N1115*O1115/P1115,1))</f>
        <v>2</v>
      </c>
      <c r="S1115" s="13" t="n">
        <f aca="false">IF(R1115="","",IF(Q1115="Y",1,IF(P1115&gt;='Read me'!$B$16,3,IF(AND(R1115&gt;='Read me'!$B$14,P1115&lt;='Read me'!$B$15),1,2))))</f>
        <v>2</v>
      </c>
    </row>
    <row r="1116" customFormat="false" ht="15" hidden="false" customHeight="false" outlineLevel="0" collapsed="false">
      <c r="A1116" s="11" t="s">
        <v>6989</v>
      </c>
      <c r="B1116" s="11" t="s">
        <v>40</v>
      </c>
      <c r="C1116" s="11" t="s">
        <v>261</v>
      </c>
      <c r="D1116" s="11" t="s">
        <v>262</v>
      </c>
      <c r="E1116" s="11" t="s">
        <v>1187</v>
      </c>
      <c r="F1116" s="11" t="s">
        <v>6990</v>
      </c>
      <c r="G1116" s="11" t="s">
        <v>5468</v>
      </c>
      <c r="H1116" s="11" t="s">
        <v>5469</v>
      </c>
      <c r="I1116" s="11" t="s">
        <v>754</v>
      </c>
      <c r="J1116" s="11" t="s">
        <v>6562</v>
      </c>
      <c r="K1116" s="11" t="s">
        <v>675</v>
      </c>
      <c r="L1116" s="11" t="s">
        <v>6801</v>
      </c>
      <c r="M1116" s="11"/>
      <c r="N1116" s="14" t="n">
        <v>1</v>
      </c>
      <c r="O1116" s="14" t="n">
        <v>4</v>
      </c>
      <c r="P1116" s="14" t="n">
        <v>5</v>
      </c>
      <c r="Q1116" s="14"/>
      <c r="R1116" s="12" t="n">
        <f aca="false">IF(OR(N1116="",P1116=""),"",ROUND(N1116*O1116/P1116,1))</f>
        <v>0.8</v>
      </c>
      <c r="S1116" s="13" t="n">
        <f aca="false">IF(R1116="","",IF(Q1116="Y",1,IF(P1116&gt;='Read me'!$B$16,3,IF(AND(R1116&gt;='Read me'!$B$14,P1116&lt;='Read me'!$B$15),1,2))))</f>
        <v>3</v>
      </c>
    </row>
    <row r="1117" customFormat="false" ht="46.25" hidden="false" customHeight="false" outlineLevel="0" collapsed="false">
      <c r="A1117" s="11" t="s">
        <v>6991</v>
      </c>
      <c r="B1117" s="11" t="s">
        <v>40</v>
      </c>
      <c r="C1117" s="11" t="s">
        <v>261</v>
      </c>
      <c r="D1117" s="11" t="s">
        <v>262</v>
      </c>
      <c r="E1117" s="11" t="s">
        <v>1187</v>
      </c>
      <c r="F1117" s="11" t="s">
        <v>6992</v>
      </c>
      <c r="G1117" s="11" t="s">
        <v>6993</v>
      </c>
      <c r="H1117" s="11" t="s">
        <v>6994</v>
      </c>
      <c r="I1117" s="11" t="s">
        <v>6995</v>
      </c>
      <c r="J1117" s="11" t="s">
        <v>6996</v>
      </c>
      <c r="K1117" s="11" t="s">
        <v>675</v>
      </c>
      <c r="L1117" s="11" t="s">
        <v>6997</v>
      </c>
      <c r="M1117" s="11" t="s">
        <v>6558</v>
      </c>
      <c r="N1117" s="14" t="n">
        <v>1</v>
      </c>
      <c r="O1117" s="14" t="n">
        <v>3</v>
      </c>
      <c r="P1117" s="14" t="n">
        <v>4</v>
      </c>
      <c r="Q1117" s="14"/>
      <c r="R1117" s="12" t="n">
        <f aca="false">IF(OR(N1117="",P1117=""),"",ROUND(N1117*O1117/P1117,1))</f>
        <v>0.8</v>
      </c>
      <c r="S1117" s="13" t="n">
        <f aca="false">IF(R1117="","",IF(Q1117="Y",1,IF(P1117&gt;='Read me'!$B$16,3,IF(AND(R1117&gt;='Read me'!$B$14,P1117&lt;='Read me'!$B$15),1,2))))</f>
        <v>3</v>
      </c>
    </row>
    <row r="1118" customFormat="false" ht="23.85" hidden="false" customHeight="false" outlineLevel="0" collapsed="false">
      <c r="A1118" s="11" t="s">
        <v>6998</v>
      </c>
      <c r="B1118" s="11" t="s">
        <v>40</v>
      </c>
      <c r="C1118" s="11" t="s">
        <v>261</v>
      </c>
      <c r="D1118" s="11" t="s">
        <v>262</v>
      </c>
      <c r="E1118" s="11" t="s">
        <v>1133</v>
      </c>
      <c r="F1118" s="11" t="s">
        <v>6999</v>
      </c>
      <c r="G1118" s="11" t="s">
        <v>7000</v>
      </c>
      <c r="H1118" s="11"/>
      <c r="I1118" s="11" t="s">
        <v>7001</v>
      </c>
      <c r="J1118" s="11" t="s">
        <v>7002</v>
      </c>
      <c r="K1118" s="11" t="s">
        <v>4446</v>
      </c>
      <c r="L1118" s="11" t="s">
        <v>7003</v>
      </c>
      <c r="M1118" s="11" t="s">
        <v>5306</v>
      </c>
      <c r="N1118" s="14" t="n">
        <v>2</v>
      </c>
      <c r="O1118" s="14" t="n">
        <v>3</v>
      </c>
      <c r="P1118" s="14" t="n">
        <v>2</v>
      </c>
      <c r="Q1118" s="14"/>
      <c r="R1118" s="12" t="n">
        <f aca="false">IF(OR(N1118="",P1118=""),"",ROUND(N1118*O1118/P1118,1))</f>
        <v>3</v>
      </c>
      <c r="S1118" s="13" t="n">
        <f aca="false">IF(R1118="","",IF(Q1118="Y",1,IF(P1118&gt;='Read me'!$B$16,3,IF(AND(R1118&gt;='Read me'!$B$14,P1118&lt;='Read me'!$B$15),1,2))))</f>
        <v>2</v>
      </c>
    </row>
    <row r="1119" customFormat="false" ht="35.05" hidden="false" customHeight="false" outlineLevel="0" collapsed="false">
      <c r="A1119" s="11" t="s">
        <v>7004</v>
      </c>
      <c r="B1119" s="11" t="s">
        <v>40</v>
      </c>
      <c r="C1119" s="11" t="s">
        <v>261</v>
      </c>
      <c r="D1119" s="11" t="s">
        <v>262</v>
      </c>
      <c r="E1119" s="11" t="s">
        <v>1133</v>
      </c>
      <c r="F1119" s="11" t="s">
        <v>7005</v>
      </c>
      <c r="G1119" s="11" t="s">
        <v>7006</v>
      </c>
      <c r="H1119" s="11"/>
      <c r="I1119" s="11" t="s">
        <v>512</v>
      </c>
      <c r="J1119" s="11" t="s">
        <v>7007</v>
      </c>
      <c r="K1119" s="11" t="s">
        <v>7008</v>
      </c>
      <c r="L1119" s="11" t="s">
        <v>7009</v>
      </c>
      <c r="M1119" s="11"/>
      <c r="N1119" s="14" t="n">
        <v>1</v>
      </c>
      <c r="O1119" s="14" t="n">
        <v>3</v>
      </c>
      <c r="P1119" s="14" t="n">
        <v>2</v>
      </c>
      <c r="Q1119" s="14"/>
      <c r="R1119" s="12" t="n">
        <f aca="false">IF(OR(N1119="",P1119=""),"",ROUND(N1119*O1119/P1119,1))</f>
        <v>1.5</v>
      </c>
      <c r="S1119" s="13" t="n">
        <f aca="false">IF(R1119="","",IF(Q1119="Y",1,IF(P1119&gt;='Read me'!$B$16,3,IF(AND(R1119&gt;='Read me'!$B$14,P1119&lt;='Read me'!$B$15),1,2))))</f>
        <v>2</v>
      </c>
    </row>
    <row r="1120" customFormat="false" ht="23.85" hidden="false" customHeight="false" outlineLevel="0" collapsed="false">
      <c r="A1120" s="11" t="s">
        <v>7010</v>
      </c>
      <c r="B1120" s="11" t="s">
        <v>40</v>
      </c>
      <c r="C1120" s="11" t="s">
        <v>261</v>
      </c>
      <c r="D1120" s="11" t="s">
        <v>262</v>
      </c>
      <c r="E1120" s="11" t="s">
        <v>1372</v>
      </c>
      <c r="F1120" s="11" t="s">
        <v>7011</v>
      </c>
      <c r="G1120" s="11" t="s">
        <v>1142</v>
      </c>
      <c r="H1120" s="11"/>
      <c r="I1120" s="11" t="s">
        <v>7012</v>
      </c>
      <c r="J1120" s="11" t="s">
        <v>7013</v>
      </c>
      <c r="K1120" s="11" t="s">
        <v>7014</v>
      </c>
      <c r="L1120" s="11" t="s">
        <v>7015</v>
      </c>
      <c r="M1120" s="11"/>
      <c r="N1120" s="14" t="n">
        <v>1</v>
      </c>
      <c r="O1120" s="14" t="n">
        <v>3</v>
      </c>
      <c r="P1120" s="14" t="n">
        <v>2</v>
      </c>
      <c r="Q1120" s="14"/>
      <c r="R1120" s="12" t="n">
        <f aca="false">IF(OR(N1120="",P1120=""),"",ROUND(N1120*O1120/P1120,1))</f>
        <v>1.5</v>
      </c>
      <c r="S1120" s="13" t="n">
        <f aca="false">IF(R1120="","",IF(Q1120="Y",1,IF(P1120&gt;='Read me'!$B$16,3,IF(AND(R1120&gt;='Read me'!$B$14,P1120&lt;='Read me'!$B$15),1,2))))</f>
        <v>2</v>
      </c>
    </row>
    <row r="1121" customFormat="false" ht="23.85" hidden="false" customHeight="false" outlineLevel="0" collapsed="false">
      <c r="A1121" s="11" t="s">
        <v>7016</v>
      </c>
      <c r="B1121" s="11" t="s">
        <v>41</v>
      </c>
      <c r="C1121" s="11" t="s">
        <v>265</v>
      </c>
      <c r="D1121" s="11" t="s">
        <v>266</v>
      </c>
      <c r="E1121" s="11" t="s">
        <v>476</v>
      </c>
      <c r="F1121" s="11" t="s">
        <v>7017</v>
      </c>
      <c r="G1121" s="11" t="s">
        <v>7018</v>
      </c>
      <c r="H1121" s="11"/>
      <c r="I1121" s="11" t="s">
        <v>7019</v>
      </c>
      <c r="J1121" s="11" t="s">
        <v>7020</v>
      </c>
      <c r="K1121" s="11" t="s">
        <v>7021</v>
      </c>
      <c r="L1121" s="11" t="s">
        <v>7022</v>
      </c>
      <c r="M1121" s="11" t="s">
        <v>4710</v>
      </c>
      <c r="N1121" s="14" t="n">
        <v>4</v>
      </c>
      <c r="O1121" s="14" t="n">
        <v>4</v>
      </c>
      <c r="P1121" s="14" t="n">
        <v>2</v>
      </c>
      <c r="Q1121" s="14"/>
      <c r="R1121" s="12" t="n">
        <f aca="false">IF(OR(N1121="",P1121=""),"",ROUND(N1121*O1121/P1121,1))</f>
        <v>8</v>
      </c>
      <c r="S1121" s="13" t="n">
        <f aca="false">IF(R1121="","",IF(Q1121="Y",1,IF(P1121&gt;='Read me'!$B$16,3,IF(AND(R1121&gt;='Read me'!$B$14,P1121&lt;='Read me'!$B$15),1,2))))</f>
        <v>1</v>
      </c>
    </row>
    <row r="1122" customFormat="false" ht="23.85" hidden="false" customHeight="false" outlineLevel="0" collapsed="false">
      <c r="A1122" s="11" t="s">
        <v>7023</v>
      </c>
      <c r="B1122" s="11" t="s">
        <v>41</v>
      </c>
      <c r="C1122" s="11" t="s">
        <v>265</v>
      </c>
      <c r="D1122" s="11" t="s">
        <v>266</v>
      </c>
      <c r="E1122" s="11" t="s">
        <v>476</v>
      </c>
      <c r="F1122" s="11" t="s">
        <v>7024</v>
      </c>
      <c r="G1122" s="11" t="s">
        <v>7025</v>
      </c>
      <c r="H1122" s="11"/>
      <c r="I1122" s="11" t="s">
        <v>7026</v>
      </c>
      <c r="J1122" s="11" t="s">
        <v>7027</v>
      </c>
      <c r="K1122" s="11" t="s">
        <v>7028</v>
      </c>
      <c r="L1122" s="11" t="s">
        <v>7029</v>
      </c>
      <c r="M1122" s="11" t="s">
        <v>7030</v>
      </c>
      <c r="N1122" s="14" t="n">
        <v>3</v>
      </c>
      <c r="O1122" s="14" t="n">
        <v>3</v>
      </c>
      <c r="P1122" s="14" t="n">
        <v>2</v>
      </c>
      <c r="Q1122" s="14"/>
      <c r="R1122" s="12" t="n">
        <f aca="false">IF(OR(N1122="",P1122=""),"",ROUND(N1122*O1122/P1122,1))</f>
        <v>4.5</v>
      </c>
      <c r="S1122" s="13" t="n">
        <f aca="false">IF(R1122="","",IF(Q1122="Y",1,IF(P1122&gt;='Read me'!$B$16,3,IF(AND(R1122&gt;='Read me'!$B$14,P1122&lt;='Read me'!$B$15),1,2))))</f>
        <v>2</v>
      </c>
    </row>
    <row r="1123" customFormat="false" ht="23.85" hidden="false" customHeight="false" outlineLevel="0" collapsed="false">
      <c r="A1123" s="11" t="s">
        <v>7031</v>
      </c>
      <c r="B1123" s="11" t="s">
        <v>41</v>
      </c>
      <c r="C1123" s="11" t="s">
        <v>265</v>
      </c>
      <c r="D1123" s="11" t="s">
        <v>266</v>
      </c>
      <c r="E1123" s="11" t="s">
        <v>476</v>
      </c>
      <c r="F1123" s="11" t="s">
        <v>7032</v>
      </c>
      <c r="G1123" s="11" t="s">
        <v>511</v>
      </c>
      <c r="H1123" s="11"/>
      <c r="I1123" s="11" t="s">
        <v>7033</v>
      </c>
      <c r="J1123" s="11" t="s">
        <v>7034</v>
      </c>
      <c r="K1123" s="11" t="s">
        <v>1061</v>
      </c>
      <c r="L1123" s="11" t="s">
        <v>7035</v>
      </c>
      <c r="M1123" s="11"/>
      <c r="N1123" s="14" t="n">
        <v>3</v>
      </c>
      <c r="O1123" s="14" t="n">
        <v>4</v>
      </c>
      <c r="P1123" s="14" t="n">
        <v>1</v>
      </c>
      <c r="Q1123" s="14"/>
      <c r="R1123" s="12" t="n">
        <f aca="false">IF(OR(N1123="",P1123=""),"",ROUND(N1123*O1123/P1123,1))</f>
        <v>12</v>
      </c>
      <c r="S1123" s="13" t="n">
        <f aca="false">IF(R1123="","",IF(Q1123="Y",1,IF(P1123&gt;='Read me'!$B$16,3,IF(AND(R1123&gt;='Read me'!$B$14,P1123&lt;='Read me'!$B$15),1,2))))</f>
        <v>1</v>
      </c>
    </row>
    <row r="1124" customFormat="false" ht="23.85" hidden="false" customHeight="false" outlineLevel="0" collapsed="false">
      <c r="A1124" s="11" t="s">
        <v>7036</v>
      </c>
      <c r="B1124" s="11" t="s">
        <v>41</v>
      </c>
      <c r="C1124" s="11" t="s">
        <v>265</v>
      </c>
      <c r="D1124" s="11" t="s">
        <v>266</v>
      </c>
      <c r="E1124" s="11" t="s">
        <v>626</v>
      </c>
      <c r="F1124" s="11" t="s">
        <v>7037</v>
      </c>
      <c r="G1124" s="11" t="s">
        <v>7038</v>
      </c>
      <c r="H1124" s="11"/>
      <c r="I1124" s="11" t="s">
        <v>7039</v>
      </c>
      <c r="J1124" s="11" t="s">
        <v>7040</v>
      </c>
      <c r="K1124" s="11" t="s">
        <v>529</v>
      </c>
      <c r="L1124" s="11" t="s">
        <v>7041</v>
      </c>
      <c r="M1124" s="11"/>
      <c r="N1124" s="14" t="n">
        <v>3</v>
      </c>
      <c r="O1124" s="14" t="n">
        <v>3</v>
      </c>
      <c r="P1124" s="14" t="n">
        <v>1</v>
      </c>
      <c r="Q1124" s="14"/>
      <c r="R1124" s="12" t="n">
        <f aca="false">IF(OR(N1124="",P1124=""),"",ROUND(N1124*O1124/P1124,1))</f>
        <v>9</v>
      </c>
      <c r="S1124" s="13" t="n">
        <f aca="false">IF(R1124="","",IF(Q1124="Y",1,IF(P1124&gt;='Read me'!$B$16,3,IF(AND(R1124&gt;='Read me'!$B$14,P1124&lt;='Read me'!$B$15),1,2))))</f>
        <v>1</v>
      </c>
    </row>
    <row r="1125" customFormat="false" ht="23.85" hidden="false" customHeight="false" outlineLevel="0" collapsed="false">
      <c r="A1125" s="11" t="s">
        <v>7042</v>
      </c>
      <c r="B1125" s="11" t="s">
        <v>41</v>
      </c>
      <c r="C1125" s="11" t="s">
        <v>265</v>
      </c>
      <c r="D1125" s="11" t="s">
        <v>266</v>
      </c>
      <c r="E1125" s="11" t="s">
        <v>626</v>
      </c>
      <c r="F1125" s="11" t="s">
        <v>7043</v>
      </c>
      <c r="G1125" s="11" t="s">
        <v>7044</v>
      </c>
      <c r="H1125" s="11"/>
      <c r="I1125" s="11" t="s">
        <v>7045</v>
      </c>
      <c r="J1125" s="11" t="s">
        <v>7046</v>
      </c>
      <c r="K1125" s="11" t="s">
        <v>1028</v>
      </c>
      <c r="L1125" s="11" t="s">
        <v>7047</v>
      </c>
      <c r="M1125" s="11"/>
      <c r="N1125" s="14" t="n">
        <v>2</v>
      </c>
      <c r="O1125" s="14" t="n">
        <v>2</v>
      </c>
      <c r="P1125" s="14" t="n">
        <v>2</v>
      </c>
      <c r="Q1125" s="14"/>
      <c r="R1125" s="12" t="n">
        <f aca="false">IF(OR(N1125="",P1125=""),"",ROUND(N1125*O1125/P1125,1))</f>
        <v>2</v>
      </c>
      <c r="S1125" s="13" t="n">
        <f aca="false">IF(R1125="","",IF(Q1125="Y",1,IF(P1125&gt;='Read me'!$B$16,3,IF(AND(R1125&gt;='Read me'!$B$14,P1125&lt;='Read me'!$B$15),1,2))))</f>
        <v>2</v>
      </c>
    </row>
    <row r="1126" customFormat="false" ht="23.85" hidden="false" customHeight="false" outlineLevel="0" collapsed="false">
      <c r="A1126" s="11" t="s">
        <v>7048</v>
      </c>
      <c r="B1126" s="11" t="s">
        <v>41</v>
      </c>
      <c r="C1126" s="11" t="s">
        <v>265</v>
      </c>
      <c r="D1126" s="11" t="s">
        <v>266</v>
      </c>
      <c r="E1126" s="11" t="s">
        <v>751</v>
      </c>
      <c r="F1126" s="11" t="s">
        <v>7049</v>
      </c>
      <c r="G1126" s="11" t="s">
        <v>1252</v>
      </c>
      <c r="H1126" s="11"/>
      <c r="I1126" s="11" t="s">
        <v>7050</v>
      </c>
      <c r="J1126" s="11" t="s">
        <v>7051</v>
      </c>
      <c r="K1126" s="11" t="s">
        <v>7052</v>
      </c>
      <c r="L1126" s="11" t="s">
        <v>7053</v>
      </c>
      <c r="M1126" s="11" t="s">
        <v>1577</v>
      </c>
      <c r="N1126" s="14" t="n">
        <v>4</v>
      </c>
      <c r="O1126" s="14" t="n">
        <v>4</v>
      </c>
      <c r="P1126" s="14" t="n">
        <v>3</v>
      </c>
      <c r="Q1126" s="14"/>
      <c r="R1126" s="12" t="n">
        <f aca="false">IF(OR(N1126="",P1126=""),"",ROUND(N1126*O1126/P1126,1))</f>
        <v>5.3</v>
      </c>
      <c r="S1126" s="13" t="n">
        <f aca="false">IF(R1126="","",IF(Q1126="Y",1,IF(P1126&gt;='Read me'!$B$16,3,IF(AND(R1126&gt;='Read me'!$B$14,P1126&lt;='Read me'!$B$15),1,2))))</f>
        <v>2</v>
      </c>
    </row>
    <row r="1127" customFormat="false" ht="23.85" hidden="false" customHeight="false" outlineLevel="0" collapsed="false">
      <c r="A1127" s="11" t="s">
        <v>7054</v>
      </c>
      <c r="B1127" s="11" t="s">
        <v>41</v>
      </c>
      <c r="C1127" s="11" t="s">
        <v>265</v>
      </c>
      <c r="D1127" s="11" t="s">
        <v>266</v>
      </c>
      <c r="E1127" s="11" t="s">
        <v>751</v>
      </c>
      <c r="F1127" s="11" t="s">
        <v>7049</v>
      </c>
      <c r="G1127" s="11" t="s">
        <v>1259</v>
      </c>
      <c r="H1127" s="11"/>
      <c r="I1127" s="11" t="s">
        <v>5248</v>
      </c>
      <c r="J1127" s="11" t="s">
        <v>5249</v>
      </c>
      <c r="K1127" s="11" t="s">
        <v>1262</v>
      </c>
      <c r="L1127" s="11" t="s">
        <v>1263</v>
      </c>
      <c r="M1127" s="11" t="s">
        <v>1577</v>
      </c>
      <c r="N1127" s="14" t="n">
        <v>3</v>
      </c>
      <c r="O1127" s="14" t="n">
        <v>3</v>
      </c>
      <c r="P1127" s="14" t="n">
        <v>3</v>
      </c>
      <c r="Q1127" s="14"/>
      <c r="R1127" s="12" t="n">
        <f aca="false">IF(OR(N1127="",P1127=""),"",ROUND(N1127*O1127/P1127,1))</f>
        <v>3</v>
      </c>
      <c r="S1127" s="13" t="n">
        <f aca="false">IF(R1127="","",IF(Q1127="Y",1,IF(P1127&gt;='Read me'!$B$16,3,IF(AND(R1127&gt;='Read me'!$B$14,P1127&lt;='Read me'!$B$15),1,2))))</f>
        <v>2</v>
      </c>
    </row>
    <row r="1128" customFormat="false" ht="23.85" hidden="false" customHeight="false" outlineLevel="0" collapsed="false">
      <c r="A1128" s="11" t="s">
        <v>7055</v>
      </c>
      <c r="B1128" s="11" t="s">
        <v>41</v>
      </c>
      <c r="C1128" s="11" t="s">
        <v>265</v>
      </c>
      <c r="D1128" s="11" t="s">
        <v>266</v>
      </c>
      <c r="E1128" s="11" t="s">
        <v>751</v>
      </c>
      <c r="F1128" s="11" t="s">
        <v>7049</v>
      </c>
      <c r="G1128" s="11" t="s">
        <v>4791</v>
      </c>
      <c r="H1128" s="11" t="s">
        <v>1284</v>
      </c>
      <c r="I1128" s="11" t="s">
        <v>754</v>
      </c>
      <c r="J1128" s="11" t="s">
        <v>7056</v>
      </c>
      <c r="K1128" s="11" t="s">
        <v>935</v>
      </c>
      <c r="L1128" s="11" t="s">
        <v>7057</v>
      </c>
      <c r="M1128" s="11"/>
      <c r="N1128" s="14" t="n">
        <v>2</v>
      </c>
      <c r="O1128" s="14" t="n">
        <v>2</v>
      </c>
      <c r="P1128" s="14" t="n">
        <v>3</v>
      </c>
      <c r="Q1128" s="14"/>
      <c r="R1128" s="12" t="n">
        <f aca="false">IF(OR(N1128="",P1128=""),"",ROUND(N1128*O1128/P1128,1))</f>
        <v>1.3</v>
      </c>
      <c r="S1128" s="13" t="n">
        <f aca="false">IF(R1128="","",IF(Q1128="Y",1,IF(P1128&gt;='Read me'!$B$16,3,IF(AND(R1128&gt;='Read me'!$B$14,P1128&lt;='Read me'!$B$15),1,2))))</f>
        <v>2</v>
      </c>
    </row>
    <row r="1129" customFormat="false" ht="23.85" hidden="false" customHeight="false" outlineLevel="0" collapsed="false">
      <c r="A1129" s="11" t="s">
        <v>7058</v>
      </c>
      <c r="B1129" s="11" t="s">
        <v>41</v>
      </c>
      <c r="C1129" s="11" t="s">
        <v>265</v>
      </c>
      <c r="D1129" s="11" t="s">
        <v>266</v>
      </c>
      <c r="E1129" s="11" t="s">
        <v>802</v>
      </c>
      <c r="F1129" s="11" t="s">
        <v>7059</v>
      </c>
      <c r="G1129" s="11" t="s">
        <v>4404</v>
      </c>
      <c r="H1129" s="11"/>
      <c r="I1129" s="11" t="s">
        <v>7060</v>
      </c>
      <c r="J1129" s="11" t="s">
        <v>7061</v>
      </c>
      <c r="K1129" s="11" t="s">
        <v>7062</v>
      </c>
      <c r="L1129" s="11" t="s">
        <v>7063</v>
      </c>
      <c r="M1129" s="11"/>
      <c r="N1129" s="14" t="n">
        <v>2</v>
      </c>
      <c r="O1129" s="14" t="n">
        <v>3</v>
      </c>
      <c r="P1129" s="14" t="n">
        <v>2</v>
      </c>
      <c r="Q1129" s="14"/>
      <c r="R1129" s="12" t="n">
        <f aca="false">IF(OR(N1129="",P1129=""),"",ROUND(N1129*O1129/P1129,1))</f>
        <v>3</v>
      </c>
      <c r="S1129" s="13" t="n">
        <f aca="false">IF(R1129="","",IF(Q1129="Y",1,IF(P1129&gt;='Read me'!$B$16,3,IF(AND(R1129&gt;='Read me'!$B$14,P1129&lt;='Read me'!$B$15),1,2))))</f>
        <v>2</v>
      </c>
    </row>
    <row r="1130" customFormat="false" ht="23.85" hidden="false" customHeight="false" outlineLevel="0" collapsed="false">
      <c r="A1130" s="11" t="s">
        <v>7064</v>
      </c>
      <c r="B1130" s="11" t="s">
        <v>41</v>
      </c>
      <c r="C1130" s="11" t="s">
        <v>265</v>
      </c>
      <c r="D1130" s="11" t="s">
        <v>266</v>
      </c>
      <c r="E1130" s="11" t="s">
        <v>765</v>
      </c>
      <c r="F1130" s="11" t="s">
        <v>7065</v>
      </c>
      <c r="G1130" s="11" t="s">
        <v>7066</v>
      </c>
      <c r="H1130" s="11"/>
      <c r="I1130" s="11" t="s">
        <v>7067</v>
      </c>
      <c r="J1130" s="11" t="s">
        <v>7068</v>
      </c>
      <c r="K1130" s="11" t="s">
        <v>7069</v>
      </c>
      <c r="L1130" s="11" t="s">
        <v>7070</v>
      </c>
      <c r="M1130" s="11"/>
      <c r="N1130" s="14" t="n">
        <v>4</v>
      </c>
      <c r="O1130" s="14" t="n">
        <v>3</v>
      </c>
      <c r="P1130" s="14" t="n">
        <v>2</v>
      </c>
      <c r="Q1130" s="14"/>
      <c r="R1130" s="12" t="n">
        <f aca="false">IF(OR(N1130="",P1130=""),"",ROUND(N1130*O1130/P1130,1))</f>
        <v>6</v>
      </c>
      <c r="S1130" s="13" t="n">
        <f aca="false">IF(R1130="","",IF(Q1130="Y",1,IF(P1130&gt;='Read me'!$B$16,3,IF(AND(R1130&gt;='Read me'!$B$14,P1130&lt;='Read me'!$B$15),1,2))))</f>
        <v>1</v>
      </c>
    </row>
    <row r="1131" customFormat="false" ht="23.85" hidden="false" customHeight="false" outlineLevel="0" collapsed="false">
      <c r="A1131" s="11" t="s">
        <v>7071</v>
      </c>
      <c r="B1131" s="11" t="s">
        <v>41</v>
      </c>
      <c r="C1131" s="11" t="s">
        <v>265</v>
      </c>
      <c r="D1131" s="11" t="s">
        <v>266</v>
      </c>
      <c r="E1131" s="11" t="s">
        <v>765</v>
      </c>
      <c r="F1131" s="11" t="s">
        <v>7065</v>
      </c>
      <c r="G1131" s="11" t="s">
        <v>7072</v>
      </c>
      <c r="H1131" s="11"/>
      <c r="I1131" s="11" t="s">
        <v>7073</v>
      </c>
      <c r="J1131" s="11" t="s">
        <v>7074</v>
      </c>
      <c r="K1131" s="11" t="s">
        <v>4066</v>
      </c>
      <c r="L1131" s="11" t="s">
        <v>7075</v>
      </c>
      <c r="M1131" s="11"/>
      <c r="N1131" s="14" t="n">
        <v>3</v>
      </c>
      <c r="O1131" s="14" t="n">
        <v>3</v>
      </c>
      <c r="P1131" s="14" t="n">
        <v>3</v>
      </c>
      <c r="Q1131" s="14"/>
      <c r="R1131" s="12" t="n">
        <f aca="false">IF(OR(N1131="",P1131=""),"",ROUND(N1131*O1131/P1131,1))</f>
        <v>3</v>
      </c>
      <c r="S1131" s="13" t="n">
        <f aca="false">IF(R1131="","",IF(Q1131="Y",1,IF(P1131&gt;='Read me'!$B$16,3,IF(AND(R1131&gt;='Read me'!$B$14,P1131&lt;='Read me'!$B$15),1,2))))</f>
        <v>2</v>
      </c>
    </row>
    <row r="1132" customFormat="false" ht="35.05" hidden="false" customHeight="false" outlineLevel="0" collapsed="false">
      <c r="A1132" s="11" t="s">
        <v>7076</v>
      </c>
      <c r="B1132" s="11" t="s">
        <v>41</v>
      </c>
      <c r="C1132" s="11" t="s">
        <v>265</v>
      </c>
      <c r="D1132" s="11" t="s">
        <v>266</v>
      </c>
      <c r="E1132" s="11" t="s">
        <v>765</v>
      </c>
      <c r="F1132" s="11" t="s">
        <v>7077</v>
      </c>
      <c r="G1132" s="11" t="s">
        <v>7078</v>
      </c>
      <c r="H1132" s="11"/>
      <c r="I1132" s="11" t="s">
        <v>7079</v>
      </c>
      <c r="J1132" s="11" t="s">
        <v>7080</v>
      </c>
      <c r="K1132" s="11" t="s">
        <v>696</v>
      </c>
      <c r="L1132" s="11" t="s">
        <v>7081</v>
      </c>
      <c r="M1132" s="11" t="s">
        <v>7082</v>
      </c>
      <c r="N1132" s="14" t="n">
        <v>1</v>
      </c>
      <c r="O1132" s="14" t="n">
        <v>2</v>
      </c>
      <c r="P1132" s="14" t="n">
        <v>3</v>
      </c>
      <c r="Q1132" s="14"/>
      <c r="R1132" s="12" t="n">
        <f aca="false">IF(OR(N1132="",P1132=""),"",ROUND(N1132*O1132/P1132,1))</f>
        <v>0.7</v>
      </c>
      <c r="S1132" s="13" t="n">
        <f aca="false">IF(R1132="","",IF(Q1132="Y",1,IF(P1132&gt;='Read me'!$B$16,3,IF(AND(R1132&gt;='Read me'!$B$14,P1132&lt;='Read me'!$B$15),1,2))))</f>
        <v>2</v>
      </c>
    </row>
    <row r="1133" customFormat="false" ht="23.85" hidden="false" customHeight="false" outlineLevel="0" collapsed="false">
      <c r="A1133" s="11" t="s">
        <v>7083</v>
      </c>
      <c r="B1133" s="11" t="s">
        <v>41</v>
      </c>
      <c r="C1133" s="11" t="s">
        <v>265</v>
      </c>
      <c r="D1133" s="11" t="s">
        <v>266</v>
      </c>
      <c r="E1133" s="11" t="s">
        <v>765</v>
      </c>
      <c r="F1133" s="11" t="s">
        <v>7084</v>
      </c>
      <c r="G1133" s="11" t="s">
        <v>7085</v>
      </c>
      <c r="H1133" s="11"/>
      <c r="I1133" s="11" t="s">
        <v>512</v>
      </c>
      <c r="J1133" s="11" t="s">
        <v>7086</v>
      </c>
      <c r="K1133" s="11" t="s">
        <v>7087</v>
      </c>
      <c r="L1133" s="11" t="s">
        <v>6038</v>
      </c>
      <c r="M1133" s="11"/>
      <c r="N1133" s="14" t="n">
        <v>3</v>
      </c>
      <c r="O1133" s="14" t="n">
        <v>4</v>
      </c>
      <c r="P1133" s="14" t="n">
        <v>2</v>
      </c>
      <c r="Q1133" s="14"/>
      <c r="R1133" s="12" t="n">
        <f aca="false">IF(OR(N1133="",P1133=""),"",ROUND(N1133*O1133/P1133,1))</f>
        <v>6</v>
      </c>
      <c r="S1133" s="13" t="n">
        <f aca="false">IF(R1133="","",IF(Q1133="Y",1,IF(P1133&gt;='Read me'!$B$16,3,IF(AND(R1133&gt;='Read me'!$B$14,P1133&lt;='Read me'!$B$15),1,2))))</f>
        <v>1</v>
      </c>
    </row>
    <row r="1134" customFormat="false" ht="23.85" hidden="false" customHeight="false" outlineLevel="0" collapsed="false">
      <c r="A1134" s="11" t="s">
        <v>7088</v>
      </c>
      <c r="B1134" s="11" t="s">
        <v>41</v>
      </c>
      <c r="C1134" s="11" t="s">
        <v>265</v>
      </c>
      <c r="D1134" s="11" t="s">
        <v>266</v>
      </c>
      <c r="E1134" s="11" t="s">
        <v>1187</v>
      </c>
      <c r="F1134" s="11" t="s">
        <v>7089</v>
      </c>
      <c r="G1134" s="11" t="s">
        <v>7090</v>
      </c>
      <c r="H1134" s="11" t="s">
        <v>6581</v>
      </c>
      <c r="I1134" s="11" t="s">
        <v>7091</v>
      </c>
      <c r="J1134" s="11" t="s">
        <v>7092</v>
      </c>
      <c r="K1134" s="11" t="s">
        <v>6584</v>
      </c>
      <c r="L1134" s="11" t="s">
        <v>7093</v>
      </c>
      <c r="M1134" s="11"/>
      <c r="N1134" s="14" t="n">
        <v>2</v>
      </c>
      <c r="O1134" s="14" t="n">
        <v>3</v>
      </c>
      <c r="P1134" s="14" t="n">
        <v>3</v>
      </c>
      <c r="Q1134" s="14"/>
      <c r="R1134" s="12" t="n">
        <f aca="false">IF(OR(N1134="",P1134=""),"",ROUND(N1134*O1134/P1134,1))</f>
        <v>2</v>
      </c>
      <c r="S1134" s="13" t="n">
        <f aca="false">IF(R1134="","",IF(Q1134="Y",1,IF(P1134&gt;='Read me'!$B$16,3,IF(AND(R1134&gt;='Read me'!$B$14,P1134&lt;='Read me'!$B$15),1,2))))</f>
        <v>2</v>
      </c>
    </row>
    <row r="1135" customFormat="false" ht="23.85" hidden="false" customHeight="false" outlineLevel="0" collapsed="false">
      <c r="A1135" s="11" t="s">
        <v>7094</v>
      </c>
      <c r="B1135" s="11" t="s">
        <v>41</v>
      </c>
      <c r="C1135" s="11" t="s">
        <v>265</v>
      </c>
      <c r="D1135" s="11" t="s">
        <v>266</v>
      </c>
      <c r="E1135" s="11" t="s">
        <v>1187</v>
      </c>
      <c r="F1135" s="11" t="s">
        <v>7095</v>
      </c>
      <c r="G1135" s="11" t="s">
        <v>4070</v>
      </c>
      <c r="H1135" s="11" t="s">
        <v>7096</v>
      </c>
      <c r="I1135" s="11" t="s">
        <v>7097</v>
      </c>
      <c r="J1135" s="11" t="s">
        <v>7098</v>
      </c>
      <c r="K1135" s="11" t="s">
        <v>1028</v>
      </c>
      <c r="L1135" s="11" t="s">
        <v>7099</v>
      </c>
      <c r="M1135" s="11" t="s">
        <v>7100</v>
      </c>
      <c r="N1135" s="14" t="n">
        <v>2</v>
      </c>
      <c r="O1135" s="14" t="n">
        <v>2</v>
      </c>
      <c r="P1135" s="14" t="n">
        <v>2</v>
      </c>
      <c r="Q1135" s="14"/>
      <c r="R1135" s="12" t="n">
        <f aca="false">IF(OR(N1135="",P1135=""),"",ROUND(N1135*O1135/P1135,1))</f>
        <v>2</v>
      </c>
      <c r="S1135" s="13" t="n">
        <f aca="false">IF(R1135="","",IF(Q1135="Y",1,IF(P1135&gt;='Read me'!$B$16,3,IF(AND(R1135&gt;='Read me'!$B$14,P1135&lt;='Read me'!$B$15),1,2))))</f>
        <v>2</v>
      </c>
    </row>
    <row r="1136" customFormat="false" ht="35.05" hidden="false" customHeight="false" outlineLevel="0" collapsed="false">
      <c r="A1136" s="11" t="s">
        <v>7101</v>
      </c>
      <c r="B1136" s="11" t="s">
        <v>41</v>
      </c>
      <c r="C1136" s="11" t="s">
        <v>265</v>
      </c>
      <c r="D1136" s="11" t="s">
        <v>266</v>
      </c>
      <c r="E1136" s="11" t="s">
        <v>1187</v>
      </c>
      <c r="F1136" s="11" t="s">
        <v>7102</v>
      </c>
      <c r="G1136" s="11" t="s">
        <v>7103</v>
      </c>
      <c r="H1136" s="11" t="s">
        <v>7104</v>
      </c>
      <c r="I1136" s="11" t="s">
        <v>7105</v>
      </c>
      <c r="J1136" s="11" t="s">
        <v>7106</v>
      </c>
      <c r="K1136" s="11" t="s">
        <v>7107</v>
      </c>
      <c r="L1136" s="11" t="s">
        <v>7108</v>
      </c>
      <c r="M1136" s="11"/>
      <c r="N1136" s="14" t="n">
        <v>2</v>
      </c>
      <c r="O1136" s="14" t="n">
        <v>3</v>
      </c>
      <c r="P1136" s="14" t="n">
        <v>3</v>
      </c>
      <c r="Q1136" s="14"/>
      <c r="R1136" s="12" t="n">
        <f aca="false">IF(OR(N1136="",P1136=""),"",ROUND(N1136*O1136/P1136,1))</f>
        <v>2</v>
      </c>
      <c r="S1136" s="13" t="n">
        <f aca="false">IF(R1136="","",IF(Q1136="Y",1,IF(P1136&gt;='Read me'!$B$16,3,IF(AND(R1136&gt;='Read me'!$B$14,P1136&lt;='Read me'!$B$15),1,2))))</f>
        <v>2</v>
      </c>
    </row>
    <row r="1137" customFormat="false" ht="23.85" hidden="false" customHeight="false" outlineLevel="0" collapsed="false">
      <c r="A1137" s="11" t="s">
        <v>7109</v>
      </c>
      <c r="B1137" s="11" t="s">
        <v>41</v>
      </c>
      <c r="C1137" s="11" t="s">
        <v>265</v>
      </c>
      <c r="D1137" s="11" t="s">
        <v>266</v>
      </c>
      <c r="E1137" s="11" t="s">
        <v>1187</v>
      </c>
      <c r="F1137" s="11" t="s">
        <v>7110</v>
      </c>
      <c r="G1137" s="11" t="s">
        <v>7111</v>
      </c>
      <c r="H1137" s="11"/>
      <c r="I1137" s="11" t="s">
        <v>7112</v>
      </c>
      <c r="J1137" s="11" t="s">
        <v>7113</v>
      </c>
      <c r="K1137" s="11" t="s">
        <v>7114</v>
      </c>
      <c r="L1137" s="11" t="s">
        <v>7115</v>
      </c>
      <c r="M1137" s="11"/>
      <c r="N1137" s="14" t="n">
        <v>1</v>
      </c>
      <c r="O1137" s="14" t="n">
        <v>2</v>
      </c>
      <c r="P1137" s="14" t="n">
        <v>4</v>
      </c>
      <c r="Q1137" s="14"/>
      <c r="R1137" s="12" t="n">
        <f aca="false">IF(OR(N1137="",P1137=""),"",ROUND(N1137*O1137/P1137,1))</f>
        <v>0.5</v>
      </c>
      <c r="S1137" s="13" t="n">
        <f aca="false">IF(R1137="","",IF(Q1137="Y",1,IF(P1137&gt;='Read me'!$B$16,3,IF(AND(R1137&gt;='Read me'!$B$14,P1137&lt;='Read me'!$B$15),1,2))))</f>
        <v>3</v>
      </c>
    </row>
    <row r="1138" customFormat="false" ht="23.85" hidden="false" customHeight="false" outlineLevel="0" collapsed="false">
      <c r="A1138" s="11" t="s">
        <v>7116</v>
      </c>
      <c r="B1138" s="11" t="s">
        <v>41</v>
      </c>
      <c r="C1138" s="11" t="s">
        <v>269</v>
      </c>
      <c r="D1138" s="11" t="s">
        <v>270</v>
      </c>
      <c r="E1138" s="11" t="s">
        <v>476</v>
      </c>
      <c r="F1138" s="11" t="s">
        <v>7117</v>
      </c>
      <c r="G1138" s="11" t="s">
        <v>7018</v>
      </c>
      <c r="H1138" s="11"/>
      <c r="I1138" s="11" t="s">
        <v>7118</v>
      </c>
      <c r="J1138" s="11" t="s">
        <v>7119</v>
      </c>
      <c r="K1138" s="11" t="s">
        <v>7021</v>
      </c>
      <c r="L1138" s="11" t="s">
        <v>7120</v>
      </c>
      <c r="M1138" s="11" t="s">
        <v>4710</v>
      </c>
      <c r="N1138" s="14" t="n">
        <v>4</v>
      </c>
      <c r="O1138" s="14" t="n">
        <v>4</v>
      </c>
      <c r="P1138" s="14" t="n">
        <v>2</v>
      </c>
      <c r="Q1138" s="14"/>
      <c r="R1138" s="12" t="n">
        <f aca="false">IF(OR(N1138="",P1138=""),"",ROUND(N1138*O1138/P1138,1))</f>
        <v>8</v>
      </c>
      <c r="S1138" s="13" t="n">
        <f aca="false">IF(R1138="","",IF(Q1138="Y",1,IF(P1138&gt;='Read me'!$B$16,3,IF(AND(R1138&gt;='Read me'!$B$14,P1138&lt;='Read me'!$B$15),1,2))))</f>
        <v>1</v>
      </c>
    </row>
    <row r="1139" customFormat="false" ht="23.85" hidden="false" customHeight="false" outlineLevel="0" collapsed="false">
      <c r="A1139" s="11" t="s">
        <v>7121</v>
      </c>
      <c r="B1139" s="11" t="s">
        <v>41</v>
      </c>
      <c r="C1139" s="11" t="s">
        <v>269</v>
      </c>
      <c r="D1139" s="11" t="s">
        <v>270</v>
      </c>
      <c r="E1139" s="11" t="s">
        <v>476</v>
      </c>
      <c r="F1139" s="11" t="s">
        <v>7122</v>
      </c>
      <c r="G1139" s="11" t="s">
        <v>7123</v>
      </c>
      <c r="H1139" s="11"/>
      <c r="I1139" s="11" t="s">
        <v>7124</v>
      </c>
      <c r="J1139" s="11" t="s">
        <v>7125</v>
      </c>
      <c r="K1139" s="11" t="s">
        <v>7021</v>
      </c>
      <c r="L1139" s="11" t="s">
        <v>7041</v>
      </c>
      <c r="M1139" s="11"/>
      <c r="N1139" s="14" t="n">
        <v>2</v>
      </c>
      <c r="O1139" s="14" t="n">
        <v>3</v>
      </c>
      <c r="P1139" s="14" t="n">
        <v>1</v>
      </c>
      <c r="Q1139" s="14"/>
      <c r="R1139" s="12" t="n">
        <f aca="false">IF(OR(N1139="",P1139=""),"",ROUND(N1139*O1139/P1139,1))</f>
        <v>6</v>
      </c>
      <c r="S1139" s="13" t="n">
        <f aca="false">IF(R1139="","",IF(Q1139="Y",1,IF(P1139&gt;='Read me'!$B$16,3,IF(AND(R1139&gt;='Read me'!$B$14,P1139&lt;='Read me'!$B$15),1,2))))</f>
        <v>1</v>
      </c>
    </row>
    <row r="1140" customFormat="false" ht="23.85" hidden="false" customHeight="false" outlineLevel="0" collapsed="false">
      <c r="A1140" s="11" t="s">
        <v>7126</v>
      </c>
      <c r="B1140" s="11" t="s">
        <v>41</v>
      </c>
      <c r="C1140" s="11" t="s">
        <v>269</v>
      </c>
      <c r="D1140" s="11" t="s">
        <v>270</v>
      </c>
      <c r="E1140" s="11" t="s">
        <v>626</v>
      </c>
      <c r="F1140" s="11" t="s">
        <v>7127</v>
      </c>
      <c r="G1140" s="11" t="s">
        <v>7128</v>
      </c>
      <c r="H1140" s="11"/>
      <c r="I1140" s="11" t="s">
        <v>7129</v>
      </c>
      <c r="J1140" s="11" t="s">
        <v>7130</v>
      </c>
      <c r="K1140" s="11" t="s">
        <v>529</v>
      </c>
      <c r="L1140" s="11" t="s">
        <v>7131</v>
      </c>
      <c r="M1140" s="11"/>
      <c r="N1140" s="14" t="n">
        <v>3</v>
      </c>
      <c r="O1140" s="14" t="n">
        <v>3</v>
      </c>
      <c r="P1140" s="14" t="n">
        <v>2</v>
      </c>
      <c r="Q1140" s="14"/>
      <c r="R1140" s="12" t="n">
        <f aca="false">IF(OR(N1140="",P1140=""),"",ROUND(N1140*O1140/P1140,1))</f>
        <v>4.5</v>
      </c>
      <c r="S1140" s="13" t="n">
        <f aca="false">IF(R1140="","",IF(Q1140="Y",1,IF(P1140&gt;='Read me'!$B$16,3,IF(AND(R1140&gt;='Read me'!$B$14,P1140&lt;='Read me'!$B$15),1,2))))</f>
        <v>2</v>
      </c>
    </row>
    <row r="1141" customFormat="false" ht="23.85" hidden="false" customHeight="false" outlineLevel="0" collapsed="false">
      <c r="A1141" s="11" t="s">
        <v>7132</v>
      </c>
      <c r="B1141" s="11" t="s">
        <v>41</v>
      </c>
      <c r="C1141" s="11" t="s">
        <v>269</v>
      </c>
      <c r="D1141" s="11" t="s">
        <v>270</v>
      </c>
      <c r="E1141" s="11" t="s">
        <v>626</v>
      </c>
      <c r="F1141" s="11" t="s">
        <v>7133</v>
      </c>
      <c r="G1141" s="11" t="s">
        <v>7134</v>
      </c>
      <c r="H1141" s="11"/>
      <c r="I1141" s="11" t="s">
        <v>7135</v>
      </c>
      <c r="J1141" s="11" t="s">
        <v>7136</v>
      </c>
      <c r="K1141" s="11" t="s">
        <v>7028</v>
      </c>
      <c r="L1141" s="11" t="s">
        <v>7137</v>
      </c>
      <c r="M1141" s="11"/>
      <c r="N1141" s="14" t="n">
        <v>2</v>
      </c>
      <c r="O1141" s="14" t="n">
        <v>2</v>
      </c>
      <c r="P1141" s="14" t="n">
        <v>2</v>
      </c>
      <c r="Q1141" s="14"/>
      <c r="R1141" s="12" t="n">
        <f aca="false">IF(OR(N1141="",P1141=""),"",ROUND(N1141*O1141/P1141,1))</f>
        <v>2</v>
      </c>
      <c r="S1141" s="13" t="n">
        <f aca="false">IF(R1141="","",IF(Q1141="Y",1,IF(P1141&gt;='Read me'!$B$16,3,IF(AND(R1141&gt;='Read me'!$B$14,P1141&lt;='Read me'!$B$15),1,2))))</f>
        <v>2</v>
      </c>
    </row>
    <row r="1142" customFormat="false" ht="23.85" hidden="false" customHeight="false" outlineLevel="0" collapsed="false">
      <c r="A1142" s="11" t="s">
        <v>7138</v>
      </c>
      <c r="B1142" s="11" t="s">
        <v>41</v>
      </c>
      <c r="C1142" s="11" t="s">
        <v>269</v>
      </c>
      <c r="D1142" s="11" t="s">
        <v>270</v>
      </c>
      <c r="E1142" s="11" t="s">
        <v>751</v>
      </c>
      <c r="F1142" s="11" t="s">
        <v>7049</v>
      </c>
      <c r="G1142" s="11" t="s">
        <v>1252</v>
      </c>
      <c r="H1142" s="11"/>
      <c r="I1142" s="11" t="s">
        <v>7139</v>
      </c>
      <c r="J1142" s="11" t="s">
        <v>7140</v>
      </c>
      <c r="K1142" s="11" t="s">
        <v>7052</v>
      </c>
      <c r="L1142" s="11" t="s">
        <v>7141</v>
      </c>
      <c r="M1142" s="11" t="s">
        <v>1577</v>
      </c>
      <c r="N1142" s="14" t="n">
        <v>4</v>
      </c>
      <c r="O1142" s="14" t="n">
        <v>4</v>
      </c>
      <c r="P1142" s="14" t="n">
        <v>3</v>
      </c>
      <c r="Q1142" s="14"/>
      <c r="R1142" s="12" t="n">
        <f aca="false">IF(OR(N1142="",P1142=""),"",ROUND(N1142*O1142/P1142,1))</f>
        <v>5.3</v>
      </c>
      <c r="S1142" s="13" t="n">
        <f aca="false">IF(R1142="","",IF(Q1142="Y",1,IF(P1142&gt;='Read me'!$B$16,3,IF(AND(R1142&gt;='Read me'!$B$14,P1142&lt;='Read me'!$B$15),1,2))))</f>
        <v>2</v>
      </c>
    </row>
    <row r="1143" customFormat="false" ht="23.85" hidden="false" customHeight="false" outlineLevel="0" collapsed="false">
      <c r="A1143" s="11" t="s">
        <v>7142</v>
      </c>
      <c r="B1143" s="11" t="s">
        <v>41</v>
      </c>
      <c r="C1143" s="11" t="s">
        <v>269</v>
      </c>
      <c r="D1143" s="11" t="s">
        <v>270</v>
      </c>
      <c r="E1143" s="11" t="s">
        <v>751</v>
      </c>
      <c r="F1143" s="11" t="s">
        <v>7049</v>
      </c>
      <c r="G1143" s="11" t="s">
        <v>1259</v>
      </c>
      <c r="H1143" s="11"/>
      <c r="I1143" s="11" t="s">
        <v>1781</v>
      </c>
      <c r="J1143" s="11" t="s">
        <v>5249</v>
      </c>
      <c r="K1143" s="11" t="s">
        <v>1262</v>
      </c>
      <c r="L1143" s="11" t="s">
        <v>1263</v>
      </c>
      <c r="M1143" s="11" t="s">
        <v>1577</v>
      </c>
      <c r="N1143" s="14" t="n">
        <v>3</v>
      </c>
      <c r="O1143" s="14" t="n">
        <v>3</v>
      </c>
      <c r="P1143" s="14" t="n">
        <v>3</v>
      </c>
      <c r="Q1143" s="14"/>
      <c r="R1143" s="12" t="n">
        <f aca="false">IF(OR(N1143="",P1143=""),"",ROUND(N1143*O1143/P1143,1))</f>
        <v>3</v>
      </c>
      <c r="S1143" s="13" t="n">
        <f aca="false">IF(R1143="","",IF(Q1143="Y",1,IF(P1143&gt;='Read me'!$B$16,3,IF(AND(R1143&gt;='Read me'!$B$14,P1143&lt;='Read me'!$B$15),1,2))))</f>
        <v>2</v>
      </c>
    </row>
    <row r="1144" customFormat="false" ht="23.85" hidden="false" customHeight="false" outlineLevel="0" collapsed="false">
      <c r="A1144" s="11" t="s">
        <v>7143</v>
      </c>
      <c r="B1144" s="11" t="s">
        <v>41</v>
      </c>
      <c r="C1144" s="11" t="s">
        <v>269</v>
      </c>
      <c r="D1144" s="11" t="s">
        <v>270</v>
      </c>
      <c r="E1144" s="11" t="s">
        <v>765</v>
      </c>
      <c r="F1144" s="11" t="s">
        <v>7065</v>
      </c>
      <c r="G1144" s="11" t="s">
        <v>7144</v>
      </c>
      <c r="H1144" s="11"/>
      <c r="I1144" s="11" t="s">
        <v>7145</v>
      </c>
      <c r="J1144" s="11" t="s">
        <v>7146</v>
      </c>
      <c r="K1144" s="11" t="s">
        <v>7147</v>
      </c>
      <c r="L1144" s="11" t="s">
        <v>7148</v>
      </c>
      <c r="M1144" s="11"/>
      <c r="N1144" s="14" t="n">
        <v>4</v>
      </c>
      <c r="O1144" s="14" t="n">
        <v>3</v>
      </c>
      <c r="P1144" s="14" t="n">
        <v>2</v>
      </c>
      <c r="Q1144" s="14"/>
      <c r="R1144" s="12" t="n">
        <f aca="false">IF(OR(N1144="",P1144=""),"",ROUND(N1144*O1144/P1144,1))</f>
        <v>6</v>
      </c>
      <c r="S1144" s="13" t="n">
        <f aca="false">IF(R1144="","",IF(Q1144="Y",1,IF(P1144&gt;='Read me'!$B$16,3,IF(AND(R1144&gt;='Read me'!$B$14,P1144&lt;='Read me'!$B$15),1,2))))</f>
        <v>1</v>
      </c>
    </row>
    <row r="1145" customFormat="false" ht="35.05" hidden="false" customHeight="false" outlineLevel="0" collapsed="false">
      <c r="A1145" s="11" t="s">
        <v>7149</v>
      </c>
      <c r="B1145" s="11" t="s">
        <v>41</v>
      </c>
      <c r="C1145" s="11" t="s">
        <v>269</v>
      </c>
      <c r="D1145" s="11" t="s">
        <v>270</v>
      </c>
      <c r="E1145" s="11" t="s">
        <v>765</v>
      </c>
      <c r="F1145" s="11" t="s">
        <v>7077</v>
      </c>
      <c r="G1145" s="11" t="s">
        <v>7078</v>
      </c>
      <c r="H1145" s="11"/>
      <c r="I1145" s="11" t="s">
        <v>7150</v>
      </c>
      <c r="J1145" s="11" t="s">
        <v>7151</v>
      </c>
      <c r="K1145" s="11" t="s">
        <v>696</v>
      </c>
      <c r="L1145" s="11" t="s">
        <v>7152</v>
      </c>
      <c r="M1145" s="11" t="s">
        <v>7082</v>
      </c>
      <c r="N1145" s="14" t="n">
        <v>1</v>
      </c>
      <c r="O1145" s="14" t="n">
        <v>2</v>
      </c>
      <c r="P1145" s="14" t="n">
        <v>3</v>
      </c>
      <c r="Q1145" s="14"/>
      <c r="R1145" s="12" t="n">
        <f aca="false">IF(OR(N1145="",P1145=""),"",ROUND(N1145*O1145/P1145,1))</f>
        <v>0.7</v>
      </c>
      <c r="S1145" s="13" t="n">
        <f aca="false">IF(R1145="","",IF(Q1145="Y",1,IF(P1145&gt;='Read me'!$B$16,3,IF(AND(R1145&gt;='Read me'!$B$14,P1145&lt;='Read me'!$B$15),1,2))))</f>
        <v>2</v>
      </c>
    </row>
    <row r="1146" customFormat="false" ht="23.85" hidden="false" customHeight="false" outlineLevel="0" collapsed="false">
      <c r="A1146" s="11" t="s">
        <v>7153</v>
      </c>
      <c r="B1146" s="11" t="s">
        <v>41</v>
      </c>
      <c r="C1146" s="11" t="s">
        <v>269</v>
      </c>
      <c r="D1146" s="11" t="s">
        <v>270</v>
      </c>
      <c r="E1146" s="11" t="s">
        <v>765</v>
      </c>
      <c r="F1146" s="11" t="s">
        <v>7084</v>
      </c>
      <c r="G1146" s="11" t="s">
        <v>7085</v>
      </c>
      <c r="H1146" s="11"/>
      <c r="I1146" s="11" t="s">
        <v>512</v>
      </c>
      <c r="J1146" s="11" t="s">
        <v>7154</v>
      </c>
      <c r="K1146" s="11" t="s">
        <v>7155</v>
      </c>
      <c r="L1146" s="11" t="s">
        <v>6038</v>
      </c>
      <c r="M1146" s="11"/>
      <c r="N1146" s="14" t="n">
        <v>3</v>
      </c>
      <c r="O1146" s="14" t="n">
        <v>4</v>
      </c>
      <c r="P1146" s="14" t="n">
        <v>2</v>
      </c>
      <c r="Q1146" s="14"/>
      <c r="R1146" s="12" t="n">
        <f aca="false">IF(OR(N1146="",P1146=""),"",ROUND(N1146*O1146/P1146,1))</f>
        <v>6</v>
      </c>
      <c r="S1146" s="13" t="n">
        <f aca="false">IF(R1146="","",IF(Q1146="Y",1,IF(P1146&gt;='Read me'!$B$16,3,IF(AND(R1146&gt;='Read me'!$B$14,P1146&lt;='Read me'!$B$15),1,2))))</f>
        <v>1</v>
      </c>
    </row>
    <row r="1147" customFormat="false" ht="23.85" hidden="false" customHeight="false" outlineLevel="0" collapsed="false">
      <c r="A1147" s="11" t="s">
        <v>7156</v>
      </c>
      <c r="B1147" s="11" t="s">
        <v>41</v>
      </c>
      <c r="C1147" s="11" t="s">
        <v>269</v>
      </c>
      <c r="D1147" s="11" t="s">
        <v>270</v>
      </c>
      <c r="E1147" s="11" t="s">
        <v>1187</v>
      </c>
      <c r="F1147" s="11" t="s">
        <v>7089</v>
      </c>
      <c r="G1147" s="11" t="s">
        <v>7090</v>
      </c>
      <c r="H1147" s="11" t="s">
        <v>6581</v>
      </c>
      <c r="I1147" s="11" t="s">
        <v>7157</v>
      </c>
      <c r="J1147" s="11" t="s">
        <v>7158</v>
      </c>
      <c r="K1147" s="11" t="s">
        <v>6584</v>
      </c>
      <c r="L1147" s="11" t="s">
        <v>7093</v>
      </c>
      <c r="M1147" s="11"/>
      <c r="N1147" s="14" t="n">
        <v>2</v>
      </c>
      <c r="O1147" s="14" t="n">
        <v>3</v>
      </c>
      <c r="P1147" s="14" t="n">
        <v>3</v>
      </c>
      <c r="Q1147" s="14"/>
      <c r="R1147" s="12" t="n">
        <f aca="false">IF(OR(N1147="",P1147=""),"",ROUND(N1147*O1147/P1147,1))</f>
        <v>2</v>
      </c>
      <c r="S1147" s="13" t="n">
        <f aca="false">IF(R1147="","",IF(Q1147="Y",1,IF(P1147&gt;='Read me'!$B$16,3,IF(AND(R1147&gt;='Read me'!$B$14,P1147&lt;='Read me'!$B$15),1,2))))</f>
        <v>2</v>
      </c>
    </row>
    <row r="1148" customFormat="false" ht="23.85" hidden="false" customHeight="false" outlineLevel="0" collapsed="false">
      <c r="A1148" s="11" t="s">
        <v>7159</v>
      </c>
      <c r="B1148" s="11" t="s">
        <v>41</v>
      </c>
      <c r="C1148" s="11" t="s">
        <v>269</v>
      </c>
      <c r="D1148" s="11" t="s">
        <v>270</v>
      </c>
      <c r="E1148" s="11" t="s">
        <v>1187</v>
      </c>
      <c r="F1148" s="11" t="s">
        <v>7160</v>
      </c>
      <c r="G1148" s="11" t="s">
        <v>7161</v>
      </c>
      <c r="H1148" s="11" t="s">
        <v>7162</v>
      </c>
      <c r="I1148" s="11" t="s">
        <v>7163</v>
      </c>
      <c r="J1148" s="11" t="s">
        <v>7164</v>
      </c>
      <c r="K1148" s="11" t="s">
        <v>1028</v>
      </c>
      <c r="L1148" s="11" t="s">
        <v>7099</v>
      </c>
      <c r="M1148" s="11"/>
      <c r="N1148" s="14" t="n">
        <v>2</v>
      </c>
      <c r="O1148" s="14" t="n">
        <v>2</v>
      </c>
      <c r="P1148" s="14" t="n">
        <v>2</v>
      </c>
      <c r="Q1148" s="14"/>
      <c r="R1148" s="12" t="n">
        <f aca="false">IF(OR(N1148="",P1148=""),"",ROUND(N1148*O1148/P1148,1))</f>
        <v>2</v>
      </c>
      <c r="S1148" s="13" t="n">
        <f aca="false">IF(R1148="","",IF(Q1148="Y",1,IF(P1148&gt;='Read me'!$B$16,3,IF(AND(R1148&gt;='Read me'!$B$14,P1148&lt;='Read me'!$B$15),1,2))))</f>
        <v>2</v>
      </c>
    </row>
    <row r="1149" customFormat="false" ht="23.85" hidden="false" customHeight="false" outlineLevel="0" collapsed="false">
      <c r="A1149" s="11" t="s">
        <v>7165</v>
      </c>
      <c r="B1149" s="11" t="s">
        <v>41</v>
      </c>
      <c r="C1149" s="11" t="s">
        <v>269</v>
      </c>
      <c r="D1149" s="11" t="s">
        <v>270</v>
      </c>
      <c r="E1149" s="11" t="s">
        <v>1187</v>
      </c>
      <c r="F1149" s="11" t="s">
        <v>7166</v>
      </c>
      <c r="G1149" s="11" t="s">
        <v>7167</v>
      </c>
      <c r="H1149" s="11" t="s">
        <v>7168</v>
      </c>
      <c r="I1149" s="11" t="s">
        <v>7169</v>
      </c>
      <c r="J1149" s="11" t="s">
        <v>7170</v>
      </c>
      <c r="K1149" s="11" t="s">
        <v>7171</v>
      </c>
      <c r="L1149" s="11" t="s">
        <v>7099</v>
      </c>
      <c r="M1149" s="11"/>
      <c r="N1149" s="14" t="n">
        <v>2</v>
      </c>
      <c r="O1149" s="14" t="n">
        <v>2</v>
      </c>
      <c r="P1149" s="14" t="n">
        <v>1</v>
      </c>
      <c r="Q1149" s="14"/>
      <c r="R1149" s="12" t="n">
        <f aca="false">IF(OR(N1149="",P1149=""),"",ROUND(N1149*O1149/P1149,1))</f>
        <v>4</v>
      </c>
      <c r="S1149" s="13" t="n">
        <f aca="false">IF(R1149="","",IF(Q1149="Y",1,IF(P1149&gt;='Read me'!$B$16,3,IF(AND(R1149&gt;='Read me'!$B$14,P1149&lt;='Read me'!$B$15),1,2))))</f>
        <v>2</v>
      </c>
    </row>
    <row r="1150" customFormat="false" ht="23.85" hidden="false" customHeight="false" outlineLevel="0" collapsed="false">
      <c r="A1150" s="11" t="s">
        <v>7172</v>
      </c>
      <c r="B1150" s="11" t="s">
        <v>41</v>
      </c>
      <c r="C1150" s="11" t="s">
        <v>272</v>
      </c>
      <c r="D1150" s="11" t="s">
        <v>273</v>
      </c>
      <c r="E1150" s="11" t="s">
        <v>476</v>
      </c>
      <c r="F1150" s="11" t="s">
        <v>7173</v>
      </c>
      <c r="G1150" s="11" t="s">
        <v>7174</v>
      </c>
      <c r="H1150" s="11"/>
      <c r="I1150" s="11" t="s">
        <v>7175</v>
      </c>
      <c r="J1150" s="11" t="s">
        <v>7176</v>
      </c>
      <c r="K1150" s="11" t="s">
        <v>7177</v>
      </c>
      <c r="L1150" s="11" t="s">
        <v>7178</v>
      </c>
      <c r="M1150" s="11" t="s">
        <v>7179</v>
      </c>
      <c r="N1150" s="14" t="n">
        <v>3</v>
      </c>
      <c r="O1150" s="14" t="n">
        <v>3</v>
      </c>
      <c r="P1150" s="14" t="n">
        <v>1</v>
      </c>
      <c r="Q1150" s="14"/>
      <c r="R1150" s="12" t="n">
        <f aca="false">IF(OR(N1150="",P1150=""),"",ROUND(N1150*O1150/P1150,1))</f>
        <v>9</v>
      </c>
      <c r="S1150" s="13" t="n">
        <f aca="false">IF(R1150="","",IF(Q1150="Y",1,IF(P1150&gt;='Read me'!$B$16,3,IF(AND(R1150&gt;='Read me'!$B$14,P1150&lt;='Read me'!$B$15),1,2))))</f>
        <v>1</v>
      </c>
    </row>
    <row r="1151" customFormat="false" ht="23.85" hidden="false" customHeight="false" outlineLevel="0" collapsed="false">
      <c r="A1151" s="11" t="s">
        <v>7180</v>
      </c>
      <c r="B1151" s="11" t="s">
        <v>41</v>
      </c>
      <c r="C1151" s="11" t="s">
        <v>272</v>
      </c>
      <c r="D1151" s="11" t="s">
        <v>273</v>
      </c>
      <c r="E1151" s="11" t="s">
        <v>476</v>
      </c>
      <c r="F1151" s="11" t="s">
        <v>7181</v>
      </c>
      <c r="G1151" s="11" t="s">
        <v>7182</v>
      </c>
      <c r="H1151" s="11"/>
      <c r="I1151" s="11" t="s">
        <v>7183</v>
      </c>
      <c r="J1151" s="11" t="s">
        <v>7184</v>
      </c>
      <c r="K1151" s="11" t="s">
        <v>7021</v>
      </c>
      <c r="L1151" s="11" t="s">
        <v>7185</v>
      </c>
      <c r="M1151" s="11"/>
      <c r="N1151" s="14" t="n">
        <v>2</v>
      </c>
      <c r="O1151" s="14" t="n">
        <v>3</v>
      </c>
      <c r="P1151" s="14" t="n">
        <v>1</v>
      </c>
      <c r="Q1151" s="14"/>
      <c r="R1151" s="12" t="n">
        <f aca="false">IF(OR(N1151="",P1151=""),"",ROUND(N1151*O1151/P1151,1))</f>
        <v>6</v>
      </c>
      <c r="S1151" s="13" t="n">
        <f aca="false">IF(R1151="","",IF(Q1151="Y",1,IF(P1151&gt;='Read me'!$B$16,3,IF(AND(R1151&gt;='Read me'!$B$14,P1151&lt;='Read me'!$B$15),1,2))))</f>
        <v>1</v>
      </c>
    </row>
    <row r="1152" customFormat="false" ht="35.05" hidden="false" customHeight="false" outlineLevel="0" collapsed="false">
      <c r="A1152" s="11" t="s">
        <v>7186</v>
      </c>
      <c r="B1152" s="11" t="s">
        <v>41</v>
      </c>
      <c r="C1152" s="11" t="s">
        <v>272</v>
      </c>
      <c r="D1152" s="11" t="s">
        <v>273</v>
      </c>
      <c r="E1152" s="11" t="s">
        <v>476</v>
      </c>
      <c r="F1152" s="11" t="s">
        <v>7187</v>
      </c>
      <c r="G1152" s="11" t="s">
        <v>7188</v>
      </c>
      <c r="H1152" s="11"/>
      <c r="I1152" s="11" t="s">
        <v>7189</v>
      </c>
      <c r="J1152" s="11" t="s">
        <v>7190</v>
      </c>
      <c r="K1152" s="11" t="s">
        <v>7021</v>
      </c>
      <c r="L1152" s="11" t="s">
        <v>7191</v>
      </c>
      <c r="M1152" s="11" t="s">
        <v>4716</v>
      </c>
      <c r="N1152" s="14" t="n">
        <v>2</v>
      </c>
      <c r="O1152" s="14" t="n">
        <v>3</v>
      </c>
      <c r="P1152" s="14" t="n">
        <v>3</v>
      </c>
      <c r="Q1152" s="14"/>
      <c r="R1152" s="12" t="n">
        <f aca="false">IF(OR(N1152="",P1152=""),"",ROUND(N1152*O1152/P1152,1))</f>
        <v>2</v>
      </c>
      <c r="S1152" s="13" t="n">
        <f aca="false">IF(R1152="","",IF(Q1152="Y",1,IF(P1152&gt;='Read me'!$B$16,3,IF(AND(R1152&gt;='Read me'!$B$14,P1152&lt;='Read me'!$B$15),1,2))))</f>
        <v>2</v>
      </c>
    </row>
    <row r="1153" customFormat="false" ht="23.85" hidden="false" customHeight="false" outlineLevel="0" collapsed="false">
      <c r="A1153" s="11" t="s">
        <v>7192</v>
      </c>
      <c r="B1153" s="11" t="s">
        <v>41</v>
      </c>
      <c r="C1153" s="11" t="s">
        <v>272</v>
      </c>
      <c r="D1153" s="11" t="s">
        <v>273</v>
      </c>
      <c r="E1153" s="11" t="s">
        <v>626</v>
      </c>
      <c r="F1153" s="11" t="s">
        <v>7193</v>
      </c>
      <c r="G1153" s="11" t="s">
        <v>7194</v>
      </c>
      <c r="H1153" s="11"/>
      <c r="I1153" s="11" t="s">
        <v>7195</v>
      </c>
      <c r="J1153" s="11" t="s">
        <v>7196</v>
      </c>
      <c r="K1153" s="11" t="s">
        <v>5430</v>
      </c>
      <c r="L1153" s="11" t="s">
        <v>7197</v>
      </c>
      <c r="M1153" s="11"/>
      <c r="N1153" s="14" t="n">
        <v>2</v>
      </c>
      <c r="O1153" s="14" t="n">
        <v>2</v>
      </c>
      <c r="P1153" s="14" t="n">
        <v>1</v>
      </c>
      <c r="Q1153" s="14"/>
      <c r="R1153" s="12" t="n">
        <f aca="false">IF(OR(N1153="",P1153=""),"",ROUND(N1153*O1153/P1153,1))</f>
        <v>4</v>
      </c>
      <c r="S1153" s="13" t="n">
        <f aca="false">IF(R1153="","",IF(Q1153="Y",1,IF(P1153&gt;='Read me'!$B$16,3,IF(AND(R1153&gt;='Read me'!$B$14,P1153&lt;='Read me'!$B$15),1,2))))</f>
        <v>2</v>
      </c>
    </row>
    <row r="1154" customFormat="false" ht="23.85" hidden="false" customHeight="false" outlineLevel="0" collapsed="false">
      <c r="A1154" s="11" t="s">
        <v>7198</v>
      </c>
      <c r="B1154" s="11" t="s">
        <v>41</v>
      </c>
      <c r="C1154" s="11" t="s">
        <v>272</v>
      </c>
      <c r="D1154" s="11" t="s">
        <v>273</v>
      </c>
      <c r="E1154" s="11" t="s">
        <v>626</v>
      </c>
      <c r="F1154" s="11" t="s">
        <v>7199</v>
      </c>
      <c r="G1154" s="11" t="s">
        <v>7200</v>
      </c>
      <c r="H1154" s="11"/>
      <c r="I1154" s="11" t="s">
        <v>7201</v>
      </c>
      <c r="J1154" s="11" t="s">
        <v>7202</v>
      </c>
      <c r="K1154" s="11" t="s">
        <v>529</v>
      </c>
      <c r="L1154" s="11" t="s">
        <v>7203</v>
      </c>
      <c r="M1154" s="11"/>
      <c r="N1154" s="14" t="n">
        <v>2</v>
      </c>
      <c r="O1154" s="14" t="n">
        <v>2</v>
      </c>
      <c r="P1154" s="14" t="n">
        <v>1</v>
      </c>
      <c r="Q1154" s="14"/>
      <c r="R1154" s="12" t="n">
        <f aca="false">IF(OR(N1154="",P1154=""),"",ROUND(N1154*O1154/P1154,1))</f>
        <v>4</v>
      </c>
      <c r="S1154" s="13" t="n">
        <f aca="false">IF(R1154="","",IF(Q1154="Y",1,IF(P1154&gt;='Read me'!$B$16,3,IF(AND(R1154&gt;='Read me'!$B$14,P1154&lt;='Read me'!$B$15),1,2))))</f>
        <v>2</v>
      </c>
    </row>
    <row r="1155" customFormat="false" ht="23.85" hidden="false" customHeight="false" outlineLevel="0" collapsed="false">
      <c r="A1155" s="11" t="s">
        <v>7204</v>
      </c>
      <c r="B1155" s="11" t="s">
        <v>41</v>
      </c>
      <c r="C1155" s="11" t="s">
        <v>272</v>
      </c>
      <c r="D1155" s="11" t="s">
        <v>273</v>
      </c>
      <c r="E1155" s="11" t="s">
        <v>751</v>
      </c>
      <c r="F1155" s="11" t="s">
        <v>7205</v>
      </c>
      <c r="G1155" s="11" t="s">
        <v>1252</v>
      </c>
      <c r="H1155" s="11"/>
      <c r="I1155" s="11" t="s">
        <v>7206</v>
      </c>
      <c r="J1155" s="11" t="s">
        <v>7207</v>
      </c>
      <c r="K1155" s="11" t="s">
        <v>7052</v>
      </c>
      <c r="L1155" s="11" t="s">
        <v>7208</v>
      </c>
      <c r="M1155" s="11" t="s">
        <v>1577</v>
      </c>
      <c r="N1155" s="14" t="n">
        <v>3</v>
      </c>
      <c r="O1155" s="14" t="n">
        <v>3</v>
      </c>
      <c r="P1155" s="14" t="n">
        <v>3</v>
      </c>
      <c r="Q1155" s="14"/>
      <c r="R1155" s="12" t="n">
        <f aca="false">IF(OR(N1155="",P1155=""),"",ROUND(N1155*O1155/P1155,1))</f>
        <v>3</v>
      </c>
      <c r="S1155" s="13" t="n">
        <f aca="false">IF(R1155="","",IF(Q1155="Y",1,IF(P1155&gt;='Read me'!$B$16,3,IF(AND(R1155&gt;='Read me'!$B$14,P1155&lt;='Read me'!$B$15),1,2))))</f>
        <v>2</v>
      </c>
    </row>
    <row r="1156" customFormat="false" ht="23.85" hidden="false" customHeight="false" outlineLevel="0" collapsed="false">
      <c r="A1156" s="11" t="s">
        <v>7209</v>
      </c>
      <c r="B1156" s="11" t="s">
        <v>41</v>
      </c>
      <c r="C1156" s="11" t="s">
        <v>272</v>
      </c>
      <c r="D1156" s="11" t="s">
        <v>273</v>
      </c>
      <c r="E1156" s="11" t="s">
        <v>751</v>
      </c>
      <c r="F1156" s="11" t="s">
        <v>7205</v>
      </c>
      <c r="G1156" s="11" t="s">
        <v>2540</v>
      </c>
      <c r="H1156" s="11"/>
      <c r="I1156" s="11" t="s">
        <v>6746</v>
      </c>
      <c r="J1156" s="11" t="s">
        <v>6747</v>
      </c>
      <c r="K1156" s="11" t="s">
        <v>1254</v>
      </c>
      <c r="L1156" s="11"/>
      <c r="M1156" s="11" t="s">
        <v>1577</v>
      </c>
      <c r="N1156" s="14" t="n">
        <v>2</v>
      </c>
      <c r="O1156" s="14" t="n">
        <v>2</v>
      </c>
      <c r="P1156" s="14" t="n">
        <v>3</v>
      </c>
      <c r="Q1156" s="14"/>
      <c r="R1156" s="12" t="n">
        <f aca="false">IF(OR(N1156="",P1156=""),"",ROUND(N1156*O1156/P1156,1))</f>
        <v>1.3</v>
      </c>
      <c r="S1156" s="13" t="n">
        <f aca="false">IF(R1156="","",IF(Q1156="Y",1,IF(P1156&gt;='Read me'!$B$16,3,IF(AND(R1156&gt;='Read me'!$B$14,P1156&lt;='Read me'!$B$15),1,2))))</f>
        <v>2</v>
      </c>
    </row>
    <row r="1157" customFormat="false" ht="23.85" hidden="false" customHeight="false" outlineLevel="0" collapsed="false">
      <c r="A1157" s="11" t="s">
        <v>7210</v>
      </c>
      <c r="B1157" s="11" t="s">
        <v>41</v>
      </c>
      <c r="C1157" s="11" t="s">
        <v>272</v>
      </c>
      <c r="D1157" s="11" t="s">
        <v>273</v>
      </c>
      <c r="E1157" s="11" t="s">
        <v>751</v>
      </c>
      <c r="F1157" s="11" t="s">
        <v>7211</v>
      </c>
      <c r="G1157" s="11" t="s">
        <v>7212</v>
      </c>
      <c r="H1157" s="11" t="s">
        <v>7213</v>
      </c>
      <c r="I1157" s="11" t="s">
        <v>7214</v>
      </c>
      <c r="J1157" s="11" t="s">
        <v>7215</v>
      </c>
      <c r="K1157" s="11" t="s">
        <v>2887</v>
      </c>
      <c r="L1157" s="11" t="s">
        <v>7216</v>
      </c>
      <c r="M1157" s="11"/>
      <c r="N1157" s="14" t="n">
        <v>2</v>
      </c>
      <c r="O1157" s="14" t="n">
        <v>2</v>
      </c>
      <c r="P1157" s="14" t="n">
        <v>1</v>
      </c>
      <c r="Q1157" s="14"/>
      <c r="R1157" s="12" t="n">
        <f aca="false">IF(OR(N1157="",P1157=""),"",ROUND(N1157*O1157/P1157,1))</f>
        <v>4</v>
      </c>
      <c r="S1157" s="13" t="n">
        <f aca="false">IF(R1157="","",IF(Q1157="Y",1,IF(P1157&gt;='Read me'!$B$16,3,IF(AND(R1157&gt;='Read me'!$B$14,P1157&lt;='Read me'!$B$15),1,2))))</f>
        <v>2</v>
      </c>
    </row>
    <row r="1158" customFormat="false" ht="23.85" hidden="false" customHeight="false" outlineLevel="0" collapsed="false">
      <c r="A1158" s="11" t="s">
        <v>7217</v>
      </c>
      <c r="B1158" s="11" t="s">
        <v>41</v>
      </c>
      <c r="C1158" s="11" t="s">
        <v>272</v>
      </c>
      <c r="D1158" s="11" t="s">
        <v>273</v>
      </c>
      <c r="E1158" s="11" t="s">
        <v>765</v>
      </c>
      <c r="F1158" s="11" t="s">
        <v>7065</v>
      </c>
      <c r="G1158" s="11" t="s">
        <v>7218</v>
      </c>
      <c r="H1158" s="11"/>
      <c r="I1158" s="11" t="s">
        <v>7219</v>
      </c>
      <c r="J1158" s="11" t="s">
        <v>7220</v>
      </c>
      <c r="K1158" s="11" t="s">
        <v>7221</v>
      </c>
      <c r="L1158" s="11" t="s">
        <v>7070</v>
      </c>
      <c r="M1158" s="11"/>
      <c r="N1158" s="14" t="n">
        <v>3</v>
      </c>
      <c r="O1158" s="14" t="n">
        <v>2</v>
      </c>
      <c r="P1158" s="14" t="n">
        <v>1</v>
      </c>
      <c r="Q1158" s="14"/>
      <c r="R1158" s="12" t="n">
        <f aca="false">IF(OR(N1158="",P1158=""),"",ROUND(N1158*O1158/P1158,1))</f>
        <v>6</v>
      </c>
      <c r="S1158" s="13" t="n">
        <f aca="false">IF(R1158="","",IF(Q1158="Y",1,IF(P1158&gt;='Read me'!$B$16,3,IF(AND(R1158&gt;='Read me'!$B$14,P1158&lt;='Read me'!$B$15),1,2))))</f>
        <v>1</v>
      </c>
    </row>
    <row r="1159" customFormat="false" ht="35.05" hidden="false" customHeight="false" outlineLevel="0" collapsed="false">
      <c r="A1159" s="11" t="s">
        <v>7222</v>
      </c>
      <c r="B1159" s="11" t="s">
        <v>41</v>
      </c>
      <c r="C1159" s="11" t="s">
        <v>272</v>
      </c>
      <c r="D1159" s="11" t="s">
        <v>273</v>
      </c>
      <c r="E1159" s="11" t="s">
        <v>765</v>
      </c>
      <c r="F1159" s="11" t="s">
        <v>7223</v>
      </c>
      <c r="G1159" s="11" t="s">
        <v>7224</v>
      </c>
      <c r="H1159" s="11"/>
      <c r="I1159" s="11" t="s">
        <v>512</v>
      </c>
      <c r="J1159" s="11" t="s">
        <v>7225</v>
      </c>
      <c r="K1159" s="11" t="s">
        <v>7087</v>
      </c>
      <c r="L1159" s="11" t="s">
        <v>7226</v>
      </c>
      <c r="M1159" s="11" t="s">
        <v>7082</v>
      </c>
      <c r="N1159" s="14" t="n">
        <v>2</v>
      </c>
      <c r="O1159" s="14" t="n">
        <v>3</v>
      </c>
      <c r="P1159" s="14" t="n">
        <v>3</v>
      </c>
      <c r="Q1159" s="14"/>
      <c r="R1159" s="12" t="n">
        <f aca="false">IF(OR(N1159="",P1159=""),"",ROUND(N1159*O1159/P1159,1))</f>
        <v>2</v>
      </c>
      <c r="S1159" s="13" t="n">
        <f aca="false">IF(R1159="","",IF(Q1159="Y",1,IF(P1159&gt;='Read me'!$B$16,3,IF(AND(R1159&gt;='Read me'!$B$14,P1159&lt;='Read me'!$B$15),1,2))))</f>
        <v>2</v>
      </c>
    </row>
    <row r="1160" customFormat="false" ht="35.05" hidden="false" customHeight="false" outlineLevel="0" collapsed="false">
      <c r="A1160" s="11" t="s">
        <v>7227</v>
      </c>
      <c r="B1160" s="11" t="s">
        <v>41</v>
      </c>
      <c r="C1160" s="11" t="s">
        <v>272</v>
      </c>
      <c r="D1160" s="11" t="s">
        <v>273</v>
      </c>
      <c r="E1160" s="11" t="s">
        <v>765</v>
      </c>
      <c r="F1160" s="11" t="s">
        <v>7228</v>
      </c>
      <c r="G1160" s="11" t="s">
        <v>7229</v>
      </c>
      <c r="H1160" s="11"/>
      <c r="I1160" s="11" t="s">
        <v>7230</v>
      </c>
      <c r="J1160" s="11" t="s">
        <v>7231</v>
      </c>
      <c r="K1160" s="11" t="s">
        <v>7062</v>
      </c>
      <c r="L1160" s="11" t="s">
        <v>7232</v>
      </c>
      <c r="M1160" s="11" t="s">
        <v>7082</v>
      </c>
      <c r="N1160" s="14" t="n">
        <v>2</v>
      </c>
      <c r="O1160" s="14" t="n">
        <v>2</v>
      </c>
      <c r="P1160" s="14" t="n">
        <v>3</v>
      </c>
      <c r="Q1160" s="14"/>
      <c r="R1160" s="12" t="n">
        <f aca="false">IF(OR(N1160="",P1160=""),"",ROUND(N1160*O1160/P1160,1))</f>
        <v>1.3</v>
      </c>
      <c r="S1160" s="13" t="n">
        <f aca="false">IF(R1160="","",IF(Q1160="Y",1,IF(P1160&gt;='Read me'!$B$16,3,IF(AND(R1160&gt;='Read me'!$B$14,P1160&lt;='Read me'!$B$15),1,2))))</f>
        <v>2</v>
      </c>
    </row>
    <row r="1161" customFormat="false" ht="23.85" hidden="false" customHeight="false" outlineLevel="0" collapsed="false">
      <c r="A1161" s="11" t="s">
        <v>7233</v>
      </c>
      <c r="B1161" s="11" t="s">
        <v>41</v>
      </c>
      <c r="C1161" s="11" t="s">
        <v>272</v>
      </c>
      <c r="D1161" s="11" t="s">
        <v>273</v>
      </c>
      <c r="E1161" s="11" t="s">
        <v>1187</v>
      </c>
      <c r="F1161" s="11" t="s">
        <v>7234</v>
      </c>
      <c r="G1161" s="11" t="s">
        <v>7235</v>
      </c>
      <c r="H1161" s="11" t="s">
        <v>6581</v>
      </c>
      <c r="I1161" s="11" t="s">
        <v>7236</v>
      </c>
      <c r="J1161" s="11" t="s">
        <v>7237</v>
      </c>
      <c r="K1161" s="11" t="s">
        <v>6584</v>
      </c>
      <c r="L1161" s="11" t="s">
        <v>7238</v>
      </c>
      <c r="M1161" s="11"/>
      <c r="N1161" s="14" t="n">
        <v>1</v>
      </c>
      <c r="O1161" s="14" t="n">
        <v>2</v>
      </c>
      <c r="P1161" s="14" t="n">
        <v>3</v>
      </c>
      <c r="Q1161" s="14"/>
      <c r="R1161" s="12" t="n">
        <f aca="false">IF(OR(N1161="",P1161=""),"",ROUND(N1161*O1161/P1161,1))</f>
        <v>0.7</v>
      </c>
      <c r="S1161" s="13" t="n">
        <f aca="false">IF(R1161="","",IF(Q1161="Y",1,IF(P1161&gt;='Read me'!$B$16,3,IF(AND(R1161&gt;='Read me'!$B$14,P1161&lt;='Read me'!$B$15),1,2))))</f>
        <v>2</v>
      </c>
    </row>
    <row r="1162" customFormat="false" ht="23.85" hidden="false" customHeight="false" outlineLevel="0" collapsed="false">
      <c r="A1162" s="11" t="s">
        <v>7239</v>
      </c>
      <c r="B1162" s="11" t="s">
        <v>41</v>
      </c>
      <c r="C1162" s="11" t="s">
        <v>272</v>
      </c>
      <c r="D1162" s="11" t="s">
        <v>273</v>
      </c>
      <c r="E1162" s="11" t="s">
        <v>1187</v>
      </c>
      <c r="F1162" s="11" t="s">
        <v>7240</v>
      </c>
      <c r="G1162" s="11" t="s">
        <v>7241</v>
      </c>
      <c r="H1162" s="11" t="s">
        <v>7242</v>
      </c>
      <c r="I1162" s="11" t="s">
        <v>7243</v>
      </c>
      <c r="J1162" s="11" t="s">
        <v>7244</v>
      </c>
      <c r="K1162" s="11" t="s">
        <v>2887</v>
      </c>
      <c r="L1162" s="11" t="s">
        <v>7245</v>
      </c>
      <c r="M1162" s="11" t="s">
        <v>7246</v>
      </c>
      <c r="N1162" s="14" t="n">
        <v>1</v>
      </c>
      <c r="O1162" s="14" t="n">
        <v>2</v>
      </c>
      <c r="P1162" s="14" t="n">
        <v>1</v>
      </c>
      <c r="Q1162" s="14"/>
      <c r="R1162" s="12" t="n">
        <f aca="false">IF(OR(N1162="",P1162=""),"",ROUND(N1162*O1162/P1162,1))</f>
        <v>2</v>
      </c>
      <c r="S1162" s="13" t="n">
        <f aca="false">IF(R1162="","",IF(Q1162="Y",1,IF(P1162&gt;='Read me'!$B$16,3,IF(AND(R1162&gt;='Read me'!$B$14,P1162&lt;='Read me'!$B$15),1,2))))</f>
        <v>2</v>
      </c>
    </row>
    <row r="1163" customFormat="false" ht="35.05" hidden="false" customHeight="false" outlineLevel="0" collapsed="false">
      <c r="A1163" s="11" t="s">
        <v>7247</v>
      </c>
      <c r="B1163" s="11" t="s">
        <v>41</v>
      </c>
      <c r="C1163" s="11" t="s">
        <v>272</v>
      </c>
      <c r="D1163" s="11" t="s">
        <v>273</v>
      </c>
      <c r="E1163" s="11" t="s">
        <v>1187</v>
      </c>
      <c r="F1163" s="11" t="s">
        <v>7248</v>
      </c>
      <c r="G1163" s="11" t="s">
        <v>7249</v>
      </c>
      <c r="H1163" s="11"/>
      <c r="I1163" s="11" t="s">
        <v>7250</v>
      </c>
      <c r="J1163" s="11" t="s">
        <v>7251</v>
      </c>
      <c r="K1163" s="11" t="s">
        <v>1028</v>
      </c>
      <c r="L1163" s="11" t="s">
        <v>7252</v>
      </c>
      <c r="M1163" s="11" t="s">
        <v>4716</v>
      </c>
      <c r="N1163" s="14" t="n">
        <v>1</v>
      </c>
      <c r="O1163" s="14" t="n">
        <v>2</v>
      </c>
      <c r="P1163" s="14" t="n">
        <v>2</v>
      </c>
      <c r="Q1163" s="14"/>
      <c r="R1163" s="12" t="n">
        <f aca="false">IF(OR(N1163="",P1163=""),"",ROUND(N1163*O1163/P1163,1))</f>
        <v>1</v>
      </c>
      <c r="S1163" s="13" t="n">
        <f aca="false">IF(R1163="","",IF(Q1163="Y",1,IF(P1163&gt;='Read me'!$B$16,3,IF(AND(R1163&gt;='Read me'!$B$14,P1163&lt;='Read me'!$B$15),1,2))))</f>
        <v>2</v>
      </c>
    </row>
    <row r="1164" customFormat="false" ht="23.85" hidden="false" customHeight="false" outlineLevel="0" collapsed="false">
      <c r="A1164" s="11" t="s">
        <v>7253</v>
      </c>
      <c r="B1164" s="11" t="s">
        <v>41</v>
      </c>
      <c r="C1164" s="11" t="s">
        <v>275</v>
      </c>
      <c r="D1164" s="11" t="s">
        <v>276</v>
      </c>
      <c r="E1164" s="11" t="s">
        <v>476</v>
      </c>
      <c r="F1164" s="11" t="s">
        <v>7254</v>
      </c>
      <c r="G1164" s="11" t="s">
        <v>7255</v>
      </c>
      <c r="H1164" s="11"/>
      <c r="I1164" s="11" t="s">
        <v>7256</v>
      </c>
      <c r="J1164" s="11" t="s">
        <v>7257</v>
      </c>
      <c r="K1164" s="11" t="s">
        <v>7021</v>
      </c>
      <c r="L1164" s="11" t="s">
        <v>7185</v>
      </c>
      <c r="M1164" s="11" t="s">
        <v>7179</v>
      </c>
      <c r="N1164" s="14" t="n">
        <v>2</v>
      </c>
      <c r="O1164" s="14" t="n">
        <v>3</v>
      </c>
      <c r="P1164" s="14" t="n">
        <v>1</v>
      </c>
      <c r="Q1164" s="14"/>
      <c r="R1164" s="12" t="n">
        <f aca="false">IF(OR(N1164="",P1164=""),"",ROUND(N1164*O1164/P1164,1))</f>
        <v>6</v>
      </c>
      <c r="S1164" s="13" t="n">
        <f aca="false">IF(R1164="","",IF(Q1164="Y",1,IF(P1164&gt;='Read me'!$B$16,3,IF(AND(R1164&gt;='Read me'!$B$14,P1164&lt;='Read me'!$B$15),1,2))))</f>
        <v>1</v>
      </c>
    </row>
    <row r="1165" customFormat="false" ht="23.85" hidden="false" customHeight="false" outlineLevel="0" collapsed="false">
      <c r="A1165" s="11" t="s">
        <v>7258</v>
      </c>
      <c r="B1165" s="11" t="s">
        <v>41</v>
      </c>
      <c r="C1165" s="11" t="s">
        <v>275</v>
      </c>
      <c r="D1165" s="11" t="s">
        <v>276</v>
      </c>
      <c r="E1165" s="11" t="s">
        <v>476</v>
      </c>
      <c r="F1165" s="11" t="s">
        <v>7259</v>
      </c>
      <c r="G1165" s="11" t="s">
        <v>7260</v>
      </c>
      <c r="H1165" s="11"/>
      <c r="I1165" s="11" t="s">
        <v>7261</v>
      </c>
      <c r="J1165" s="11" t="s">
        <v>7262</v>
      </c>
      <c r="K1165" s="11" t="s">
        <v>7028</v>
      </c>
      <c r="L1165" s="11" t="s">
        <v>7263</v>
      </c>
      <c r="M1165" s="11"/>
      <c r="N1165" s="14" t="n">
        <v>2</v>
      </c>
      <c r="O1165" s="14" t="n">
        <v>2</v>
      </c>
      <c r="P1165" s="14" t="n">
        <v>1</v>
      </c>
      <c r="Q1165" s="14"/>
      <c r="R1165" s="12" t="n">
        <f aca="false">IF(OR(N1165="",P1165=""),"",ROUND(N1165*O1165/P1165,1))</f>
        <v>4</v>
      </c>
      <c r="S1165" s="13" t="n">
        <f aca="false">IF(R1165="","",IF(Q1165="Y",1,IF(P1165&gt;='Read me'!$B$16,3,IF(AND(R1165&gt;='Read me'!$B$14,P1165&lt;='Read me'!$B$15),1,2))))</f>
        <v>2</v>
      </c>
    </row>
    <row r="1166" customFormat="false" ht="23.85" hidden="false" customHeight="false" outlineLevel="0" collapsed="false">
      <c r="A1166" s="11" t="s">
        <v>7264</v>
      </c>
      <c r="B1166" s="11" t="s">
        <v>41</v>
      </c>
      <c r="C1166" s="11" t="s">
        <v>275</v>
      </c>
      <c r="D1166" s="11" t="s">
        <v>276</v>
      </c>
      <c r="E1166" s="11" t="s">
        <v>476</v>
      </c>
      <c r="F1166" s="11" t="s">
        <v>7265</v>
      </c>
      <c r="G1166" s="11" t="s">
        <v>7266</v>
      </c>
      <c r="H1166" s="11"/>
      <c r="I1166" s="11" t="s">
        <v>7267</v>
      </c>
      <c r="J1166" s="11" t="s">
        <v>7268</v>
      </c>
      <c r="K1166" s="11" t="s">
        <v>7021</v>
      </c>
      <c r="L1166" s="11" t="s">
        <v>7185</v>
      </c>
      <c r="M1166" s="11"/>
      <c r="N1166" s="14" t="n">
        <v>2</v>
      </c>
      <c r="O1166" s="14" t="n">
        <v>2</v>
      </c>
      <c r="P1166" s="14" t="n">
        <v>1</v>
      </c>
      <c r="Q1166" s="14"/>
      <c r="R1166" s="12" t="n">
        <f aca="false">IF(OR(N1166="",P1166=""),"",ROUND(N1166*O1166/P1166,1))</f>
        <v>4</v>
      </c>
      <c r="S1166" s="13" t="n">
        <f aca="false">IF(R1166="","",IF(Q1166="Y",1,IF(P1166&gt;='Read me'!$B$16,3,IF(AND(R1166&gt;='Read me'!$B$14,P1166&lt;='Read me'!$B$15),1,2))))</f>
        <v>2</v>
      </c>
    </row>
    <row r="1167" customFormat="false" ht="23.85" hidden="false" customHeight="false" outlineLevel="0" collapsed="false">
      <c r="A1167" s="11" t="s">
        <v>7269</v>
      </c>
      <c r="B1167" s="11" t="s">
        <v>41</v>
      </c>
      <c r="C1167" s="11" t="s">
        <v>275</v>
      </c>
      <c r="D1167" s="11" t="s">
        <v>276</v>
      </c>
      <c r="E1167" s="11" t="s">
        <v>626</v>
      </c>
      <c r="F1167" s="11" t="s">
        <v>7270</v>
      </c>
      <c r="G1167" s="11" t="s">
        <v>7271</v>
      </c>
      <c r="H1167" s="11"/>
      <c r="I1167" s="11" t="s">
        <v>7272</v>
      </c>
      <c r="J1167" s="11" t="s">
        <v>7273</v>
      </c>
      <c r="K1167" s="11" t="s">
        <v>7274</v>
      </c>
      <c r="L1167" s="11" t="s">
        <v>7275</v>
      </c>
      <c r="M1167" s="11" t="s">
        <v>7276</v>
      </c>
      <c r="N1167" s="14" t="n">
        <v>2</v>
      </c>
      <c r="O1167" s="14" t="n">
        <v>2</v>
      </c>
      <c r="P1167" s="14" t="n">
        <v>1</v>
      </c>
      <c r="Q1167" s="14"/>
      <c r="R1167" s="12" t="n">
        <f aca="false">IF(OR(N1167="",P1167=""),"",ROUND(N1167*O1167/P1167,1))</f>
        <v>4</v>
      </c>
      <c r="S1167" s="13" t="n">
        <f aca="false">IF(R1167="","",IF(Q1167="Y",1,IF(P1167&gt;='Read me'!$B$16,3,IF(AND(R1167&gt;='Read me'!$B$14,P1167&lt;='Read me'!$B$15),1,2))))</f>
        <v>2</v>
      </c>
    </row>
    <row r="1168" customFormat="false" ht="23.85" hidden="false" customHeight="false" outlineLevel="0" collapsed="false">
      <c r="A1168" s="11" t="s">
        <v>7277</v>
      </c>
      <c r="B1168" s="11" t="s">
        <v>41</v>
      </c>
      <c r="C1168" s="11" t="s">
        <v>275</v>
      </c>
      <c r="D1168" s="11" t="s">
        <v>276</v>
      </c>
      <c r="E1168" s="11" t="s">
        <v>626</v>
      </c>
      <c r="F1168" s="11" t="s">
        <v>7278</v>
      </c>
      <c r="G1168" s="11" t="s">
        <v>7279</v>
      </c>
      <c r="H1168" s="11"/>
      <c r="I1168" s="11" t="s">
        <v>7280</v>
      </c>
      <c r="J1168" s="11" t="s">
        <v>7281</v>
      </c>
      <c r="K1168" s="11" t="s">
        <v>7282</v>
      </c>
      <c r="L1168" s="11" t="s">
        <v>7283</v>
      </c>
      <c r="M1168" s="11"/>
      <c r="N1168" s="14" t="n">
        <v>1</v>
      </c>
      <c r="O1168" s="14" t="n">
        <v>2</v>
      </c>
      <c r="P1168" s="14" t="n">
        <v>1</v>
      </c>
      <c r="Q1168" s="14"/>
      <c r="R1168" s="12" t="n">
        <f aca="false">IF(OR(N1168="",P1168=""),"",ROUND(N1168*O1168/P1168,1))</f>
        <v>2</v>
      </c>
      <c r="S1168" s="13" t="n">
        <f aca="false">IF(R1168="","",IF(Q1168="Y",1,IF(P1168&gt;='Read me'!$B$16,3,IF(AND(R1168&gt;='Read me'!$B$14,P1168&lt;='Read me'!$B$15),1,2))))</f>
        <v>2</v>
      </c>
    </row>
    <row r="1169" customFormat="false" ht="23.85" hidden="false" customHeight="false" outlineLevel="0" collapsed="false">
      <c r="A1169" s="11" t="s">
        <v>7284</v>
      </c>
      <c r="B1169" s="11" t="s">
        <v>41</v>
      </c>
      <c r="C1169" s="11" t="s">
        <v>275</v>
      </c>
      <c r="D1169" s="11" t="s">
        <v>276</v>
      </c>
      <c r="E1169" s="11" t="s">
        <v>751</v>
      </c>
      <c r="F1169" s="11" t="s">
        <v>7285</v>
      </c>
      <c r="G1169" s="11" t="s">
        <v>1252</v>
      </c>
      <c r="H1169" s="11"/>
      <c r="I1169" s="11" t="s">
        <v>7286</v>
      </c>
      <c r="J1169" s="11" t="s">
        <v>7287</v>
      </c>
      <c r="K1169" s="11" t="s">
        <v>1254</v>
      </c>
      <c r="L1169" s="11" t="s">
        <v>7288</v>
      </c>
      <c r="M1169" s="11" t="s">
        <v>1577</v>
      </c>
      <c r="N1169" s="14" t="n">
        <v>2</v>
      </c>
      <c r="O1169" s="14" t="n">
        <v>3</v>
      </c>
      <c r="P1169" s="14" t="n">
        <v>3</v>
      </c>
      <c r="Q1169" s="14"/>
      <c r="R1169" s="12" t="n">
        <f aca="false">IF(OR(N1169="",P1169=""),"",ROUND(N1169*O1169/P1169,1))</f>
        <v>2</v>
      </c>
      <c r="S1169" s="13" t="n">
        <f aca="false">IF(R1169="","",IF(Q1169="Y",1,IF(P1169&gt;='Read me'!$B$16,3,IF(AND(R1169&gt;='Read me'!$B$14,P1169&lt;='Read me'!$B$15),1,2))))</f>
        <v>2</v>
      </c>
    </row>
    <row r="1170" customFormat="false" ht="23.85" hidden="false" customHeight="false" outlineLevel="0" collapsed="false">
      <c r="A1170" s="11" t="s">
        <v>7289</v>
      </c>
      <c r="B1170" s="11" t="s">
        <v>41</v>
      </c>
      <c r="C1170" s="11" t="s">
        <v>275</v>
      </c>
      <c r="D1170" s="11" t="s">
        <v>276</v>
      </c>
      <c r="E1170" s="11" t="s">
        <v>751</v>
      </c>
      <c r="F1170" s="11" t="s">
        <v>7285</v>
      </c>
      <c r="G1170" s="11" t="s">
        <v>2301</v>
      </c>
      <c r="H1170" s="11"/>
      <c r="I1170" s="11" t="s">
        <v>7290</v>
      </c>
      <c r="J1170" s="11" t="s">
        <v>7291</v>
      </c>
      <c r="K1170" s="11" t="s">
        <v>7292</v>
      </c>
      <c r="L1170" s="11" t="s">
        <v>7293</v>
      </c>
      <c r="M1170" s="11" t="s">
        <v>5306</v>
      </c>
      <c r="N1170" s="14" t="n">
        <v>1</v>
      </c>
      <c r="O1170" s="14" t="n">
        <v>2</v>
      </c>
      <c r="P1170" s="14" t="n">
        <v>2</v>
      </c>
      <c r="Q1170" s="14"/>
      <c r="R1170" s="12" t="n">
        <f aca="false">IF(OR(N1170="",P1170=""),"",ROUND(N1170*O1170/P1170,1))</f>
        <v>1</v>
      </c>
      <c r="S1170" s="13" t="n">
        <f aca="false">IF(R1170="","",IF(Q1170="Y",1,IF(P1170&gt;='Read me'!$B$16,3,IF(AND(R1170&gt;='Read me'!$B$14,P1170&lt;='Read me'!$B$15),1,2))))</f>
        <v>2</v>
      </c>
    </row>
    <row r="1171" customFormat="false" ht="35.05" hidden="false" customHeight="false" outlineLevel="0" collapsed="false">
      <c r="A1171" s="11" t="s">
        <v>7294</v>
      </c>
      <c r="B1171" s="11" t="s">
        <v>41</v>
      </c>
      <c r="C1171" s="11" t="s">
        <v>275</v>
      </c>
      <c r="D1171" s="11" t="s">
        <v>276</v>
      </c>
      <c r="E1171" s="11" t="s">
        <v>802</v>
      </c>
      <c r="F1171" s="11" t="s">
        <v>7295</v>
      </c>
      <c r="G1171" s="11" t="s">
        <v>5624</v>
      </c>
      <c r="H1171" s="11"/>
      <c r="I1171" s="11" t="s">
        <v>7296</v>
      </c>
      <c r="J1171" s="11" t="s">
        <v>7297</v>
      </c>
      <c r="K1171" s="11" t="s">
        <v>7298</v>
      </c>
      <c r="L1171" s="11" t="s">
        <v>7299</v>
      </c>
      <c r="M1171" s="11" t="s">
        <v>4716</v>
      </c>
      <c r="N1171" s="14" t="n">
        <v>1</v>
      </c>
      <c r="O1171" s="14" t="n">
        <v>3</v>
      </c>
      <c r="P1171" s="14" t="n">
        <v>2</v>
      </c>
      <c r="Q1171" s="14"/>
      <c r="R1171" s="12" t="n">
        <f aca="false">IF(OR(N1171="",P1171=""),"",ROUND(N1171*O1171/P1171,1))</f>
        <v>1.5</v>
      </c>
      <c r="S1171" s="13" t="n">
        <f aca="false">IF(R1171="","",IF(Q1171="Y",1,IF(P1171&gt;='Read me'!$B$16,3,IF(AND(R1171&gt;='Read me'!$B$14,P1171&lt;='Read me'!$B$15),1,2))))</f>
        <v>2</v>
      </c>
    </row>
    <row r="1172" customFormat="false" ht="35.05" hidden="false" customHeight="false" outlineLevel="0" collapsed="false">
      <c r="A1172" s="11" t="s">
        <v>7300</v>
      </c>
      <c r="B1172" s="11" t="s">
        <v>41</v>
      </c>
      <c r="C1172" s="11" t="s">
        <v>275</v>
      </c>
      <c r="D1172" s="11" t="s">
        <v>276</v>
      </c>
      <c r="E1172" s="11" t="s">
        <v>765</v>
      </c>
      <c r="F1172" s="11" t="s">
        <v>7301</v>
      </c>
      <c r="G1172" s="11" t="s">
        <v>7302</v>
      </c>
      <c r="H1172" s="11"/>
      <c r="I1172" s="11" t="s">
        <v>512</v>
      </c>
      <c r="J1172" s="11" t="s">
        <v>7303</v>
      </c>
      <c r="K1172" s="11" t="s">
        <v>7087</v>
      </c>
      <c r="L1172" s="11" t="s">
        <v>7304</v>
      </c>
      <c r="M1172" s="11" t="s">
        <v>7082</v>
      </c>
      <c r="N1172" s="14" t="n">
        <v>2</v>
      </c>
      <c r="O1172" s="14" t="n">
        <v>3</v>
      </c>
      <c r="P1172" s="14" t="n">
        <v>3</v>
      </c>
      <c r="Q1172" s="14"/>
      <c r="R1172" s="12" t="n">
        <f aca="false">IF(OR(N1172="",P1172=""),"",ROUND(N1172*O1172/P1172,1))</f>
        <v>2</v>
      </c>
      <c r="S1172" s="13" t="n">
        <f aca="false">IF(R1172="","",IF(Q1172="Y",1,IF(P1172&gt;='Read me'!$B$16,3,IF(AND(R1172&gt;='Read me'!$B$14,P1172&lt;='Read me'!$B$15),1,2))))</f>
        <v>2</v>
      </c>
    </row>
    <row r="1173" customFormat="false" ht="35.05" hidden="false" customHeight="false" outlineLevel="0" collapsed="false">
      <c r="A1173" s="11" t="s">
        <v>7305</v>
      </c>
      <c r="B1173" s="11" t="s">
        <v>41</v>
      </c>
      <c r="C1173" s="11" t="s">
        <v>275</v>
      </c>
      <c r="D1173" s="11" t="s">
        <v>276</v>
      </c>
      <c r="E1173" s="11" t="s">
        <v>765</v>
      </c>
      <c r="F1173" s="11" t="s">
        <v>7306</v>
      </c>
      <c r="G1173" s="11" t="s">
        <v>7307</v>
      </c>
      <c r="H1173" s="11"/>
      <c r="I1173" s="11" t="s">
        <v>7308</v>
      </c>
      <c r="J1173" s="11" t="s">
        <v>7309</v>
      </c>
      <c r="K1173" s="11" t="s">
        <v>7062</v>
      </c>
      <c r="L1173" s="11" t="s">
        <v>7310</v>
      </c>
      <c r="M1173" s="11" t="s">
        <v>7082</v>
      </c>
      <c r="N1173" s="14" t="n">
        <v>2</v>
      </c>
      <c r="O1173" s="14" t="n">
        <v>2</v>
      </c>
      <c r="P1173" s="14" t="n">
        <v>3</v>
      </c>
      <c r="Q1173" s="14"/>
      <c r="R1173" s="12" t="n">
        <f aca="false">IF(OR(N1173="",P1173=""),"",ROUND(N1173*O1173/P1173,1))</f>
        <v>1.3</v>
      </c>
      <c r="S1173" s="13" t="n">
        <f aca="false">IF(R1173="","",IF(Q1173="Y",1,IF(P1173&gt;='Read me'!$B$16,3,IF(AND(R1173&gt;='Read me'!$B$14,P1173&lt;='Read me'!$B$15),1,2))))</f>
        <v>2</v>
      </c>
    </row>
    <row r="1174" customFormat="false" ht="23.85" hidden="false" customHeight="false" outlineLevel="0" collapsed="false">
      <c r="A1174" s="11" t="s">
        <v>7311</v>
      </c>
      <c r="B1174" s="11" t="s">
        <v>41</v>
      </c>
      <c r="C1174" s="11" t="s">
        <v>275</v>
      </c>
      <c r="D1174" s="11" t="s">
        <v>276</v>
      </c>
      <c r="E1174" s="11" t="s">
        <v>1187</v>
      </c>
      <c r="F1174" s="11" t="s">
        <v>7312</v>
      </c>
      <c r="G1174" s="11" t="s">
        <v>7313</v>
      </c>
      <c r="H1174" s="11" t="s">
        <v>7314</v>
      </c>
      <c r="I1174" s="11" t="s">
        <v>7315</v>
      </c>
      <c r="J1174" s="11" t="s">
        <v>7316</v>
      </c>
      <c r="K1174" s="11" t="s">
        <v>7317</v>
      </c>
      <c r="L1174" s="11" t="s">
        <v>7318</v>
      </c>
      <c r="M1174" s="11"/>
      <c r="N1174" s="14" t="n">
        <v>2</v>
      </c>
      <c r="O1174" s="14" t="n">
        <v>2</v>
      </c>
      <c r="P1174" s="14" t="n">
        <v>2</v>
      </c>
      <c r="Q1174" s="14"/>
      <c r="R1174" s="12" t="n">
        <f aca="false">IF(OR(N1174="",P1174=""),"",ROUND(N1174*O1174/P1174,1))</f>
        <v>2</v>
      </c>
      <c r="S1174" s="13" t="n">
        <f aca="false">IF(R1174="","",IF(Q1174="Y",1,IF(P1174&gt;='Read me'!$B$16,3,IF(AND(R1174&gt;='Read me'!$B$14,P1174&lt;='Read me'!$B$15),1,2))))</f>
        <v>2</v>
      </c>
    </row>
    <row r="1175" customFormat="false" ht="23.85" hidden="false" customHeight="false" outlineLevel="0" collapsed="false">
      <c r="A1175" s="11" t="s">
        <v>7319</v>
      </c>
      <c r="B1175" s="11" t="s">
        <v>41</v>
      </c>
      <c r="C1175" s="11" t="s">
        <v>275</v>
      </c>
      <c r="D1175" s="11" t="s">
        <v>276</v>
      </c>
      <c r="E1175" s="11" t="s">
        <v>1187</v>
      </c>
      <c r="F1175" s="11" t="s">
        <v>7320</v>
      </c>
      <c r="G1175" s="11" t="s">
        <v>6573</v>
      </c>
      <c r="H1175" s="11" t="s">
        <v>6573</v>
      </c>
      <c r="I1175" s="11" t="s">
        <v>7321</v>
      </c>
      <c r="J1175" s="11" t="s">
        <v>7322</v>
      </c>
      <c r="K1175" s="11" t="s">
        <v>935</v>
      </c>
      <c r="L1175" s="11" t="s">
        <v>7323</v>
      </c>
      <c r="M1175" s="11"/>
      <c r="N1175" s="14" t="n">
        <v>1</v>
      </c>
      <c r="O1175" s="14" t="n">
        <v>2</v>
      </c>
      <c r="P1175" s="14" t="n">
        <v>1</v>
      </c>
      <c r="Q1175" s="14"/>
      <c r="R1175" s="12" t="n">
        <f aca="false">IF(OR(N1175="",P1175=""),"",ROUND(N1175*O1175/P1175,1))</f>
        <v>2</v>
      </c>
      <c r="S1175" s="13" t="n">
        <f aca="false">IF(R1175="","",IF(Q1175="Y",1,IF(P1175&gt;='Read me'!$B$16,3,IF(AND(R1175&gt;='Read me'!$B$14,P1175&lt;='Read me'!$B$15),1,2))))</f>
        <v>2</v>
      </c>
    </row>
    <row r="1176" customFormat="false" ht="35.05" hidden="false" customHeight="false" outlineLevel="0" collapsed="false">
      <c r="A1176" s="11" t="s">
        <v>7324</v>
      </c>
      <c r="B1176" s="11" t="s">
        <v>41</v>
      </c>
      <c r="C1176" s="11" t="s">
        <v>275</v>
      </c>
      <c r="D1176" s="11" t="s">
        <v>276</v>
      </c>
      <c r="E1176" s="11" t="s">
        <v>1187</v>
      </c>
      <c r="F1176" s="11" t="s">
        <v>7325</v>
      </c>
      <c r="G1176" s="11" t="s">
        <v>7326</v>
      </c>
      <c r="H1176" s="11"/>
      <c r="I1176" s="11" t="s">
        <v>7327</v>
      </c>
      <c r="J1176" s="11" t="s">
        <v>7328</v>
      </c>
      <c r="K1176" s="11" t="s">
        <v>916</v>
      </c>
      <c r="L1176" s="11" t="s">
        <v>7329</v>
      </c>
      <c r="M1176" s="11" t="s">
        <v>7082</v>
      </c>
      <c r="N1176" s="14" t="n">
        <v>1</v>
      </c>
      <c r="O1176" s="14" t="n">
        <v>2</v>
      </c>
      <c r="P1176" s="14" t="n">
        <v>3</v>
      </c>
      <c r="Q1176" s="14"/>
      <c r="R1176" s="12" t="n">
        <f aca="false">IF(OR(N1176="",P1176=""),"",ROUND(N1176*O1176/P1176,1))</f>
        <v>0.7</v>
      </c>
      <c r="S1176" s="13" t="n">
        <f aca="false">IF(R1176="","",IF(Q1176="Y",1,IF(P1176&gt;='Read me'!$B$16,3,IF(AND(R1176&gt;='Read me'!$B$14,P1176&lt;='Read me'!$B$15),1,2))))</f>
        <v>2</v>
      </c>
    </row>
    <row r="1177" customFormat="false" ht="23.85" hidden="false" customHeight="false" outlineLevel="0" collapsed="false">
      <c r="A1177" s="11" t="s">
        <v>7330</v>
      </c>
      <c r="B1177" s="11" t="s">
        <v>41</v>
      </c>
      <c r="C1177" s="11" t="s">
        <v>278</v>
      </c>
      <c r="D1177" s="11" t="s">
        <v>279</v>
      </c>
      <c r="E1177" s="11" t="s">
        <v>476</v>
      </c>
      <c r="F1177" s="11" t="s">
        <v>7331</v>
      </c>
      <c r="G1177" s="11" t="s">
        <v>511</v>
      </c>
      <c r="H1177" s="11"/>
      <c r="I1177" s="11" t="s">
        <v>7332</v>
      </c>
      <c r="J1177" s="11" t="s">
        <v>7333</v>
      </c>
      <c r="K1177" s="11" t="s">
        <v>7334</v>
      </c>
      <c r="L1177" s="11" t="s">
        <v>7035</v>
      </c>
      <c r="M1177" s="11" t="s">
        <v>7335</v>
      </c>
      <c r="N1177" s="14" t="n">
        <v>4</v>
      </c>
      <c r="O1177" s="14" t="n">
        <v>4</v>
      </c>
      <c r="P1177" s="14" t="n">
        <v>2</v>
      </c>
      <c r="Q1177" s="14"/>
      <c r="R1177" s="12" t="n">
        <f aca="false">IF(OR(N1177="",P1177=""),"",ROUND(N1177*O1177/P1177,1))</f>
        <v>8</v>
      </c>
      <c r="S1177" s="13" t="n">
        <f aca="false">IF(R1177="","",IF(Q1177="Y",1,IF(P1177&gt;='Read me'!$B$16,3,IF(AND(R1177&gt;='Read me'!$B$14,P1177&lt;='Read me'!$B$15),1,2))))</f>
        <v>1</v>
      </c>
    </row>
    <row r="1178" customFormat="false" ht="23.85" hidden="false" customHeight="false" outlineLevel="0" collapsed="false">
      <c r="A1178" s="11" t="s">
        <v>7336</v>
      </c>
      <c r="B1178" s="11" t="s">
        <v>41</v>
      </c>
      <c r="C1178" s="11" t="s">
        <v>278</v>
      </c>
      <c r="D1178" s="11" t="s">
        <v>279</v>
      </c>
      <c r="E1178" s="11" t="s">
        <v>476</v>
      </c>
      <c r="F1178" s="11" t="s">
        <v>7337</v>
      </c>
      <c r="G1178" s="11" t="s">
        <v>7338</v>
      </c>
      <c r="H1178" s="11"/>
      <c r="I1178" s="11" t="s">
        <v>512</v>
      </c>
      <c r="J1178" s="11" t="s">
        <v>7339</v>
      </c>
      <c r="K1178" s="11" t="s">
        <v>7340</v>
      </c>
      <c r="L1178" s="11" t="s">
        <v>7341</v>
      </c>
      <c r="M1178" s="11"/>
      <c r="N1178" s="14" t="n">
        <v>4</v>
      </c>
      <c r="O1178" s="14" t="n">
        <v>5</v>
      </c>
      <c r="P1178" s="14" t="n">
        <v>1</v>
      </c>
      <c r="Q1178" s="14"/>
      <c r="R1178" s="12" t="n">
        <f aca="false">IF(OR(N1178="",P1178=""),"",ROUND(N1178*O1178/P1178,1))</f>
        <v>20</v>
      </c>
      <c r="S1178" s="13" t="n">
        <f aca="false">IF(R1178="","",IF(Q1178="Y",1,IF(P1178&gt;='Read me'!$B$16,3,IF(AND(R1178&gt;='Read me'!$B$14,P1178&lt;='Read me'!$B$15),1,2))))</f>
        <v>1</v>
      </c>
    </row>
    <row r="1179" customFormat="false" ht="35.05" hidden="false" customHeight="false" outlineLevel="0" collapsed="false">
      <c r="A1179" s="11" t="s">
        <v>7342</v>
      </c>
      <c r="B1179" s="11" t="s">
        <v>41</v>
      </c>
      <c r="C1179" s="11" t="s">
        <v>278</v>
      </c>
      <c r="D1179" s="11" t="s">
        <v>279</v>
      </c>
      <c r="E1179" s="11" t="s">
        <v>476</v>
      </c>
      <c r="F1179" s="11" t="s">
        <v>7343</v>
      </c>
      <c r="G1179" s="11" t="s">
        <v>7344</v>
      </c>
      <c r="H1179" s="11"/>
      <c r="I1179" s="11" t="s">
        <v>512</v>
      </c>
      <c r="J1179" s="11" t="s">
        <v>7345</v>
      </c>
      <c r="K1179" s="11" t="s">
        <v>7346</v>
      </c>
      <c r="L1179" s="11" t="s">
        <v>7347</v>
      </c>
      <c r="M1179" s="11" t="s">
        <v>4716</v>
      </c>
      <c r="N1179" s="14" t="n">
        <v>2</v>
      </c>
      <c r="O1179" s="14" t="n">
        <v>5</v>
      </c>
      <c r="P1179" s="14" t="n">
        <v>2</v>
      </c>
      <c r="Q1179" s="14"/>
      <c r="R1179" s="12" t="n">
        <f aca="false">IF(OR(N1179="",P1179=""),"",ROUND(N1179*O1179/P1179,1))</f>
        <v>5</v>
      </c>
      <c r="S1179" s="13" t="n">
        <f aca="false">IF(R1179="","",IF(Q1179="Y",1,IF(P1179&gt;='Read me'!$B$16,3,IF(AND(R1179&gt;='Read me'!$B$14,P1179&lt;='Read me'!$B$15),1,2))))</f>
        <v>2</v>
      </c>
    </row>
    <row r="1180" customFormat="false" ht="23.85" hidden="false" customHeight="false" outlineLevel="0" collapsed="false">
      <c r="A1180" s="11" t="s">
        <v>7348</v>
      </c>
      <c r="B1180" s="11" t="s">
        <v>41</v>
      </c>
      <c r="C1180" s="11" t="s">
        <v>278</v>
      </c>
      <c r="D1180" s="11" t="s">
        <v>279</v>
      </c>
      <c r="E1180" s="11" t="s">
        <v>626</v>
      </c>
      <c r="F1180" s="11" t="s">
        <v>7349</v>
      </c>
      <c r="G1180" s="11" t="s">
        <v>7350</v>
      </c>
      <c r="H1180" s="11"/>
      <c r="I1180" s="11" t="s">
        <v>7351</v>
      </c>
      <c r="J1180" s="11" t="s">
        <v>7352</v>
      </c>
      <c r="K1180" s="11" t="s">
        <v>7353</v>
      </c>
      <c r="L1180" s="11" t="s">
        <v>7354</v>
      </c>
      <c r="M1180" s="11"/>
      <c r="N1180" s="14" t="n">
        <v>3</v>
      </c>
      <c r="O1180" s="14" t="n">
        <v>3</v>
      </c>
      <c r="P1180" s="14" t="n">
        <v>2</v>
      </c>
      <c r="Q1180" s="14"/>
      <c r="R1180" s="12" t="n">
        <f aca="false">IF(OR(N1180="",P1180=""),"",ROUND(N1180*O1180/P1180,1))</f>
        <v>4.5</v>
      </c>
      <c r="S1180" s="13" t="n">
        <f aca="false">IF(R1180="","",IF(Q1180="Y",1,IF(P1180&gt;='Read me'!$B$16,3,IF(AND(R1180&gt;='Read me'!$B$14,P1180&lt;='Read me'!$B$15),1,2))))</f>
        <v>2</v>
      </c>
    </row>
    <row r="1181" customFormat="false" ht="23.85" hidden="false" customHeight="false" outlineLevel="0" collapsed="false">
      <c r="A1181" s="11" t="s">
        <v>7355</v>
      </c>
      <c r="B1181" s="11" t="s">
        <v>41</v>
      </c>
      <c r="C1181" s="11" t="s">
        <v>278</v>
      </c>
      <c r="D1181" s="11" t="s">
        <v>279</v>
      </c>
      <c r="E1181" s="11" t="s">
        <v>751</v>
      </c>
      <c r="F1181" s="11" t="s">
        <v>7356</v>
      </c>
      <c r="G1181" s="11" t="s">
        <v>7357</v>
      </c>
      <c r="H1181" s="11"/>
      <c r="I1181" s="11" t="s">
        <v>7358</v>
      </c>
      <c r="J1181" s="11" t="s">
        <v>7359</v>
      </c>
      <c r="K1181" s="11" t="s">
        <v>6951</v>
      </c>
      <c r="L1181" s="11" t="s">
        <v>7360</v>
      </c>
      <c r="M1181" s="11" t="s">
        <v>1577</v>
      </c>
      <c r="N1181" s="14" t="n">
        <v>2</v>
      </c>
      <c r="O1181" s="14" t="n">
        <v>3</v>
      </c>
      <c r="P1181" s="14" t="n">
        <v>3</v>
      </c>
      <c r="Q1181" s="14"/>
      <c r="R1181" s="12" t="n">
        <f aca="false">IF(OR(N1181="",P1181=""),"",ROUND(N1181*O1181/P1181,1))</f>
        <v>2</v>
      </c>
      <c r="S1181" s="13" t="n">
        <f aca="false">IF(R1181="","",IF(Q1181="Y",1,IF(P1181&gt;='Read me'!$B$16,3,IF(AND(R1181&gt;='Read me'!$B$14,P1181&lt;='Read me'!$B$15),1,2))))</f>
        <v>2</v>
      </c>
    </row>
    <row r="1182" customFormat="false" ht="23.85" hidden="false" customHeight="false" outlineLevel="0" collapsed="false">
      <c r="A1182" s="11" t="s">
        <v>7361</v>
      </c>
      <c r="B1182" s="11" t="s">
        <v>41</v>
      </c>
      <c r="C1182" s="11" t="s">
        <v>278</v>
      </c>
      <c r="D1182" s="11" t="s">
        <v>279</v>
      </c>
      <c r="E1182" s="11" t="s">
        <v>765</v>
      </c>
      <c r="F1182" s="11" t="s">
        <v>7362</v>
      </c>
      <c r="G1182" s="11" t="s">
        <v>7363</v>
      </c>
      <c r="H1182" s="11"/>
      <c r="I1182" s="11" t="s">
        <v>7364</v>
      </c>
      <c r="J1182" s="11" t="s">
        <v>7365</v>
      </c>
      <c r="K1182" s="11" t="s">
        <v>7366</v>
      </c>
      <c r="L1182" s="11" t="s">
        <v>4535</v>
      </c>
      <c r="M1182" s="11"/>
      <c r="N1182" s="14" t="n">
        <v>3</v>
      </c>
      <c r="O1182" s="14" t="n">
        <v>4</v>
      </c>
      <c r="P1182" s="14" t="n">
        <v>2</v>
      </c>
      <c r="Q1182" s="14"/>
      <c r="R1182" s="12" t="n">
        <f aca="false">IF(OR(N1182="",P1182=""),"",ROUND(N1182*O1182/P1182,1))</f>
        <v>6</v>
      </c>
      <c r="S1182" s="13" t="n">
        <f aca="false">IF(R1182="","",IF(Q1182="Y",1,IF(P1182&gt;='Read me'!$B$16,3,IF(AND(R1182&gt;='Read me'!$B$14,P1182&lt;='Read me'!$B$15),1,2))))</f>
        <v>1</v>
      </c>
    </row>
    <row r="1183" customFormat="false" ht="35.05" hidden="false" customHeight="false" outlineLevel="0" collapsed="false">
      <c r="A1183" s="11" t="s">
        <v>7367</v>
      </c>
      <c r="B1183" s="11" t="s">
        <v>41</v>
      </c>
      <c r="C1183" s="11" t="s">
        <v>278</v>
      </c>
      <c r="D1183" s="11" t="s">
        <v>279</v>
      </c>
      <c r="E1183" s="11" t="s">
        <v>765</v>
      </c>
      <c r="F1183" s="11" t="s">
        <v>7368</v>
      </c>
      <c r="G1183" s="11" t="s">
        <v>7369</v>
      </c>
      <c r="H1183" s="11"/>
      <c r="I1183" s="11" t="s">
        <v>512</v>
      </c>
      <c r="J1183" s="11" t="s">
        <v>7370</v>
      </c>
      <c r="K1183" s="11" t="s">
        <v>7087</v>
      </c>
      <c r="L1183" s="11" t="s">
        <v>7371</v>
      </c>
      <c r="M1183" s="11" t="s">
        <v>7082</v>
      </c>
      <c r="N1183" s="14" t="n">
        <v>3</v>
      </c>
      <c r="O1183" s="14" t="n">
        <v>4</v>
      </c>
      <c r="P1183" s="14" t="n">
        <v>3</v>
      </c>
      <c r="Q1183" s="14"/>
      <c r="R1183" s="12" t="n">
        <f aca="false">IF(OR(N1183="",P1183=""),"",ROUND(N1183*O1183/P1183,1))</f>
        <v>4</v>
      </c>
      <c r="S1183" s="13" t="n">
        <f aca="false">IF(R1183="","",IF(Q1183="Y",1,IF(P1183&gt;='Read me'!$B$16,3,IF(AND(R1183&gt;='Read me'!$B$14,P1183&lt;='Read me'!$B$15),1,2))))</f>
        <v>2</v>
      </c>
    </row>
    <row r="1184" customFormat="false" ht="23.85" hidden="false" customHeight="false" outlineLevel="0" collapsed="false">
      <c r="A1184" s="11" t="s">
        <v>7372</v>
      </c>
      <c r="B1184" s="11" t="s">
        <v>41</v>
      </c>
      <c r="C1184" s="11" t="s">
        <v>278</v>
      </c>
      <c r="D1184" s="11" t="s">
        <v>279</v>
      </c>
      <c r="E1184" s="11" t="s">
        <v>765</v>
      </c>
      <c r="F1184" s="11" t="s">
        <v>7373</v>
      </c>
      <c r="G1184" s="11" t="s">
        <v>7374</v>
      </c>
      <c r="H1184" s="11"/>
      <c r="I1184" s="11" t="s">
        <v>7375</v>
      </c>
      <c r="J1184" s="11" t="s">
        <v>7376</v>
      </c>
      <c r="K1184" s="11" t="s">
        <v>7377</v>
      </c>
      <c r="L1184" s="11" t="s">
        <v>7378</v>
      </c>
      <c r="M1184" s="11"/>
      <c r="N1184" s="14" t="n">
        <v>1</v>
      </c>
      <c r="O1184" s="14" t="n">
        <v>1</v>
      </c>
      <c r="P1184" s="14" t="n">
        <v>1</v>
      </c>
      <c r="Q1184" s="14"/>
      <c r="R1184" s="12" t="n">
        <f aca="false">IF(OR(N1184="",P1184=""),"",ROUND(N1184*O1184/P1184,1))</f>
        <v>1</v>
      </c>
      <c r="S1184" s="13" t="n">
        <f aca="false">IF(R1184="","",IF(Q1184="Y",1,IF(P1184&gt;='Read me'!$B$16,3,IF(AND(R1184&gt;='Read me'!$B$14,P1184&lt;='Read me'!$B$15),1,2))))</f>
        <v>2</v>
      </c>
    </row>
    <row r="1185" customFormat="false" ht="23.85" hidden="false" customHeight="false" outlineLevel="0" collapsed="false">
      <c r="A1185" s="11" t="s">
        <v>7379</v>
      </c>
      <c r="B1185" s="11" t="s">
        <v>41</v>
      </c>
      <c r="C1185" s="11" t="s">
        <v>278</v>
      </c>
      <c r="D1185" s="11" t="s">
        <v>279</v>
      </c>
      <c r="E1185" s="11" t="s">
        <v>1187</v>
      </c>
      <c r="F1185" s="11" t="s">
        <v>7380</v>
      </c>
      <c r="G1185" s="11" t="s">
        <v>7381</v>
      </c>
      <c r="H1185" s="11" t="s">
        <v>7382</v>
      </c>
      <c r="I1185" s="11" t="s">
        <v>7383</v>
      </c>
      <c r="J1185" s="11" t="s">
        <v>7384</v>
      </c>
      <c r="K1185" s="11" t="s">
        <v>1417</v>
      </c>
      <c r="L1185" s="11" t="s">
        <v>7385</v>
      </c>
      <c r="M1185" s="11"/>
      <c r="N1185" s="14" t="n">
        <v>2</v>
      </c>
      <c r="O1185" s="14" t="n">
        <v>3</v>
      </c>
      <c r="P1185" s="14" t="n">
        <v>3</v>
      </c>
      <c r="Q1185" s="14"/>
      <c r="R1185" s="12" t="n">
        <f aca="false">IF(OR(N1185="",P1185=""),"",ROUND(N1185*O1185/P1185,1))</f>
        <v>2</v>
      </c>
      <c r="S1185" s="13" t="n">
        <f aca="false">IF(R1185="","",IF(Q1185="Y",1,IF(P1185&gt;='Read me'!$B$16,3,IF(AND(R1185&gt;='Read me'!$B$14,P1185&lt;='Read me'!$B$15),1,2))))</f>
        <v>2</v>
      </c>
    </row>
    <row r="1186" customFormat="false" ht="23.85" hidden="false" customHeight="false" outlineLevel="0" collapsed="false">
      <c r="A1186" s="11" t="s">
        <v>7386</v>
      </c>
      <c r="B1186" s="11" t="s">
        <v>41</v>
      </c>
      <c r="C1186" s="11" t="s">
        <v>278</v>
      </c>
      <c r="D1186" s="11" t="s">
        <v>279</v>
      </c>
      <c r="E1186" s="11" t="s">
        <v>1187</v>
      </c>
      <c r="F1186" s="11" t="s">
        <v>7387</v>
      </c>
      <c r="G1186" s="11" t="s">
        <v>7388</v>
      </c>
      <c r="H1186" s="11" t="s">
        <v>7389</v>
      </c>
      <c r="I1186" s="11" t="s">
        <v>7390</v>
      </c>
      <c r="J1186" s="11" t="s">
        <v>7391</v>
      </c>
      <c r="K1186" s="11" t="s">
        <v>4114</v>
      </c>
      <c r="L1186" s="11" t="s">
        <v>7035</v>
      </c>
      <c r="M1186" s="11"/>
      <c r="N1186" s="14" t="n">
        <v>2</v>
      </c>
      <c r="O1186" s="14" t="n">
        <v>3</v>
      </c>
      <c r="P1186" s="14" t="n">
        <v>2</v>
      </c>
      <c r="Q1186" s="14"/>
      <c r="R1186" s="12" t="n">
        <f aca="false">IF(OR(N1186="",P1186=""),"",ROUND(N1186*O1186/P1186,1))</f>
        <v>3</v>
      </c>
      <c r="S1186" s="13" t="n">
        <f aca="false">IF(R1186="","",IF(Q1186="Y",1,IF(P1186&gt;='Read me'!$B$16,3,IF(AND(R1186&gt;='Read me'!$B$14,P1186&lt;='Read me'!$B$15),1,2))))</f>
        <v>2</v>
      </c>
    </row>
    <row r="1187" customFormat="false" ht="23.85" hidden="false" customHeight="false" outlineLevel="0" collapsed="false">
      <c r="A1187" s="11" t="s">
        <v>7392</v>
      </c>
      <c r="B1187" s="11" t="s">
        <v>41</v>
      </c>
      <c r="C1187" s="11" t="s">
        <v>278</v>
      </c>
      <c r="D1187" s="11" t="s">
        <v>279</v>
      </c>
      <c r="E1187" s="11" t="s">
        <v>1187</v>
      </c>
      <c r="F1187" s="11" t="s">
        <v>7393</v>
      </c>
      <c r="G1187" s="11" t="s">
        <v>7394</v>
      </c>
      <c r="H1187" s="11" t="s">
        <v>7395</v>
      </c>
      <c r="I1187" s="11" t="s">
        <v>7396</v>
      </c>
      <c r="J1187" s="11" t="s">
        <v>7397</v>
      </c>
      <c r="K1187" s="11" t="s">
        <v>675</v>
      </c>
      <c r="L1187" s="11" t="s">
        <v>7398</v>
      </c>
      <c r="M1187" s="11"/>
      <c r="N1187" s="14" t="n">
        <v>1</v>
      </c>
      <c r="O1187" s="14" t="n">
        <v>3</v>
      </c>
      <c r="P1187" s="14" t="n">
        <v>2</v>
      </c>
      <c r="Q1187" s="14"/>
      <c r="R1187" s="12" t="n">
        <f aca="false">IF(OR(N1187="",P1187=""),"",ROUND(N1187*O1187/P1187,1))</f>
        <v>1.5</v>
      </c>
      <c r="S1187" s="13" t="n">
        <f aca="false">IF(R1187="","",IF(Q1187="Y",1,IF(P1187&gt;='Read me'!$B$16,3,IF(AND(R1187&gt;='Read me'!$B$14,P1187&lt;='Read me'!$B$15),1,2))))</f>
        <v>2</v>
      </c>
    </row>
    <row r="1188" customFormat="false" ht="23.85" hidden="false" customHeight="false" outlineLevel="0" collapsed="false">
      <c r="A1188" s="11" t="s">
        <v>7399</v>
      </c>
      <c r="B1188" s="11" t="s">
        <v>41</v>
      </c>
      <c r="C1188" s="11" t="s">
        <v>278</v>
      </c>
      <c r="D1188" s="11" t="s">
        <v>279</v>
      </c>
      <c r="E1188" s="11" t="s">
        <v>1187</v>
      </c>
      <c r="F1188" s="11" t="s">
        <v>7400</v>
      </c>
      <c r="G1188" s="11" t="s">
        <v>7401</v>
      </c>
      <c r="H1188" s="11" t="s">
        <v>7402</v>
      </c>
      <c r="I1188" s="11" t="s">
        <v>7403</v>
      </c>
      <c r="J1188" s="11" t="s">
        <v>7404</v>
      </c>
      <c r="K1188" s="11" t="s">
        <v>7405</v>
      </c>
      <c r="L1188" s="11" t="s">
        <v>7354</v>
      </c>
      <c r="M1188" s="11"/>
      <c r="N1188" s="14" t="n">
        <v>1</v>
      </c>
      <c r="O1188" s="14" t="n">
        <v>3</v>
      </c>
      <c r="P1188" s="14" t="n">
        <v>2</v>
      </c>
      <c r="Q1188" s="14"/>
      <c r="R1188" s="12" t="n">
        <f aca="false">IF(OR(N1188="",P1188=""),"",ROUND(N1188*O1188/P1188,1))</f>
        <v>1.5</v>
      </c>
      <c r="S1188" s="13" t="n">
        <f aca="false">IF(R1188="","",IF(Q1188="Y",1,IF(P1188&gt;='Read me'!$B$16,3,IF(AND(R1188&gt;='Read me'!$B$14,P1188&lt;='Read me'!$B$15),1,2))))</f>
        <v>2</v>
      </c>
    </row>
    <row r="1189" customFormat="false" ht="23.85" hidden="false" customHeight="false" outlineLevel="0" collapsed="false">
      <c r="A1189" s="11" t="s">
        <v>7406</v>
      </c>
      <c r="B1189" s="11" t="s">
        <v>41</v>
      </c>
      <c r="C1189" s="11" t="s">
        <v>278</v>
      </c>
      <c r="D1189" s="11" t="s">
        <v>279</v>
      </c>
      <c r="E1189" s="11" t="s">
        <v>1372</v>
      </c>
      <c r="F1189" s="11" t="s">
        <v>7407</v>
      </c>
      <c r="G1189" s="11" t="s">
        <v>7408</v>
      </c>
      <c r="H1189" s="11"/>
      <c r="I1189" s="11" t="s">
        <v>7409</v>
      </c>
      <c r="J1189" s="11" t="s">
        <v>7410</v>
      </c>
      <c r="K1189" s="11" t="s">
        <v>1061</v>
      </c>
      <c r="L1189" s="11" t="s">
        <v>7378</v>
      </c>
      <c r="M1189" s="11"/>
      <c r="N1189" s="14" t="n">
        <v>2</v>
      </c>
      <c r="O1189" s="14" t="n">
        <v>2</v>
      </c>
      <c r="P1189" s="14" t="n">
        <v>1</v>
      </c>
      <c r="Q1189" s="14"/>
      <c r="R1189" s="12" t="n">
        <f aca="false">IF(OR(N1189="",P1189=""),"",ROUND(N1189*O1189/P1189,1))</f>
        <v>4</v>
      </c>
      <c r="S1189" s="13" t="n">
        <f aca="false">IF(R1189="","",IF(Q1189="Y",1,IF(P1189&gt;='Read me'!$B$16,3,IF(AND(R1189&gt;='Read me'!$B$14,P1189&lt;='Read me'!$B$15),1,2))))</f>
        <v>2</v>
      </c>
    </row>
    <row r="1190" customFormat="false" ht="23.85" hidden="false" customHeight="false" outlineLevel="0" collapsed="false">
      <c r="A1190" s="11" t="s">
        <v>7411</v>
      </c>
      <c r="B1190" s="11" t="s">
        <v>41</v>
      </c>
      <c r="C1190" s="11" t="s">
        <v>283</v>
      </c>
      <c r="D1190" s="11" t="s">
        <v>284</v>
      </c>
      <c r="E1190" s="11" t="s">
        <v>751</v>
      </c>
      <c r="F1190" s="11" t="s">
        <v>7412</v>
      </c>
      <c r="G1190" s="11" t="s">
        <v>7413</v>
      </c>
      <c r="H1190" s="11"/>
      <c r="I1190" s="11" t="s">
        <v>7414</v>
      </c>
      <c r="J1190" s="11" t="s">
        <v>7415</v>
      </c>
      <c r="K1190" s="11" t="s">
        <v>1254</v>
      </c>
      <c r="L1190" s="11" t="s">
        <v>7416</v>
      </c>
      <c r="M1190" s="11" t="s">
        <v>1577</v>
      </c>
      <c r="N1190" s="14" t="n">
        <v>3</v>
      </c>
      <c r="O1190" s="14" t="n">
        <v>4</v>
      </c>
      <c r="P1190" s="14" t="n">
        <v>3</v>
      </c>
      <c r="Q1190" s="14"/>
      <c r="R1190" s="12" t="n">
        <f aca="false">IF(OR(N1190="",P1190=""),"",ROUND(N1190*O1190/P1190,1))</f>
        <v>4</v>
      </c>
      <c r="S1190" s="13" t="n">
        <f aca="false">IF(R1190="","",IF(Q1190="Y",1,IF(P1190&gt;='Read me'!$B$16,3,IF(AND(R1190&gt;='Read me'!$B$14,P1190&lt;='Read me'!$B$15),1,2))))</f>
        <v>2</v>
      </c>
    </row>
    <row r="1191" customFormat="false" ht="46.25" hidden="false" customHeight="false" outlineLevel="0" collapsed="false">
      <c r="A1191" s="11" t="s">
        <v>7417</v>
      </c>
      <c r="B1191" s="11" t="s">
        <v>41</v>
      </c>
      <c r="C1191" s="11" t="s">
        <v>283</v>
      </c>
      <c r="D1191" s="11" t="s">
        <v>284</v>
      </c>
      <c r="E1191" s="11" t="s">
        <v>751</v>
      </c>
      <c r="F1191" s="11" t="s">
        <v>7418</v>
      </c>
      <c r="G1191" s="11" t="s">
        <v>7419</v>
      </c>
      <c r="H1191" s="11"/>
      <c r="I1191" s="11" t="s">
        <v>7420</v>
      </c>
      <c r="J1191" s="11" t="s">
        <v>7421</v>
      </c>
      <c r="K1191" s="11" t="s">
        <v>5634</v>
      </c>
      <c r="L1191" s="11" t="s">
        <v>7422</v>
      </c>
      <c r="M1191" s="11" t="s">
        <v>7423</v>
      </c>
      <c r="N1191" s="14" t="n">
        <v>3</v>
      </c>
      <c r="O1191" s="14" t="n">
        <v>4</v>
      </c>
      <c r="P1191" s="14" t="n">
        <v>3</v>
      </c>
      <c r="Q1191" s="14"/>
      <c r="R1191" s="12" t="n">
        <f aca="false">IF(OR(N1191="",P1191=""),"",ROUND(N1191*O1191/P1191,1))</f>
        <v>4</v>
      </c>
      <c r="S1191" s="13" t="n">
        <f aca="false">IF(R1191="","",IF(Q1191="Y",1,IF(P1191&gt;='Read me'!$B$16,3,IF(AND(R1191&gt;='Read me'!$B$14,P1191&lt;='Read me'!$B$15),1,2))))</f>
        <v>2</v>
      </c>
    </row>
    <row r="1192" customFormat="false" ht="23.85" hidden="false" customHeight="false" outlineLevel="0" collapsed="false">
      <c r="A1192" s="11" t="s">
        <v>7424</v>
      </c>
      <c r="B1192" s="11" t="s">
        <v>41</v>
      </c>
      <c r="C1192" s="11" t="s">
        <v>283</v>
      </c>
      <c r="D1192" s="11" t="s">
        <v>284</v>
      </c>
      <c r="E1192" s="11" t="s">
        <v>751</v>
      </c>
      <c r="F1192" s="11" t="s">
        <v>7425</v>
      </c>
      <c r="G1192" s="11" t="s">
        <v>7419</v>
      </c>
      <c r="H1192" s="11" t="s">
        <v>1259</v>
      </c>
      <c r="I1192" s="11" t="s">
        <v>512</v>
      </c>
      <c r="J1192" s="11" t="s">
        <v>7426</v>
      </c>
      <c r="K1192" s="11" t="s">
        <v>4793</v>
      </c>
      <c r="L1192" s="11" t="s">
        <v>7427</v>
      </c>
      <c r="M1192" s="11"/>
      <c r="N1192" s="14" t="n">
        <v>2</v>
      </c>
      <c r="O1192" s="14" t="n">
        <v>3</v>
      </c>
      <c r="P1192" s="14" t="n">
        <v>3</v>
      </c>
      <c r="Q1192" s="14"/>
      <c r="R1192" s="12" t="n">
        <f aca="false">IF(OR(N1192="",P1192=""),"",ROUND(N1192*O1192/P1192,1))</f>
        <v>2</v>
      </c>
      <c r="S1192" s="13" t="n">
        <f aca="false">IF(R1192="","",IF(Q1192="Y",1,IF(P1192&gt;='Read me'!$B$16,3,IF(AND(R1192&gt;='Read me'!$B$14,P1192&lt;='Read me'!$B$15),1,2))))</f>
        <v>2</v>
      </c>
    </row>
    <row r="1193" customFormat="false" ht="23.85" hidden="false" customHeight="false" outlineLevel="0" collapsed="false">
      <c r="A1193" s="11" t="s">
        <v>7428</v>
      </c>
      <c r="B1193" s="11" t="s">
        <v>41</v>
      </c>
      <c r="C1193" s="11" t="s">
        <v>283</v>
      </c>
      <c r="D1193" s="11" t="s">
        <v>284</v>
      </c>
      <c r="E1193" s="11" t="s">
        <v>751</v>
      </c>
      <c r="F1193" s="11" t="s">
        <v>7425</v>
      </c>
      <c r="G1193" s="11" t="s">
        <v>7429</v>
      </c>
      <c r="H1193" s="11" t="s">
        <v>1284</v>
      </c>
      <c r="I1193" s="11" t="s">
        <v>512</v>
      </c>
      <c r="J1193" s="11" t="s">
        <v>7430</v>
      </c>
      <c r="K1193" s="11" t="s">
        <v>4793</v>
      </c>
      <c r="L1193" s="11" t="s">
        <v>7431</v>
      </c>
      <c r="M1193" s="11"/>
      <c r="N1193" s="14" t="n">
        <v>2</v>
      </c>
      <c r="O1193" s="14" t="n">
        <v>3</v>
      </c>
      <c r="P1193" s="14" t="n">
        <v>3</v>
      </c>
      <c r="Q1193" s="14"/>
      <c r="R1193" s="12" t="n">
        <f aca="false">IF(OR(N1193="",P1193=""),"",ROUND(N1193*O1193/P1193,1))</f>
        <v>2</v>
      </c>
      <c r="S1193" s="13" t="n">
        <f aca="false">IF(R1193="","",IF(Q1193="Y",1,IF(P1193&gt;='Read me'!$B$16,3,IF(AND(R1193&gt;='Read me'!$B$14,P1193&lt;='Read me'!$B$15),1,2))))</f>
        <v>2</v>
      </c>
    </row>
    <row r="1194" customFormat="false" ht="46.25" hidden="false" customHeight="false" outlineLevel="0" collapsed="false">
      <c r="A1194" s="11" t="s">
        <v>7432</v>
      </c>
      <c r="B1194" s="11" t="s">
        <v>41</v>
      </c>
      <c r="C1194" s="11" t="s">
        <v>283</v>
      </c>
      <c r="D1194" s="11" t="s">
        <v>284</v>
      </c>
      <c r="E1194" s="11" t="s">
        <v>765</v>
      </c>
      <c r="F1194" s="11" t="s">
        <v>7433</v>
      </c>
      <c r="G1194" s="11" t="s">
        <v>7434</v>
      </c>
      <c r="H1194" s="11"/>
      <c r="I1194" s="11" t="s">
        <v>512</v>
      </c>
      <c r="J1194" s="11" t="s">
        <v>7435</v>
      </c>
      <c r="K1194" s="11" t="s">
        <v>7087</v>
      </c>
      <c r="L1194" s="11" t="s">
        <v>7436</v>
      </c>
      <c r="M1194" s="11" t="s">
        <v>7423</v>
      </c>
      <c r="N1194" s="14" t="n">
        <v>4</v>
      </c>
      <c r="O1194" s="14" t="n">
        <v>4</v>
      </c>
      <c r="P1194" s="14" t="n">
        <v>3</v>
      </c>
      <c r="Q1194" s="14"/>
      <c r="R1194" s="12" t="n">
        <f aca="false">IF(OR(N1194="",P1194=""),"",ROUND(N1194*O1194/P1194,1))</f>
        <v>5.3</v>
      </c>
      <c r="S1194" s="13" t="n">
        <f aca="false">IF(R1194="","",IF(Q1194="Y",1,IF(P1194&gt;='Read me'!$B$16,3,IF(AND(R1194&gt;='Read me'!$B$14,P1194&lt;='Read me'!$B$15),1,2))))</f>
        <v>2</v>
      </c>
    </row>
    <row r="1195" customFormat="false" ht="23.85" hidden="false" customHeight="false" outlineLevel="0" collapsed="false">
      <c r="A1195" s="11" t="s">
        <v>7437</v>
      </c>
      <c r="B1195" s="11" t="s">
        <v>41</v>
      </c>
      <c r="C1195" s="11" t="s">
        <v>283</v>
      </c>
      <c r="D1195" s="11" t="s">
        <v>284</v>
      </c>
      <c r="E1195" s="11" t="s">
        <v>765</v>
      </c>
      <c r="F1195" s="11" t="s">
        <v>7438</v>
      </c>
      <c r="G1195" s="11" t="s">
        <v>7439</v>
      </c>
      <c r="H1195" s="11"/>
      <c r="I1195" s="11" t="s">
        <v>7440</v>
      </c>
      <c r="J1195" s="11" t="s">
        <v>7441</v>
      </c>
      <c r="K1195" s="11" t="s">
        <v>4369</v>
      </c>
      <c r="L1195" s="11" t="s">
        <v>7442</v>
      </c>
      <c r="M1195" s="11"/>
      <c r="N1195" s="14" t="n">
        <v>3</v>
      </c>
      <c r="O1195" s="14" t="n">
        <v>3</v>
      </c>
      <c r="P1195" s="14" t="n">
        <v>2</v>
      </c>
      <c r="Q1195" s="14"/>
      <c r="R1195" s="12" t="n">
        <f aca="false">IF(OR(N1195="",P1195=""),"",ROUND(N1195*O1195/P1195,1))</f>
        <v>4.5</v>
      </c>
      <c r="S1195" s="13" t="n">
        <f aca="false">IF(R1195="","",IF(Q1195="Y",1,IF(P1195&gt;='Read me'!$B$16,3,IF(AND(R1195&gt;='Read me'!$B$14,P1195&lt;='Read me'!$B$15),1,2))))</f>
        <v>2</v>
      </c>
    </row>
    <row r="1196" customFormat="false" ht="23.85" hidden="false" customHeight="false" outlineLevel="0" collapsed="false">
      <c r="A1196" s="11" t="s">
        <v>7443</v>
      </c>
      <c r="B1196" s="11" t="s">
        <v>41</v>
      </c>
      <c r="C1196" s="11" t="s">
        <v>283</v>
      </c>
      <c r="D1196" s="11" t="s">
        <v>284</v>
      </c>
      <c r="E1196" s="11" t="s">
        <v>765</v>
      </c>
      <c r="F1196" s="11" t="s">
        <v>7444</v>
      </c>
      <c r="G1196" s="11" t="s">
        <v>4070</v>
      </c>
      <c r="H1196" s="11"/>
      <c r="I1196" s="11" t="s">
        <v>7445</v>
      </c>
      <c r="J1196" s="11" t="s">
        <v>7446</v>
      </c>
      <c r="K1196" s="11" t="s">
        <v>696</v>
      </c>
      <c r="L1196" s="11" t="s">
        <v>7447</v>
      </c>
      <c r="M1196" s="11"/>
      <c r="N1196" s="14" t="n">
        <v>2</v>
      </c>
      <c r="O1196" s="14" t="n">
        <v>3</v>
      </c>
      <c r="P1196" s="14" t="n">
        <v>2</v>
      </c>
      <c r="Q1196" s="14"/>
      <c r="R1196" s="12" t="n">
        <f aca="false">IF(OR(N1196="",P1196=""),"",ROUND(N1196*O1196/P1196,1))</f>
        <v>3</v>
      </c>
      <c r="S1196" s="13" t="n">
        <f aca="false">IF(R1196="","",IF(Q1196="Y",1,IF(P1196&gt;='Read me'!$B$16,3,IF(AND(R1196&gt;='Read me'!$B$14,P1196&lt;='Read me'!$B$15),1,2))))</f>
        <v>2</v>
      </c>
    </row>
    <row r="1197" customFormat="false" ht="35.05" hidden="false" customHeight="false" outlineLevel="0" collapsed="false">
      <c r="A1197" s="11" t="s">
        <v>7448</v>
      </c>
      <c r="B1197" s="11" t="s">
        <v>41</v>
      </c>
      <c r="C1197" s="11" t="s">
        <v>283</v>
      </c>
      <c r="D1197" s="11" t="s">
        <v>284</v>
      </c>
      <c r="E1197" s="11" t="s">
        <v>765</v>
      </c>
      <c r="F1197" s="11" t="s">
        <v>7306</v>
      </c>
      <c r="G1197" s="11" t="s">
        <v>7449</v>
      </c>
      <c r="H1197" s="11"/>
      <c r="I1197" s="11" t="s">
        <v>7450</v>
      </c>
      <c r="J1197" s="11" t="s">
        <v>7451</v>
      </c>
      <c r="K1197" s="11" t="s">
        <v>7452</v>
      </c>
      <c r="L1197" s="11" t="s">
        <v>7453</v>
      </c>
      <c r="M1197" s="11" t="s">
        <v>7082</v>
      </c>
      <c r="N1197" s="14" t="n">
        <v>3</v>
      </c>
      <c r="O1197" s="14" t="n">
        <v>3</v>
      </c>
      <c r="P1197" s="14" t="n">
        <v>3</v>
      </c>
      <c r="Q1197" s="14"/>
      <c r="R1197" s="12" t="n">
        <f aca="false">IF(OR(N1197="",P1197=""),"",ROUND(N1197*O1197/P1197,1))</f>
        <v>3</v>
      </c>
      <c r="S1197" s="13" t="n">
        <f aca="false">IF(R1197="","",IF(Q1197="Y",1,IF(P1197&gt;='Read me'!$B$16,3,IF(AND(R1197&gt;='Read me'!$B$14,P1197&lt;='Read me'!$B$15),1,2))))</f>
        <v>2</v>
      </c>
    </row>
    <row r="1198" customFormat="false" ht="35.05" hidden="false" customHeight="false" outlineLevel="0" collapsed="false">
      <c r="A1198" s="11" t="s">
        <v>7454</v>
      </c>
      <c r="B1198" s="11" t="s">
        <v>41</v>
      </c>
      <c r="C1198" s="11" t="s">
        <v>283</v>
      </c>
      <c r="D1198" s="11" t="s">
        <v>284</v>
      </c>
      <c r="E1198" s="11" t="s">
        <v>765</v>
      </c>
      <c r="F1198" s="11" t="s">
        <v>7306</v>
      </c>
      <c r="G1198" s="11" t="s">
        <v>7455</v>
      </c>
      <c r="H1198" s="11"/>
      <c r="I1198" s="11" t="s">
        <v>7456</v>
      </c>
      <c r="J1198" s="11" t="s">
        <v>7457</v>
      </c>
      <c r="K1198" s="11" t="s">
        <v>990</v>
      </c>
      <c r="L1198" s="11" t="s">
        <v>7458</v>
      </c>
      <c r="M1198" s="11" t="s">
        <v>7082</v>
      </c>
      <c r="N1198" s="14" t="n">
        <v>2</v>
      </c>
      <c r="O1198" s="14" t="n">
        <v>3</v>
      </c>
      <c r="P1198" s="14" t="n">
        <v>3</v>
      </c>
      <c r="Q1198" s="14"/>
      <c r="R1198" s="12" t="n">
        <f aca="false">IF(OR(N1198="",P1198=""),"",ROUND(N1198*O1198/P1198,1))</f>
        <v>2</v>
      </c>
      <c r="S1198" s="13" t="n">
        <f aca="false">IF(R1198="","",IF(Q1198="Y",1,IF(P1198&gt;='Read me'!$B$16,3,IF(AND(R1198&gt;='Read me'!$B$14,P1198&lt;='Read me'!$B$15),1,2))))</f>
        <v>2</v>
      </c>
    </row>
    <row r="1199" customFormat="false" ht="23.85" hidden="false" customHeight="false" outlineLevel="0" collapsed="false">
      <c r="A1199" s="11" t="s">
        <v>7459</v>
      </c>
      <c r="B1199" s="11" t="s">
        <v>41</v>
      </c>
      <c r="C1199" s="11" t="s">
        <v>283</v>
      </c>
      <c r="D1199" s="11" t="s">
        <v>284</v>
      </c>
      <c r="E1199" s="11" t="s">
        <v>765</v>
      </c>
      <c r="F1199" s="11" t="s">
        <v>7460</v>
      </c>
      <c r="G1199" s="11" t="s">
        <v>7461</v>
      </c>
      <c r="H1199" s="11"/>
      <c r="I1199" s="11" t="s">
        <v>7462</v>
      </c>
      <c r="J1199" s="11" t="s">
        <v>7463</v>
      </c>
      <c r="K1199" s="11" t="s">
        <v>7464</v>
      </c>
      <c r="L1199" s="11" t="s">
        <v>7465</v>
      </c>
      <c r="M1199" s="11"/>
      <c r="N1199" s="14" t="n">
        <v>2</v>
      </c>
      <c r="O1199" s="14" t="n">
        <v>3</v>
      </c>
      <c r="P1199" s="14" t="n">
        <v>2</v>
      </c>
      <c r="Q1199" s="14"/>
      <c r="R1199" s="12" t="n">
        <f aca="false">IF(OR(N1199="",P1199=""),"",ROUND(N1199*O1199/P1199,1))</f>
        <v>3</v>
      </c>
      <c r="S1199" s="13" t="n">
        <f aca="false">IF(R1199="","",IF(Q1199="Y",1,IF(P1199&gt;='Read me'!$B$16,3,IF(AND(R1199&gt;='Read me'!$B$14,P1199&lt;='Read me'!$B$15),1,2))))</f>
        <v>2</v>
      </c>
    </row>
    <row r="1200" customFormat="false" ht="35.05" hidden="false" customHeight="false" outlineLevel="0" collapsed="false">
      <c r="A1200" s="11" t="s">
        <v>7466</v>
      </c>
      <c r="B1200" s="11" t="s">
        <v>41</v>
      </c>
      <c r="C1200" s="11" t="s">
        <v>283</v>
      </c>
      <c r="D1200" s="11" t="s">
        <v>284</v>
      </c>
      <c r="E1200" s="11" t="s">
        <v>765</v>
      </c>
      <c r="F1200" s="11" t="s">
        <v>7467</v>
      </c>
      <c r="G1200" s="11" t="s">
        <v>7468</v>
      </c>
      <c r="H1200" s="11"/>
      <c r="I1200" s="11" t="s">
        <v>512</v>
      </c>
      <c r="J1200" s="11" t="s">
        <v>7469</v>
      </c>
      <c r="K1200" s="11" t="s">
        <v>7470</v>
      </c>
      <c r="L1200" s="11" t="s">
        <v>7471</v>
      </c>
      <c r="M1200" s="11" t="s">
        <v>7082</v>
      </c>
      <c r="N1200" s="14" t="n">
        <v>2</v>
      </c>
      <c r="O1200" s="14" t="n">
        <v>3</v>
      </c>
      <c r="P1200" s="14" t="n">
        <v>3</v>
      </c>
      <c r="Q1200" s="14"/>
      <c r="R1200" s="12" t="n">
        <f aca="false">IF(OR(N1200="",P1200=""),"",ROUND(N1200*O1200/P1200,1))</f>
        <v>2</v>
      </c>
      <c r="S1200" s="13" t="n">
        <f aca="false">IF(R1200="","",IF(Q1200="Y",1,IF(P1200&gt;='Read me'!$B$16,3,IF(AND(R1200&gt;='Read me'!$B$14,P1200&lt;='Read me'!$B$15),1,2))))</f>
        <v>2</v>
      </c>
    </row>
    <row r="1201" customFormat="false" ht="23.85" hidden="false" customHeight="false" outlineLevel="0" collapsed="false">
      <c r="A1201" s="11" t="s">
        <v>7472</v>
      </c>
      <c r="B1201" s="11" t="s">
        <v>41</v>
      </c>
      <c r="C1201" s="11" t="s">
        <v>283</v>
      </c>
      <c r="D1201" s="11" t="s">
        <v>284</v>
      </c>
      <c r="E1201" s="11" t="s">
        <v>1187</v>
      </c>
      <c r="F1201" s="11" t="s">
        <v>7473</v>
      </c>
      <c r="G1201" s="11" t="s">
        <v>7474</v>
      </c>
      <c r="H1201" s="11" t="s">
        <v>7475</v>
      </c>
      <c r="I1201" s="11" t="s">
        <v>7476</v>
      </c>
      <c r="J1201" s="11" t="s">
        <v>7477</v>
      </c>
      <c r="K1201" s="11" t="s">
        <v>1417</v>
      </c>
      <c r="L1201" s="11" t="s">
        <v>7478</v>
      </c>
      <c r="M1201" s="11"/>
      <c r="N1201" s="14" t="n">
        <v>2</v>
      </c>
      <c r="O1201" s="14" t="n">
        <v>3</v>
      </c>
      <c r="P1201" s="14" t="n">
        <v>4</v>
      </c>
      <c r="Q1201" s="14"/>
      <c r="R1201" s="12" t="n">
        <f aca="false">IF(OR(N1201="",P1201=""),"",ROUND(N1201*O1201/P1201,1))</f>
        <v>1.5</v>
      </c>
      <c r="S1201" s="13" t="n">
        <f aca="false">IF(R1201="","",IF(Q1201="Y",1,IF(P1201&gt;='Read me'!$B$16,3,IF(AND(R1201&gt;='Read me'!$B$14,P1201&lt;='Read me'!$B$15),1,2))))</f>
        <v>3</v>
      </c>
    </row>
    <row r="1202" customFormat="false" ht="35.05" hidden="false" customHeight="false" outlineLevel="0" collapsed="false">
      <c r="A1202" s="11" t="s">
        <v>7479</v>
      </c>
      <c r="B1202" s="11" t="s">
        <v>41</v>
      </c>
      <c r="C1202" s="11" t="s">
        <v>283</v>
      </c>
      <c r="D1202" s="11" t="s">
        <v>284</v>
      </c>
      <c r="E1202" s="11" t="s">
        <v>1187</v>
      </c>
      <c r="F1202" s="11" t="s">
        <v>7480</v>
      </c>
      <c r="G1202" s="11" t="s">
        <v>7326</v>
      </c>
      <c r="H1202" s="11"/>
      <c r="I1202" s="11" t="s">
        <v>7481</v>
      </c>
      <c r="J1202" s="11" t="s">
        <v>7482</v>
      </c>
      <c r="K1202" s="11" t="s">
        <v>916</v>
      </c>
      <c r="L1202" s="11" t="s">
        <v>7483</v>
      </c>
      <c r="M1202" s="11" t="s">
        <v>7484</v>
      </c>
      <c r="N1202" s="14" t="n">
        <v>1</v>
      </c>
      <c r="O1202" s="14" t="n">
        <v>3</v>
      </c>
      <c r="P1202" s="14" t="n">
        <v>4</v>
      </c>
      <c r="Q1202" s="14"/>
      <c r="R1202" s="12" t="n">
        <f aca="false">IF(OR(N1202="",P1202=""),"",ROUND(N1202*O1202/P1202,1))</f>
        <v>0.8</v>
      </c>
      <c r="S1202" s="13" t="n">
        <f aca="false">IF(R1202="","",IF(Q1202="Y",1,IF(P1202&gt;='Read me'!$B$16,3,IF(AND(R1202&gt;='Read me'!$B$14,P1202&lt;='Read me'!$B$15),1,2))))</f>
        <v>3</v>
      </c>
    </row>
    <row r="1203" customFormat="false" ht="35.05" hidden="false" customHeight="false" outlineLevel="0" collapsed="false">
      <c r="A1203" s="11" t="s">
        <v>7485</v>
      </c>
      <c r="B1203" s="11" t="s">
        <v>41</v>
      </c>
      <c r="C1203" s="11" t="s">
        <v>283</v>
      </c>
      <c r="D1203" s="11" t="s">
        <v>284</v>
      </c>
      <c r="E1203" s="11" t="s">
        <v>1187</v>
      </c>
      <c r="F1203" s="11" t="s">
        <v>7486</v>
      </c>
      <c r="G1203" s="11" t="s">
        <v>7487</v>
      </c>
      <c r="H1203" s="11"/>
      <c r="I1203" s="11" t="s">
        <v>7488</v>
      </c>
      <c r="J1203" s="11" t="s">
        <v>7489</v>
      </c>
      <c r="K1203" s="11" t="s">
        <v>1417</v>
      </c>
      <c r="L1203" s="11" t="s">
        <v>7490</v>
      </c>
      <c r="M1203" s="11" t="s">
        <v>7484</v>
      </c>
      <c r="N1203" s="14" t="n">
        <v>2</v>
      </c>
      <c r="O1203" s="14" t="n">
        <v>4</v>
      </c>
      <c r="P1203" s="14" t="n">
        <v>4</v>
      </c>
      <c r="Q1203" s="14"/>
      <c r="R1203" s="12" t="n">
        <f aca="false">IF(OR(N1203="",P1203=""),"",ROUND(N1203*O1203/P1203,1))</f>
        <v>2</v>
      </c>
      <c r="S1203" s="13" t="n">
        <f aca="false">IF(R1203="","",IF(Q1203="Y",1,IF(P1203&gt;='Read me'!$B$16,3,IF(AND(R1203&gt;='Read me'!$B$14,P1203&lt;='Read me'!$B$15),1,2))))</f>
        <v>3</v>
      </c>
    </row>
    <row r="1204" customFormat="false" ht="23.85" hidden="false" customHeight="false" outlineLevel="0" collapsed="false">
      <c r="A1204" s="11" t="s">
        <v>7491</v>
      </c>
      <c r="B1204" s="11" t="s">
        <v>41</v>
      </c>
      <c r="C1204" s="11" t="s">
        <v>283</v>
      </c>
      <c r="D1204" s="11" t="s">
        <v>284</v>
      </c>
      <c r="E1204" s="11" t="s">
        <v>1187</v>
      </c>
      <c r="F1204" s="11" t="s">
        <v>7492</v>
      </c>
      <c r="G1204" s="11" t="s">
        <v>7394</v>
      </c>
      <c r="H1204" s="11"/>
      <c r="I1204" s="11" t="s">
        <v>7493</v>
      </c>
      <c r="J1204" s="11" t="s">
        <v>7494</v>
      </c>
      <c r="K1204" s="11" t="s">
        <v>4587</v>
      </c>
      <c r="L1204" s="11" t="s">
        <v>7495</v>
      </c>
      <c r="M1204" s="11"/>
      <c r="N1204" s="14" t="n">
        <v>2</v>
      </c>
      <c r="O1204" s="14" t="n">
        <v>3</v>
      </c>
      <c r="P1204" s="14" t="n">
        <v>2</v>
      </c>
      <c r="Q1204" s="14"/>
      <c r="R1204" s="12" t="n">
        <f aca="false">IF(OR(N1204="",P1204=""),"",ROUND(N1204*O1204/P1204,1))</f>
        <v>3</v>
      </c>
      <c r="S1204" s="13" t="n">
        <f aca="false">IF(R1204="","",IF(Q1204="Y",1,IF(P1204&gt;='Read me'!$B$16,3,IF(AND(R1204&gt;='Read me'!$B$14,P1204&lt;='Read me'!$B$15),1,2))))</f>
        <v>2</v>
      </c>
    </row>
    <row r="1205" customFormat="false" ht="23.85" hidden="false" customHeight="false" outlineLevel="0" collapsed="false">
      <c r="A1205" s="11" t="s">
        <v>7496</v>
      </c>
      <c r="B1205" s="11" t="s">
        <v>41</v>
      </c>
      <c r="C1205" s="11" t="s">
        <v>283</v>
      </c>
      <c r="D1205" s="11" t="s">
        <v>284</v>
      </c>
      <c r="E1205" s="11" t="s">
        <v>1187</v>
      </c>
      <c r="F1205" s="11" t="s">
        <v>7497</v>
      </c>
      <c r="G1205" s="11" t="s">
        <v>7498</v>
      </c>
      <c r="H1205" s="11"/>
      <c r="I1205" s="11" t="s">
        <v>7499</v>
      </c>
      <c r="J1205" s="11" t="s">
        <v>7500</v>
      </c>
      <c r="K1205" s="11" t="s">
        <v>7501</v>
      </c>
      <c r="L1205" s="11" t="s">
        <v>7502</v>
      </c>
      <c r="M1205" s="11"/>
      <c r="N1205" s="14" t="n">
        <v>1</v>
      </c>
      <c r="O1205" s="14" t="n">
        <v>3</v>
      </c>
      <c r="P1205" s="14" t="n">
        <v>4</v>
      </c>
      <c r="Q1205" s="14"/>
      <c r="R1205" s="12" t="n">
        <f aca="false">IF(OR(N1205="",P1205=""),"",ROUND(N1205*O1205/P1205,1))</f>
        <v>0.8</v>
      </c>
      <c r="S1205" s="13" t="n">
        <f aca="false">IF(R1205="","",IF(Q1205="Y",1,IF(P1205&gt;='Read me'!$B$16,3,IF(AND(R1205&gt;='Read me'!$B$14,P1205&lt;='Read me'!$B$15),1,2))))</f>
        <v>3</v>
      </c>
    </row>
    <row r="1206" customFormat="false" ht="23.85" hidden="false" customHeight="false" outlineLevel="0" collapsed="false">
      <c r="A1206" s="11" t="s">
        <v>7503</v>
      </c>
      <c r="B1206" s="11" t="s">
        <v>41</v>
      </c>
      <c r="C1206" s="11" t="s">
        <v>283</v>
      </c>
      <c r="D1206" s="11" t="s">
        <v>284</v>
      </c>
      <c r="E1206" s="11" t="s">
        <v>1133</v>
      </c>
      <c r="F1206" s="11" t="s">
        <v>7504</v>
      </c>
      <c r="G1206" s="11" t="s">
        <v>1990</v>
      </c>
      <c r="H1206" s="11"/>
      <c r="I1206" s="11" t="s">
        <v>7505</v>
      </c>
      <c r="J1206" s="11" t="s">
        <v>7506</v>
      </c>
      <c r="K1206" s="11" t="s">
        <v>7062</v>
      </c>
      <c r="L1206" s="11" t="s">
        <v>7507</v>
      </c>
      <c r="M1206" s="11" t="s">
        <v>1577</v>
      </c>
      <c r="N1206" s="14" t="n">
        <v>2</v>
      </c>
      <c r="O1206" s="14" t="n">
        <v>3</v>
      </c>
      <c r="P1206" s="14" t="n">
        <v>2</v>
      </c>
      <c r="Q1206" s="14"/>
      <c r="R1206" s="12" t="n">
        <f aca="false">IF(OR(N1206="",P1206=""),"",ROUND(N1206*O1206/P1206,1))</f>
        <v>3</v>
      </c>
      <c r="S1206" s="13" t="n">
        <f aca="false">IF(R1206="","",IF(Q1206="Y",1,IF(P1206&gt;='Read me'!$B$16,3,IF(AND(R1206&gt;='Read me'!$B$14,P1206&lt;='Read me'!$B$15),1,2))))</f>
        <v>2</v>
      </c>
    </row>
    <row r="1207" customFormat="false" ht="23.85" hidden="false" customHeight="false" outlineLevel="0" collapsed="false">
      <c r="A1207" s="11" t="s">
        <v>7508</v>
      </c>
      <c r="B1207" s="11" t="s">
        <v>41</v>
      </c>
      <c r="C1207" s="11" t="s">
        <v>283</v>
      </c>
      <c r="D1207" s="11" t="s">
        <v>284</v>
      </c>
      <c r="E1207" s="11" t="s">
        <v>1372</v>
      </c>
      <c r="F1207" s="11" t="s">
        <v>7509</v>
      </c>
      <c r="G1207" s="11" t="s">
        <v>7510</v>
      </c>
      <c r="H1207" s="11"/>
      <c r="I1207" s="11" t="s">
        <v>7511</v>
      </c>
      <c r="J1207" s="11" t="s">
        <v>7512</v>
      </c>
      <c r="K1207" s="11" t="s">
        <v>7513</v>
      </c>
      <c r="L1207" s="11" t="s">
        <v>7514</v>
      </c>
      <c r="M1207" s="11"/>
      <c r="N1207" s="14" t="n">
        <v>4</v>
      </c>
      <c r="O1207" s="14" t="n">
        <v>4</v>
      </c>
      <c r="P1207" s="14" t="n">
        <v>2</v>
      </c>
      <c r="Q1207" s="14"/>
      <c r="R1207" s="12" t="n">
        <f aca="false">IF(OR(N1207="",P1207=""),"",ROUND(N1207*O1207/P1207,1))</f>
        <v>8</v>
      </c>
      <c r="S1207" s="13" t="n">
        <f aca="false">IF(R1207="","",IF(Q1207="Y",1,IF(P1207&gt;='Read me'!$B$16,3,IF(AND(R1207&gt;='Read me'!$B$14,P1207&lt;='Read me'!$B$15),1,2))))</f>
        <v>1</v>
      </c>
    </row>
    <row r="1208" customFormat="false" ht="23.85" hidden="false" customHeight="false" outlineLevel="0" collapsed="false">
      <c r="A1208" s="11" t="s">
        <v>7515</v>
      </c>
      <c r="B1208" s="11" t="s">
        <v>41</v>
      </c>
      <c r="C1208" s="11" t="s">
        <v>283</v>
      </c>
      <c r="D1208" s="11" t="s">
        <v>284</v>
      </c>
      <c r="E1208" s="11" t="s">
        <v>1372</v>
      </c>
      <c r="F1208" s="11" t="s">
        <v>7516</v>
      </c>
      <c r="G1208" s="11" t="s">
        <v>7487</v>
      </c>
      <c r="H1208" s="11"/>
      <c r="I1208" s="11" t="s">
        <v>7517</v>
      </c>
      <c r="J1208" s="11" t="s">
        <v>7518</v>
      </c>
      <c r="K1208" s="11" t="s">
        <v>3597</v>
      </c>
      <c r="L1208" s="11" t="s">
        <v>7519</v>
      </c>
      <c r="M1208" s="11"/>
      <c r="N1208" s="14" t="n">
        <v>3</v>
      </c>
      <c r="O1208" s="14" t="n">
        <v>4</v>
      </c>
      <c r="P1208" s="14" t="n">
        <v>2</v>
      </c>
      <c r="Q1208" s="14"/>
      <c r="R1208" s="12" t="n">
        <f aca="false">IF(OR(N1208="",P1208=""),"",ROUND(N1208*O1208/P1208,1))</f>
        <v>6</v>
      </c>
      <c r="S1208" s="13" t="n">
        <f aca="false">IF(R1208="","",IF(Q1208="Y",1,IF(P1208&gt;='Read me'!$B$16,3,IF(AND(R1208&gt;='Read me'!$B$14,P1208&lt;='Read me'!$B$15),1,2))))</f>
        <v>1</v>
      </c>
    </row>
    <row r="1209" customFormat="false" ht="23.85" hidden="false" customHeight="false" outlineLevel="0" collapsed="false">
      <c r="A1209" s="11" t="s">
        <v>7520</v>
      </c>
      <c r="B1209" s="11" t="s">
        <v>42</v>
      </c>
      <c r="C1209" s="11" t="s">
        <v>286</v>
      </c>
      <c r="D1209" s="11" t="s">
        <v>287</v>
      </c>
      <c r="E1209" s="11" t="s">
        <v>476</v>
      </c>
      <c r="F1209" s="11" t="s">
        <v>7521</v>
      </c>
      <c r="G1209" s="11" t="s">
        <v>7522</v>
      </c>
      <c r="H1209" s="11"/>
      <c r="I1209" s="11" t="s">
        <v>7523</v>
      </c>
      <c r="J1209" s="11" t="s">
        <v>7524</v>
      </c>
      <c r="K1209" s="11" t="s">
        <v>4025</v>
      </c>
      <c r="L1209" s="11" t="s">
        <v>7525</v>
      </c>
      <c r="M1209" s="11"/>
      <c r="N1209" s="14" t="n">
        <v>5</v>
      </c>
      <c r="O1209" s="14" t="n">
        <v>3</v>
      </c>
      <c r="P1209" s="14" t="n">
        <v>1</v>
      </c>
      <c r="Q1209" s="14"/>
      <c r="R1209" s="12" t="n">
        <f aca="false">IF(OR(N1209="",P1209=""),"",ROUND(N1209*O1209/P1209,1))</f>
        <v>15</v>
      </c>
      <c r="S1209" s="13" t="n">
        <f aca="false">IF(R1209="","",IF(Q1209="Y",1,IF(P1209&gt;='Read me'!$B$16,3,IF(AND(R1209&gt;='Read me'!$B$14,P1209&lt;='Read me'!$B$15),1,2))))</f>
        <v>1</v>
      </c>
    </row>
    <row r="1210" customFormat="false" ht="23.85" hidden="false" customHeight="false" outlineLevel="0" collapsed="false">
      <c r="A1210" s="11" t="s">
        <v>7526</v>
      </c>
      <c r="B1210" s="11" t="s">
        <v>42</v>
      </c>
      <c r="C1210" s="11" t="s">
        <v>286</v>
      </c>
      <c r="D1210" s="11" t="s">
        <v>287</v>
      </c>
      <c r="E1210" s="11" t="s">
        <v>476</v>
      </c>
      <c r="F1210" s="11" t="s">
        <v>7527</v>
      </c>
      <c r="G1210" s="11" t="s">
        <v>2211</v>
      </c>
      <c r="H1210" s="11"/>
      <c r="I1210" s="11" t="s">
        <v>7528</v>
      </c>
      <c r="J1210" s="11" t="s">
        <v>7529</v>
      </c>
      <c r="K1210" s="11" t="s">
        <v>7530</v>
      </c>
      <c r="L1210" s="11" t="s">
        <v>7531</v>
      </c>
      <c r="M1210" s="11" t="s">
        <v>7532</v>
      </c>
      <c r="N1210" s="14" t="n">
        <v>3</v>
      </c>
      <c r="O1210" s="14" t="n">
        <v>3</v>
      </c>
      <c r="P1210" s="14" t="n">
        <v>1</v>
      </c>
      <c r="Q1210" s="14"/>
      <c r="R1210" s="12" t="n">
        <f aca="false">IF(OR(N1210="",P1210=""),"",ROUND(N1210*O1210/P1210,1))</f>
        <v>9</v>
      </c>
      <c r="S1210" s="13" t="n">
        <f aca="false">IF(R1210="","",IF(Q1210="Y",1,IF(P1210&gt;='Read me'!$B$16,3,IF(AND(R1210&gt;='Read me'!$B$14,P1210&lt;='Read me'!$B$15),1,2))))</f>
        <v>1</v>
      </c>
    </row>
    <row r="1211" customFormat="false" ht="35.05" hidden="false" customHeight="false" outlineLevel="0" collapsed="false">
      <c r="A1211" s="11" t="s">
        <v>7533</v>
      </c>
      <c r="B1211" s="11" t="s">
        <v>42</v>
      </c>
      <c r="C1211" s="11" t="s">
        <v>286</v>
      </c>
      <c r="D1211" s="11" t="s">
        <v>287</v>
      </c>
      <c r="E1211" s="11" t="s">
        <v>476</v>
      </c>
      <c r="F1211" s="11" t="s">
        <v>7527</v>
      </c>
      <c r="G1211" s="11" t="s">
        <v>497</v>
      </c>
      <c r="H1211" s="11"/>
      <c r="I1211" s="11" t="s">
        <v>7534</v>
      </c>
      <c r="J1211" s="11" t="s">
        <v>7535</v>
      </c>
      <c r="K1211" s="11" t="s">
        <v>7536</v>
      </c>
      <c r="L1211" s="11" t="s">
        <v>7537</v>
      </c>
      <c r="M1211" s="11" t="s">
        <v>7538</v>
      </c>
      <c r="N1211" s="14" t="n">
        <v>3</v>
      </c>
      <c r="O1211" s="14" t="n">
        <v>3</v>
      </c>
      <c r="P1211" s="14" t="n">
        <v>2</v>
      </c>
      <c r="Q1211" s="14"/>
      <c r="R1211" s="12" t="n">
        <f aca="false">IF(OR(N1211="",P1211=""),"",ROUND(N1211*O1211/P1211,1))</f>
        <v>4.5</v>
      </c>
      <c r="S1211" s="13" t="n">
        <f aca="false">IF(R1211="","",IF(Q1211="Y",1,IF(P1211&gt;='Read me'!$B$16,3,IF(AND(R1211&gt;='Read me'!$B$14,P1211&lt;='Read me'!$B$15),1,2))))</f>
        <v>2</v>
      </c>
    </row>
    <row r="1212" customFormat="false" ht="35.05" hidden="false" customHeight="false" outlineLevel="0" collapsed="false">
      <c r="A1212" s="11" t="s">
        <v>7539</v>
      </c>
      <c r="B1212" s="11" t="s">
        <v>42</v>
      </c>
      <c r="C1212" s="11" t="s">
        <v>286</v>
      </c>
      <c r="D1212" s="11" t="s">
        <v>287</v>
      </c>
      <c r="E1212" s="11" t="s">
        <v>476</v>
      </c>
      <c r="F1212" s="11" t="s">
        <v>7540</v>
      </c>
      <c r="G1212" s="11" t="s">
        <v>7541</v>
      </c>
      <c r="H1212" s="11"/>
      <c r="I1212" s="11" t="s">
        <v>512</v>
      </c>
      <c r="J1212" s="11" t="s">
        <v>7542</v>
      </c>
      <c r="K1212" s="11" t="s">
        <v>7543</v>
      </c>
      <c r="L1212" s="11" t="s">
        <v>7544</v>
      </c>
      <c r="M1212" s="11" t="s">
        <v>3376</v>
      </c>
      <c r="N1212" s="14" t="n">
        <v>2</v>
      </c>
      <c r="O1212" s="14" t="n">
        <v>3</v>
      </c>
      <c r="P1212" s="14" t="n">
        <v>1</v>
      </c>
      <c r="Q1212" s="14"/>
      <c r="R1212" s="12" t="n">
        <f aca="false">IF(OR(N1212="",P1212=""),"",ROUND(N1212*O1212/P1212,1))</f>
        <v>6</v>
      </c>
      <c r="S1212" s="13" t="n">
        <f aca="false">IF(R1212="","",IF(Q1212="Y",1,IF(P1212&gt;='Read me'!$B$16,3,IF(AND(R1212&gt;='Read me'!$B$14,P1212&lt;='Read me'!$B$15),1,2))))</f>
        <v>1</v>
      </c>
    </row>
    <row r="1213" customFormat="false" ht="23.85" hidden="false" customHeight="false" outlineLevel="0" collapsed="false">
      <c r="A1213" s="11" t="s">
        <v>7545</v>
      </c>
      <c r="B1213" s="11" t="s">
        <v>42</v>
      </c>
      <c r="C1213" s="11" t="s">
        <v>286</v>
      </c>
      <c r="D1213" s="11" t="s">
        <v>287</v>
      </c>
      <c r="E1213" s="11" t="s">
        <v>532</v>
      </c>
      <c r="F1213" s="11" t="s">
        <v>7546</v>
      </c>
      <c r="G1213" s="11" t="s">
        <v>7547</v>
      </c>
      <c r="H1213" s="11"/>
      <c r="I1213" s="11" t="s">
        <v>7548</v>
      </c>
      <c r="J1213" s="11" t="s">
        <v>7549</v>
      </c>
      <c r="K1213" s="11" t="s">
        <v>3405</v>
      </c>
      <c r="L1213" s="11" t="s">
        <v>7550</v>
      </c>
      <c r="M1213" s="11" t="s">
        <v>7551</v>
      </c>
      <c r="N1213" s="14" t="n">
        <v>5</v>
      </c>
      <c r="O1213" s="14" t="n">
        <v>4</v>
      </c>
      <c r="P1213" s="14" t="n">
        <v>2</v>
      </c>
      <c r="Q1213" s="14"/>
      <c r="R1213" s="12" t="n">
        <f aca="false">IF(OR(N1213="",P1213=""),"",ROUND(N1213*O1213/P1213,1))</f>
        <v>10</v>
      </c>
      <c r="S1213" s="13" t="n">
        <f aca="false">IF(R1213="","",IF(Q1213="Y",1,IF(P1213&gt;='Read me'!$B$16,3,IF(AND(R1213&gt;='Read me'!$B$14,P1213&lt;='Read me'!$B$15),1,2))))</f>
        <v>1</v>
      </c>
    </row>
    <row r="1214" customFormat="false" ht="15" hidden="false" customHeight="false" outlineLevel="0" collapsed="false">
      <c r="A1214" s="11" t="s">
        <v>7552</v>
      </c>
      <c r="B1214" s="11" t="s">
        <v>42</v>
      </c>
      <c r="C1214" s="11" t="s">
        <v>286</v>
      </c>
      <c r="D1214" s="11" t="s">
        <v>287</v>
      </c>
      <c r="E1214" s="11" t="s">
        <v>532</v>
      </c>
      <c r="F1214" s="11" t="s">
        <v>7553</v>
      </c>
      <c r="G1214" s="11" t="s">
        <v>829</v>
      </c>
      <c r="H1214" s="11"/>
      <c r="I1214" s="11" t="s">
        <v>7554</v>
      </c>
      <c r="J1214" s="11" t="s">
        <v>7555</v>
      </c>
      <c r="K1214" s="11" t="s">
        <v>7556</v>
      </c>
      <c r="L1214" s="11" t="s">
        <v>7557</v>
      </c>
      <c r="M1214" s="11"/>
      <c r="N1214" s="14" t="n">
        <v>5</v>
      </c>
      <c r="O1214" s="14" t="n">
        <v>3</v>
      </c>
      <c r="P1214" s="14" t="n">
        <v>1</v>
      </c>
      <c r="Q1214" s="14"/>
      <c r="R1214" s="12" t="n">
        <f aca="false">IF(OR(N1214="",P1214=""),"",ROUND(N1214*O1214/P1214,1))</f>
        <v>15</v>
      </c>
      <c r="S1214" s="13" t="n">
        <f aca="false">IF(R1214="","",IF(Q1214="Y",1,IF(P1214&gt;='Read me'!$B$16,3,IF(AND(R1214&gt;='Read me'!$B$14,P1214&lt;='Read me'!$B$15),1,2))))</f>
        <v>1</v>
      </c>
    </row>
    <row r="1215" customFormat="false" ht="23.85" hidden="false" customHeight="false" outlineLevel="0" collapsed="false">
      <c r="A1215" s="11" t="s">
        <v>7558</v>
      </c>
      <c r="B1215" s="11" t="s">
        <v>42</v>
      </c>
      <c r="C1215" s="11" t="s">
        <v>286</v>
      </c>
      <c r="D1215" s="11" t="s">
        <v>287</v>
      </c>
      <c r="E1215" s="11" t="s">
        <v>532</v>
      </c>
      <c r="F1215" s="11" t="s">
        <v>7546</v>
      </c>
      <c r="G1215" s="11" t="s">
        <v>1479</v>
      </c>
      <c r="H1215" s="11"/>
      <c r="I1215" s="11" t="s">
        <v>7559</v>
      </c>
      <c r="J1215" s="11" t="s">
        <v>7560</v>
      </c>
      <c r="K1215" s="11" t="s">
        <v>7561</v>
      </c>
      <c r="L1215" s="11" t="s">
        <v>7562</v>
      </c>
      <c r="M1215" s="11"/>
      <c r="N1215" s="14" t="n">
        <v>3</v>
      </c>
      <c r="O1215" s="14" t="n">
        <v>4</v>
      </c>
      <c r="P1215" s="14" t="n">
        <v>1</v>
      </c>
      <c r="Q1215" s="14"/>
      <c r="R1215" s="12" t="n">
        <f aca="false">IF(OR(N1215="",P1215=""),"",ROUND(N1215*O1215/P1215,1))</f>
        <v>12</v>
      </c>
      <c r="S1215" s="13" t="n">
        <f aca="false">IF(R1215="","",IF(Q1215="Y",1,IF(P1215&gt;='Read me'!$B$16,3,IF(AND(R1215&gt;='Read me'!$B$14,P1215&lt;='Read me'!$B$15),1,2))))</f>
        <v>1</v>
      </c>
    </row>
    <row r="1216" customFormat="false" ht="23.85" hidden="false" customHeight="false" outlineLevel="0" collapsed="false">
      <c r="A1216" s="11" t="s">
        <v>7563</v>
      </c>
      <c r="B1216" s="11" t="s">
        <v>42</v>
      </c>
      <c r="C1216" s="11" t="s">
        <v>286</v>
      </c>
      <c r="D1216" s="11" t="s">
        <v>287</v>
      </c>
      <c r="E1216" s="11" t="s">
        <v>532</v>
      </c>
      <c r="F1216" s="11" t="s">
        <v>7546</v>
      </c>
      <c r="G1216" s="11" t="s">
        <v>1473</v>
      </c>
      <c r="H1216" s="11"/>
      <c r="I1216" s="11" t="s">
        <v>7564</v>
      </c>
      <c r="J1216" s="11" t="s">
        <v>7565</v>
      </c>
      <c r="K1216" s="11" t="s">
        <v>7566</v>
      </c>
      <c r="L1216" s="11" t="s">
        <v>7567</v>
      </c>
      <c r="M1216" s="11" t="s">
        <v>7568</v>
      </c>
      <c r="N1216" s="14" t="n">
        <v>2</v>
      </c>
      <c r="O1216" s="14" t="n">
        <v>3</v>
      </c>
      <c r="P1216" s="14" t="n">
        <v>3</v>
      </c>
      <c r="Q1216" s="14"/>
      <c r="R1216" s="12" t="n">
        <f aca="false">IF(OR(N1216="",P1216=""),"",ROUND(N1216*O1216/P1216,1))</f>
        <v>2</v>
      </c>
      <c r="S1216" s="13" t="n">
        <f aca="false">IF(R1216="","",IF(Q1216="Y",1,IF(P1216&gt;='Read me'!$B$16,3,IF(AND(R1216&gt;='Read me'!$B$14,P1216&lt;='Read me'!$B$15),1,2))))</f>
        <v>2</v>
      </c>
    </row>
    <row r="1217" customFormat="false" ht="23.85" hidden="false" customHeight="false" outlineLevel="0" collapsed="false">
      <c r="A1217" s="11" t="s">
        <v>7569</v>
      </c>
      <c r="B1217" s="11" t="s">
        <v>42</v>
      </c>
      <c r="C1217" s="11" t="s">
        <v>286</v>
      </c>
      <c r="D1217" s="11" t="s">
        <v>287</v>
      </c>
      <c r="E1217" s="11" t="s">
        <v>532</v>
      </c>
      <c r="F1217" s="11" t="s">
        <v>7570</v>
      </c>
      <c r="G1217" s="11" t="s">
        <v>1634</v>
      </c>
      <c r="H1217" s="11"/>
      <c r="I1217" s="11" t="s">
        <v>7571</v>
      </c>
      <c r="J1217" s="11" t="s">
        <v>7572</v>
      </c>
      <c r="K1217" s="11" t="s">
        <v>717</v>
      </c>
      <c r="L1217" s="11" t="s">
        <v>7573</v>
      </c>
      <c r="M1217" s="11"/>
      <c r="N1217" s="14" t="n">
        <v>1</v>
      </c>
      <c r="O1217" s="14" t="n">
        <v>4</v>
      </c>
      <c r="P1217" s="14" t="n">
        <v>2</v>
      </c>
      <c r="Q1217" s="14"/>
      <c r="R1217" s="12" t="n">
        <f aca="false">IF(OR(N1217="",P1217=""),"",ROUND(N1217*O1217/P1217,1))</f>
        <v>2</v>
      </c>
      <c r="S1217" s="13" t="n">
        <f aca="false">IF(R1217="","",IF(Q1217="Y",1,IF(P1217&gt;='Read me'!$B$16,3,IF(AND(R1217&gt;='Read me'!$B$14,P1217&lt;='Read me'!$B$15),1,2))))</f>
        <v>2</v>
      </c>
    </row>
    <row r="1218" customFormat="false" ht="23.85" hidden="false" customHeight="false" outlineLevel="0" collapsed="false">
      <c r="A1218" s="11" t="s">
        <v>7574</v>
      </c>
      <c r="B1218" s="11" t="s">
        <v>42</v>
      </c>
      <c r="C1218" s="11" t="s">
        <v>286</v>
      </c>
      <c r="D1218" s="11" t="s">
        <v>287</v>
      </c>
      <c r="E1218" s="11" t="s">
        <v>532</v>
      </c>
      <c r="F1218" s="11" t="s">
        <v>7546</v>
      </c>
      <c r="G1218" s="11" t="s">
        <v>7547</v>
      </c>
      <c r="H1218" s="11" t="s">
        <v>686</v>
      </c>
      <c r="I1218" s="11" t="s">
        <v>7575</v>
      </c>
      <c r="J1218" s="11" t="s">
        <v>7576</v>
      </c>
      <c r="K1218" s="11" t="s">
        <v>3448</v>
      </c>
      <c r="L1218" s="11"/>
      <c r="M1218" s="11"/>
      <c r="N1218" s="14" t="n">
        <v>3</v>
      </c>
      <c r="O1218" s="14" t="n">
        <v>2</v>
      </c>
      <c r="P1218" s="14" t="n">
        <v>1</v>
      </c>
      <c r="Q1218" s="14"/>
      <c r="R1218" s="12" t="n">
        <f aca="false">IF(OR(N1218="",P1218=""),"",ROUND(N1218*O1218/P1218,1))</f>
        <v>6</v>
      </c>
      <c r="S1218" s="13" t="n">
        <f aca="false">IF(R1218="","",IF(Q1218="Y",1,IF(P1218&gt;='Read me'!$B$16,3,IF(AND(R1218&gt;='Read me'!$B$14,P1218&lt;='Read me'!$B$15),1,2))))</f>
        <v>1</v>
      </c>
    </row>
    <row r="1219" customFormat="false" ht="23.85" hidden="false" customHeight="false" outlineLevel="0" collapsed="false">
      <c r="A1219" s="11" t="s">
        <v>7577</v>
      </c>
      <c r="B1219" s="11" t="s">
        <v>42</v>
      </c>
      <c r="C1219" s="11" t="s">
        <v>286</v>
      </c>
      <c r="D1219" s="11" t="s">
        <v>287</v>
      </c>
      <c r="E1219" s="11" t="s">
        <v>532</v>
      </c>
      <c r="F1219" s="11" t="s">
        <v>7553</v>
      </c>
      <c r="G1219" s="11" t="s">
        <v>829</v>
      </c>
      <c r="H1219" s="11" t="s">
        <v>846</v>
      </c>
      <c r="I1219" s="11" t="s">
        <v>7578</v>
      </c>
      <c r="J1219" s="11" t="s">
        <v>7579</v>
      </c>
      <c r="K1219" s="11" t="s">
        <v>7580</v>
      </c>
      <c r="L1219" s="11"/>
      <c r="M1219" s="11"/>
      <c r="N1219" s="14" t="n">
        <v>2</v>
      </c>
      <c r="O1219" s="14" t="n">
        <v>2</v>
      </c>
      <c r="P1219" s="14" t="n">
        <v>1</v>
      </c>
      <c r="Q1219" s="14"/>
      <c r="R1219" s="12" t="n">
        <f aca="false">IF(OR(N1219="",P1219=""),"",ROUND(N1219*O1219/P1219,1))</f>
        <v>4</v>
      </c>
      <c r="S1219" s="13" t="n">
        <f aca="false">IF(R1219="","",IF(Q1219="Y",1,IF(P1219&gt;='Read me'!$B$16,3,IF(AND(R1219&gt;='Read me'!$B$14,P1219&lt;='Read me'!$B$15),1,2))))</f>
        <v>2</v>
      </c>
    </row>
    <row r="1220" customFormat="false" ht="23.85" hidden="false" customHeight="false" outlineLevel="0" collapsed="false">
      <c r="A1220" s="11" t="s">
        <v>7581</v>
      </c>
      <c r="B1220" s="11" t="s">
        <v>42</v>
      </c>
      <c r="C1220" s="11" t="s">
        <v>286</v>
      </c>
      <c r="D1220" s="11" t="s">
        <v>287</v>
      </c>
      <c r="E1220" s="11" t="s">
        <v>532</v>
      </c>
      <c r="F1220" s="11" t="s">
        <v>7546</v>
      </c>
      <c r="G1220" s="11" t="s">
        <v>4253</v>
      </c>
      <c r="H1220" s="11"/>
      <c r="I1220" s="11" t="s">
        <v>7582</v>
      </c>
      <c r="J1220" s="11" t="s">
        <v>7583</v>
      </c>
      <c r="K1220" s="11" t="s">
        <v>7584</v>
      </c>
      <c r="L1220" s="11" t="s">
        <v>7585</v>
      </c>
      <c r="M1220" s="11" t="s">
        <v>4258</v>
      </c>
      <c r="N1220" s="14" t="n">
        <v>2</v>
      </c>
      <c r="O1220" s="14" t="n">
        <v>3</v>
      </c>
      <c r="P1220" s="14" t="n">
        <v>2</v>
      </c>
      <c r="Q1220" s="14"/>
      <c r="R1220" s="12" t="n">
        <f aca="false">IF(OR(N1220="",P1220=""),"",ROUND(N1220*O1220/P1220,1))</f>
        <v>3</v>
      </c>
      <c r="S1220" s="13" t="n">
        <f aca="false">IF(R1220="","",IF(Q1220="Y",1,IF(P1220&gt;='Read me'!$B$16,3,IF(AND(R1220&gt;='Read me'!$B$14,P1220&lt;='Read me'!$B$15),1,2))))</f>
        <v>2</v>
      </c>
    </row>
    <row r="1221" customFormat="false" ht="35.05" hidden="false" customHeight="false" outlineLevel="0" collapsed="false">
      <c r="A1221" s="11" t="s">
        <v>7586</v>
      </c>
      <c r="B1221" s="11" t="s">
        <v>42</v>
      </c>
      <c r="C1221" s="11" t="s">
        <v>286</v>
      </c>
      <c r="D1221" s="11" t="s">
        <v>287</v>
      </c>
      <c r="E1221" s="11" t="s">
        <v>626</v>
      </c>
      <c r="F1221" s="11" t="s">
        <v>7587</v>
      </c>
      <c r="G1221" s="11" t="s">
        <v>497</v>
      </c>
      <c r="H1221" s="11"/>
      <c r="I1221" s="11" t="s">
        <v>7588</v>
      </c>
      <c r="J1221" s="11" t="s">
        <v>7589</v>
      </c>
      <c r="K1221" s="11" t="s">
        <v>1028</v>
      </c>
      <c r="L1221" s="11" t="s">
        <v>7590</v>
      </c>
      <c r="M1221" s="11" t="s">
        <v>7538</v>
      </c>
      <c r="N1221" s="14" t="n">
        <v>2</v>
      </c>
      <c r="O1221" s="14" t="n">
        <v>2</v>
      </c>
      <c r="P1221" s="14" t="n">
        <v>3</v>
      </c>
      <c r="Q1221" s="14"/>
      <c r="R1221" s="12" t="n">
        <f aca="false">IF(OR(N1221="",P1221=""),"",ROUND(N1221*O1221/P1221,1))</f>
        <v>1.3</v>
      </c>
      <c r="S1221" s="13" t="n">
        <f aca="false">IF(R1221="","",IF(Q1221="Y",1,IF(P1221&gt;='Read me'!$B$16,3,IF(AND(R1221&gt;='Read me'!$B$14,P1221&lt;='Read me'!$B$15),1,2))))</f>
        <v>2</v>
      </c>
    </row>
    <row r="1222" customFormat="false" ht="23.85" hidden="false" customHeight="false" outlineLevel="0" collapsed="false">
      <c r="A1222" s="11" t="s">
        <v>7591</v>
      </c>
      <c r="B1222" s="11" t="s">
        <v>42</v>
      </c>
      <c r="C1222" s="11" t="s">
        <v>286</v>
      </c>
      <c r="D1222" s="11" t="s">
        <v>287</v>
      </c>
      <c r="E1222" s="11" t="s">
        <v>751</v>
      </c>
      <c r="F1222" s="11" t="s">
        <v>7592</v>
      </c>
      <c r="G1222" s="11" t="s">
        <v>511</v>
      </c>
      <c r="H1222" s="11"/>
      <c r="I1222" s="11" t="s">
        <v>7593</v>
      </c>
      <c r="J1222" s="11" t="s">
        <v>7594</v>
      </c>
      <c r="K1222" s="11" t="s">
        <v>7595</v>
      </c>
      <c r="L1222" s="11" t="s">
        <v>7596</v>
      </c>
      <c r="M1222" s="11" t="s">
        <v>7597</v>
      </c>
      <c r="N1222" s="14" t="n">
        <v>4</v>
      </c>
      <c r="O1222" s="14" t="n">
        <v>4</v>
      </c>
      <c r="P1222" s="14" t="n">
        <v>2</v>
      </c>
      <c r="Q1222" s="14"/>
      <c r="R1222" s="12" t="n">
        <f aca="false">IF(OR(N1222="",P1222=""),"",ROUND(N1222*O1222/P1222,1))</f>
        <v>8</v>
      </c>
      <c r="S1222" s="13" t="n">
        <f aca="false">IF(R1222="","",IF(Q1222="Y",1,IF(P1222&gt;='Read me'!$B$16,3,IF(AND(R1222&gt;='Read me'!$B$14,P1222&lt;='Read me'!$B$15),1,2))))</f>
        <v>1</v>
      </c>
    </row>
    <row r="1223" customFormat="false" ht="23.85" hidden="false" customHeight="false" outlineLevel="0" collapsed="false">
      <c r="A1223" s="11" t="s">
        <v>7598</v>
      </c>
      <c r="B1223" s="11" t="s">
        <v>42</v>
      </c>
      <c r="C1223" s="11" t="s">
        <v>286</v>
      </c>
      <c r="D1223" s="11" t="s">
        <v>287</v>
      </c>
      <c r="E1223" s="11" t="s">
        <v>751</v>
      </c>
      <c r="F1223" s="11" t="s">
        <v>1251</v>
      </c>
      <c r="G1223" s="11" t="s">
        <v>1252</v>
      </c>
      <c r="H1223" s="11"/>
      <c r="I1223" s="11" t="s">
        <v>1251</v>
      </c>
      <c r="J1223" s="11" t="s">
        <v>7599</v>
      </c>
      <c r="K1223" s="11" t="s">
        <v>1575</v>
      </c>
      <c r="L1223" s="11" t="s">
        <v>3967</v>
      </c>
      <c r="M1223" s="11" t="s">
        <v>1577</v>
      </c>
      <c r="N1223" s="14" t="n">
        <v>4</v>
      </c>
      <c r="O1223" s="14" t="n">
        <v>4</v>
      </c>
      <c r="P1223" s="14" t="n">
        <v>3</v>
      </c>
      <c r="Q1223" s="14"/>
      <c r="R1223" s="12" t="n">
        <f aca="false">IF(OR(N1223="",P1223=""),"",ROUND(N1223*O1223/P1223,1))</f>
        <v>5.3</v>
      </c>
      <c r="S1223" s="13" t="n">
        <f aca="false">IF(R1223="","",IF(Q1223="Y",1,IF(P1223&gt;='Read me'!$B$16,3,IF(AND(R1223&gt;='Read me'!$B$14,P1223&lt;='Read me'!$B$15),1,2))))</f>
        <v>2</v>
      </c>
    </row>
    <row r="1224" customFormat="false" ht="23.85" hidden="false" customHeight="false" outlineLevel="0" collapsed="false">
      <c r="A1224" s="11" t="s">
        <v>7600</v>
      </c>
      <c r="B1224" s="11" t="s">
        <v>42</v>
      </c>
      <c r="C1224" s="11" t="s">
        <v>286</v>
      </c>
      <c r="D1224" s="11" t="s">
        <v>287</v>
      </c>
      <c r="E1224" s="11" t="s">
        <v>751</v>
      </c>
      <c r="F1224" s="11" t="s">
        <v>3499</v>
      </c>
      <c r="G1224" s="11"/>
      <c r="H1224" s="11" t="s">
        <v>1284</v>
      </c>
      <c r="I1224" s="11" t="s">
        <v>754</v>
      </c>
      <c r="J1224" s="11" t="s">
        <v>7601</v>
      </c>
      <c r="K1224" s="11" t="s">
        <v>616</v>
      </c>
      <c r="L1224" s="11" t="s">
        <v>7602</v>
      </c>
      <c r="M1224" s="11"/>
      <c r="N1224" s="14" t="n">
        <v>2</v>
      </c>
      <c r="O1224" s="14" t="n">
        <v>2</v>
      </c>
      <c r="P1224" s="14" t="n">
        <v>3</v>
      </c>
      <c r="Q1224" s="14"/>
      <c r="R1224" s="12" t="n">
        <f aca="false">IF(OR(N1224="",P1224=""),"",ROUND(N1224*O1224/P1224,1))</f>
        <v>1.3</v>
      </c>
      <c r="S1224" s="13" t="n">
        <f aca="false">IF(R1224="","",IF(Q1224="Y",1,IF(P1224&gt;='Read me'!$B$16,3,IF(AND(R1224&gt;='Read me'!$B$14,P1224&lt;='Read me'!$B$15),1,2))))</f>
        <v>2</v>
      </c>
    </row>
    <row r="1225" customFormat="false" ht="23.85" hidden="false" customHeight="false" outlineLevel="0" collapsed="false">
      <c r="A1225" s="11" t="s">
        <v>7603</v>
      </c>
      <c r="B1225" s="11" t="s">
        <v>42</v>
      </c>
      <c r="C1225" s="11" t="s">
        <v>286</v>
      </c>
      <c r="D1225" s="11" t="s">
        <v>287</v>
      </c>
      <c r="E1225" s="11" t="s">
        <v>751</v>
      </c>
      <c r="F1225" s="11" t="s">
        <v>3520</v>
      </c>
      <c r="G1225" s="11"/>
      <c r="H1225" s="11" t="s">
        <v>1333</v>
      </c>
      <c r="I1225" s="11" t="s">
        <v>1327</v>
      </c>
      <c r="J1225" s="11" t="s">
        <v>7604</v>
      </c>
      <c r="K1225" s="11" t="s">
        <v>762</v>
      </c>
      <c r="L1225" s="11" t="s">
        <v>7605</v>
      </c>
      <c r="M1225" s="11"/>
      <c r="N1225" s="14" t="n">
        <v>1</v>
      </c>
      <c r="O1225" s="14" t="n">
        <v>3</v>
      </c>
      <c r="P1225" s="14" t="n">
        <v>4</v>
      </c>
      <c r="Q1225" s="14"/>
      <c r="R1225" s="12" t="n">
        <f aca="false">IF(OR(N1225="",P1225=""),"",ROUND(N1225*O1225/P1225,1))</f>
        <v>0.8</v>
      </c>
      <c r="S1225" s="13" t="n">
        <f aca="false">IF(R1225="","",IF(Q1225="Y",1,IF(P1225&gt;='Read me'!$B$16,3,IF(AND(R1225&gt;='Read me'!$B$14,P1225&lt;='Read me'!$B$15),1,2))))</f>
        <v>3</v>
      </c>
    </row>
    <row r="1226" customFormat="false" ht="15" hidden="false" customHeight="false" outlineLevel="0" collapsed="false">
      <c r="A1226" s="11" t="s">
        <v>7606</v>
      </c>
      <c r="B1226" s="11" t="s">
        <v>42</v>
      </c>
      <c r="C1226" s="11" t="s">
        <v>286</v>
      </c>
      <c r="D1226" s="11" t="s">
        <v>287</v>
      </c>
      <c r="E1226" s="11" t="s">
        <v>802</v>
      </c>
      <c r="F1226" s="11" t="s">
        <v>7607</v>
      </c>
      <c r="G1226" s="11" t="s">
        <v>3440</v>
      </c>
      <c r="H1226" s="11"/>
      <c r="I1226" s="11" t="s">
        <v>7608</v>
      </c>
      <c r="J1226" s="11" t="s">
        <v>7609</v>
      </c>
      <c r="K1226" s="11" t="s">
        <v>3218</v>
      </c>
      <c r="L1226" s="11" t="s">
        <v>7610</v>
      </c>
      <c r="M1226" s="11"/>
      <c r="N1226" s="14" t="n">
        <v>3</v>
      </c>
      <c r="O1226" s="14" t="n">
        <v>3</v>
      </c>
      <c r="P1226" s="14" t="n">
        <v>1</v>
      </c>
      <c r="Q1226" s="14"/>
      <c r="R1226" s="12" t="n">
        <f aca="false">IF(OR(N1226="",P1226=""),"",ROUND(N1226*O1226/P1226,1))</f>
        <v>9</v>
      </c>
      <c r="S1226" s="13" t="n">
        <f aca="false">IF(R1226="","",IF(Q1226="Y",1,IF(P1226&gt;='Read me'!$B$16,3,IF(AND(R1226&gt;='Read me'!$B$14,P1226&lt;='Read me'!$B$15),1,2))))</f>
        <v>1</v>
      </c>
    </row>
    <row r="1227" customFormat="false" ht="15" hidden="false" customHeight="false" outlineLevel="0" collapsed="false">
      <c r="A1227" s="11" t="s">
        <v>7611</v>
      </c>
      <c r="B1227" s="11" t="s">
        <v>42</v>
      </c>
      <c r="C1227" s="11" t="s">
        <v>286</v>
      </c>
      <c r="D1227" s="11" t="s">
        <v>287</v>
      </c>
      <c r="E1227" s="11" t="s">
        <v>765</v>
      </c>
      <c r="F1227" s="11" t="s">
        <v>3524</v>
      </c>
      <c r="G1227" s="11" t="s">
        <v>7612</v>
      </c>
      <c r="H1227" s="11"/>
      <c r="I1227" s="11" t="s">
        <v>7613</v>
      </c>
      <c r="J1227" s="11" t="s">
        <v>7614</v>
      </c>
      <c r="K1227" s="11" t="s">
        <v>2354</v>
      </c>
      <c r="L1227" s="11" t="s">
        <v>7615</v>
      </c>
      <c r="M1227" s="11"/>
      <c r="N1227" s="14" t="n">
        <v>5</v>
      </c>
      <c r="O1227" s="14" t="n">
        <v>3</v>
      </c>
      <c r="P1227" s="14" t="n">
        <v>1</v>
      </c>
      <c r="Q1227" s="14"/>
      <c r="R1227" s="12" t="n">
        <f aca="false">IF(OR(N1227="",P1227=""),"",ROUND(N1227*O1227/P1227,1))</f>
        <v>15</v>
      </c>
      <c r="S1227" s="13" t="n">
        <f aca="false">IF(R1227="","",IF(Q1227="Y",1,IF(P1227&gt;='Read me'!$B$16,3,IF(AND(R1227&gt;='Read me'!$B$14,P1227&lt;='Read me'!$B$15),1,2))))</f>
        <v>1</v>
      </c>
    </row>
    <row r="1228" customFormat="false" ht="15" hidden="false" customHeight="false" outlineLevel="0" collapsed="false">
      <c r="A1228" s="11" t="s">
        <v>7616</v>
      </c>
      <c r="B1228" s="11" t="s">
        <v>42</v>
      </c>
      <c r="C1228" s="11" t="s">
        <v>286</v>
      </c>
      <c r="D1228" s="11" t="s">
        <v>287</v>
      </c>
      <c r="E1228" s="11" t="s">
        <v>765</v>
      </c>
      <c r="F1228" s="11" t="s">
        <v>7617</v>
      </c>
      <c r="G1228" s="11" t="s">
        <v>7618</v>
      </c>
      <c r="H1228" s="11"/>
      <c r="I1228" s="11" t="s">
        <v>7619</v>
      </c>
      <c r="J1228" s="11" t="s">
        <v>7620</v>
      </c>
      <c r="K1228" s="11" t="s">
        <v>7621</v>
      </c>
      <c r="L1228" s="11" t="s">
        <v>7622</v>
      </c>
      <c r="M1228" s="11"/>
      <c r="N1228" s="14" t="n">
        <v>2</v>
      </c>
      <c r="O1228" s="14" t="n">
        <v>2</v>
      </c>
      <c r="P1228" s="14" t="n">
        <v>1</v>
      </c>
      <c r="Q1228" s="14"/>
      <c r="R1228" s="12" t="n">
        <f aca="false">IF(OR(N1228="",P1228=""),"",ROUND(N1228*O1228/P1228,1))</f>
        <v>4</v>
      </c>
      <c r="S1228" s="13" t="n">
        <f aca="false">IF(R1228="","",IF(Q1228="Y",1,IF(P1228&gt;='Read me'!$B$16,3,IF(AND(R1228&gt;='Read me'!$B$14,P1228&lt;='Read me'!$B$15),1,2))))</f>
        <v>2</v>
      </c>
    </row>
    <row r="1229" customFormat="false" ht="23.85" hidden="false" customHeight="false" outlineLevel="0" collapsed="false">
      <c r="A1229" s="11" t="s">
        <v>7623</v>
      </c>
      <c r="B1229" s="11" t="s">
        <v>42</v>
      </c>
      <c r="C1229" s="11" t="s">
        <v>286</v>
      </c>
      <c r="D1229" s="11" t="s">
        <v>287</v>
      </c>
      <c r="E1229" s="11" t="s">
        <v>765</v>
      </c>
      <c r="F1229" s="11" t="s">
        <v>3537</v>
      </c>
      <c r="G1229" s="11" t="s">
        <v>822</v>
      </c>
      <c r="H1229" s="11"/>
      <c r="I1229" s="11" t="s">
        <v>7624</v>
      </c>
      <c r="J1229" s="11" t="s">
        <v>7625</v>
      </c>
      <c r="K1229" s="11" t="s">
        <v>1609</v>
      </c>
      <c r="L1229" s="11" t="s">
        <v>7626</v>
      </c>
      <c r="M1229" s="11"/>
      <c r="N1229" s="14" t="n">
        <v>2</v>
      </c>
      <c r="O1229" s="14" t="n">
        <v>2</v>
      </c>
      <c r="P1229" s="14" t="n">
        <v>3</v>
      </c>
      <c r="Q1229" s="14"/>
      <c r="R1229" s="12" t="n">
        <f aca="false">IF(OR(N1229="",P1229=""),"",ROUND(N1229*O1229/P1229,1))</f>
        <v>1.3</v>
      </c>
      <c r="S1229" s="13" t="n">
        <f aca="false">IF(R1229="","",IF(Q1229="Y",1,IF(P1229&gt;='Read me'!$B$16,3,IF(AND(R1229&gt;='Read me'!$B$14,P1229&lt;='Read me'!$B$15),1,2))))</f>
        <v>2</v>
      </c>
    </row>
    <row r="1230" customFormat="false" ht="23.85" hidden="false" customHeight="false" outlineLevel="0" collapsed="false">
      <c r="A1230" s="11" t="s">
        <v>7627</v>
      </c>
      <c r="B1230" s="11" t="s">
        <v>42</v>
      </c>
      <c r="C1230" s="11" t="s">
        <v>286</v>
      </c>
      <c r="D1230" s="11" t="s">
        <v>287</v>
      </c>
      <c r="E1230" s="11" t="s">
        <v>1187</v>
      </c>
      <c r="F1230" s="11" t="s">
        <v>7628</v>
      </c>
      <c r="G1230" s="11" t="s">
        <v>7629</v>
      </c>
      <c r="H1230" s="11" t="s">
        <v>1700</v>
      </c>
      <c r="I1230" s="11" t="s">
        <v>512</v>
      </c>
      <c r="J1230" s="11" t="s">
        <v>7630</v>
      </c>
      <c r="K1230" s="11" t="s">
        <v>4472</v>
      </c>
      <c r="L1230" s="11" t="s">
        <v>7631</v>
      </c>
      <c r="M1230" s="11"/>
      <c r="N1230" s="14" t="n">
        <v>1</v>
      </c>
      <c r="O1230" s="14" t="n">
        <v>3</v>
      </c>
      <c r="P1230" s="14" t="n">
        <v>3</v>
      </c>
      <c r="Q1230" s="14"/>
      <c r="R1230" s="12" t="n">
        <f aca="false">IF(OR(N1230="",P1230=""),"",ROUND(N1230*O1230/P1230,1))</f>
        <v>1</v>
      </c>
      <c r="S1230" s="13" t="n">
        <f aca="false">IF(R1230="","",IF(Q1230="Y",1,IF(P1230&gt;='Read me'!$B$16,3,IF(AND(R1230&gt;='Read me'!$B$14,P1230&lt;='Read me'!$B$15),1,2))))</f>
        <v>2</v>
      </c>
    </row>
    <row r="1231" customFormat="false" ht="23.85" hidden="false" customHeight="false" outlineLevel="0" collapsed="false">
      <c r="A1231" s="11" t="s">
        <v>7632</v>
      </c>
      <c r="B1231" s="11" t="s">
        <v>42</v>
      </c>
      <c r="C1231" s="11" t="s">
        <v>286</v>
      </c>
      <c r="D1231" s="11" t="s">
        <v>287</v>
      </c>
      <c r="E1231" s="11" t="s">
        <v>1187</v>
      </c>
      <c r="F1231" s="11" t="s">
        <v>7633</v>
      </c>
      <c r="G1231" s="11" t="s">
        <v>7634</v>
      </c>
      <c r="H1231" s="11" t="s">
        <v>7635</v>
      </c>
      <c r="I1231" s="11" t="s">
        <v>7636</v>
      </c>
      <c r="J1231" s="11" t="s">
        <v>7637</v>
      </c>
      <c r="K1231" s="11" t="s">
        <v>1843</v>
      </c>
      <c r="L1231" s="11" t="s">
        <v>7638</v>
      </c>
      <c r="M1231" s="11"/>
      <c r="N1231" s="14" t="n">
        <v>1</v>
      </c>
      <c r="O1231" s="14" t="n">
        <v>2</v>
      </c>
      <c r="P1231" s="14" t="n">
        <v>2</v>
      </c>
      <c r="Q1231" s="14"/>
      <c r="R1231" s="12" t="n">
        <f aca="false">IF(OR(N1231="",P1231=""),"",ROUND(N1231*O1231/P1231,1))</f>
        <v>1</v>
      </c>
      <c r="S1231" s="13" t="n">
        <f aca="false">IF(R1231="","",IF(Q1231="Y",1,IF(P1231&gt;='Read me'!$B$16,3,IF(AND(R1231&gt;='Read me'!$B$14,P1231&lt;='Read me'!$B$15),1,2))))</f>
        <v>2</v>
      </c>
    </row>
    <row r="1232" customFormat="false" ht="15" hidden="false" customHeight="false" outlineLevel="0" collapsed="false">
      <c r="A1232" s="11" t="s">
        <v>7639</v>
      </c>
      <c r="B1232" s="11" t="s">
        <v>42</v>
      </c>
      <c r="C1232" s="11" t="s">
        <v>286</v>
      </c>
      <c r="D1232" s="11" t="s">
        <v>287</v>
      </c>
      <c r="E1232" s="11" t="s">
        <v>1133</v>
      </c>
      <c r="F1232" s="11" t="s">
        <v>3594</v>
      </c>
      <c r="G1232" s="11" t="s">
        <v>2109</v>
      </c>
      <c r="H1232" s="11"/>
      <c r="I1232" s="11" t="s">
        <v>7640</v>
      </c>
      <c r="J1232" s="11" t="s">
        <v>7641</v>
      </c>
      <c r="K1232" s="11" t="s">
        <v>3597</v>
      </c>
      <c r="L1232" s="11" t="s">
        <v>1357</v>
      </c>
      <c r="M1232" s="11"/>
      <c r="N1232" s="14" t="n">
        <v>2</v>
      </c>
      <c r="O1232" s="14" t="n">
        <v>2</v>
      </c>
      <c r="P1232" s="14" t="n">
        <v>1</v>
      </c>
      <c r="Q1232" s="14"/>
      <c r="R1232" s="12" t="n">
        <f aca="false">IF(OR(N1232="",P1232=""),"",ROUND(N1232*O1232/P1232,1))</f>
        <v>4</v>
      </c>
      <c r="S1232" s="13" t="n">
        <f aca="false">IF(R1232="","",IF(Q1232="Y",1,IF(P1232&gt;='Read me'!$B$16,3,IF(AND(R1232&gt;='Read me'!$B$14,P1232&lt;='Read me'!$B$15),1,2))))</f>
        <v>2</v>
      </c>
    </row>
    <row r="1233" customFormat="false" ht="15" hidden="false" customHeight="false" outlineLevel="0" collapsed="false">
      <c r="A1233" s="11" t="s">
        <v>7642</v>
      </c>
      <c r="B1233" s="11" t="s">
        <v>42</v>
      </c>
      <c r="C1233" s="11" t="s">
        <v>286</v>
      </c>
      <c r="D1233" s="11" t="s">
        <v>287</v>
      </c>
      <c r="E1233" s="11" t="s">
        <v>1133</v>
      </c>
      <c r="F1233" s="11" t="s">
        <v>7643</v>
      </c>
      <c r="G1233" s="11" t="s">
        <v>1135</v>
      </c>
      <c r="H1233" s="11"/>
      <c r="I1233" s="11" t="s">
        <v>1136</v>
      </c>
      <c r="J1233" s="11" t="s">
        <v>7644</v>
      </c>
      <c r="K1233" s="11" t="s">
        <v>1138</v>
      </c>
      <c r="L1233" s="11" t="s">
        <v>3775</v>
      </c>
      <c r="M1233" s="11"/>
      <c r="N1233" s="14" t="n">
        <v>2</v>
      </c>
      <c r="O1233" s="14" t="n">
        <v>1</v>
      </c>
      <c r="P1233" s="14" t="n">
        <v>1</v>
      </c>
      <c r="Q1233" s="14"/>
      <c r="R1233" s="12" t="n">
        <f aca="false">IF(OR(N1233="",P1233=""),"",ROUND(N1233*O1233/P1233,1))</f>
        <v>2</v>
      </c>
      <c r="S1233" s="13" t="n">
        <f aca="false">IF(R1233="","",IF(Q1233="Y",1,IF(P1233&gt;='Read me'!$B$16,3,IF(AND(R1233&gt;='Read me'!$B$14,P1233&lt;='Read me'!$B$15),1,2))))</f>
        <v>2</v>
      </c>
    </row>
    <row r="1234" customFormat="false" ht="23.85" hidden="false" customHeight="false" outlineLevel="0" collapsed="false">
      <c r="A1234" s="11" t="s">
        <v>7645</v>
      </c>
      <c r="B1234" s="11" t="s">
        <v>42</v>
      </c>
      <c r="C1234" s="11" t="s">
        <v>289</v>
      </c>
      <c r="D1234" s="11" t="s">
        <v>290</v>
      </c>
      <c r="E1234" s="11" t="s">
        <v>476</v>
      </c>
      <c r="F1234" s="11" t="s">
        <v>7646</v>
      </c>
      <c r="G1234" s="11" t="s">
        <v>7647</v>
      </c>
      <c r="H1234" s="11"/>
      <c r="I1234" s="11" t="s">
        <v>7648</v>
      </c>
      <c r="J1234" s="11" t="s">
        <v>7649</v>
      </c>
      <c r="K1234" s="11" t="s">
        <v>3606</v>
      </c>
      <c r="L1234" s="11" t="s">
        <v>7650</v>
      </c>
      <c r="M1234" s="11"/>
      <c r="N1234" s="14" t="n">
        <v>4</v>
      </c>
      <c r="O1234" s="14" t="n">
        <v>4</v>
      </c>
      <c r="P1234" s="14" t="n">
        <v>1</v>
      </c>
      <c r="Q1234" s="14"/>
      <c r="R1234" s="12" t="n">
        <f aca="false">IF(OR(N1234="",P1234=""),"",ROUND(N1234*O1234/P1234,1))</f>
        <v>16</v>
      </c>
      <c r="S1234" s="13" t="n">
        <f aca="false">IF(R1234="","",IF(Q1234="Y",1,IF(P1234&gt;='Read me'!$B$16,3,IF(AND(R1234&gt;='Read me'!$B$14,P1234&lt;='Read me'!$B$15),1,2))))</f>
        <v>1</v>
      </c>
    </row>
    <row r="1235" customFormat="false" ht="15" hidden="false" customHeight="false" outlineLevel="0" collapsed="false">
      <c r="A1235" s="11" t="s">
        <v>7651</v>
      </c>
      <c r="B1235" s="11" t="s">
        <v>42</v>
      </c>
      <c r="C1235" s="11" t="s">
        <v>289</v>
      </c>
      <c r="D1235" s="11" t="s">
        <v>290</v>
      </c>
      <c r="E1235" s="11" t="s">
        <v>476</v>
      </c>
      <c r="F1235" s="11" t="s">
        <v>7646</v>
      </c>
      <c r="G1235" s="11" t="s">
        <v>3402</v>
      </c>
      <c r="H1235" s="11"/>
      <c r="I1235" s="11" t="s">
        <v>7652</v>
      </c>
      <c r="J1235" s="11" t="s">
        <v>7653</v>
      </c>
      <c r="K1235" s="11" t="s">
        <v>3606</v>
      </c>
      <c r="L1235" s="11" t="s">
        <v>7654</v>
      </c>
      <c r="M1235" s="11" t="s">
        <v>4258</v>
      </c>
      <c r="N1235" s="14" t="n">
        <v>3</v>
      </c>
      <c r="O1235" s="14" t="n">
        <v>3</v>
      </c>
      <c r="P1235" s="14" t="n">
        <v>1</v>
      </c>
      <c r="Q1235" s="14"/>
      <c r="R1235" s="12" t="n">
        <f aca="false">IF(OR(N1235="",P1235=""),"",ROUND(N1235*O1235/P1235,1))</f>
        <v>9</v>
      </c>
      <c r="S1235" s="13" t="n">
        <f aca="false">IF(R1235="","",IF(Q1235="Y",1,IF(P1235&gt;='Read me'!$B$16,3,IF(AND(R1235&gt;='Read me'!$B$14,P1235&lt;='Read me'!$B$15),1,2))))</f>
        <v>1</v>
      </c>
    </row>
    <row r="1236" customFormat="false" ht="35.05" hidden="false" customHeight="false" outlineLevel="0" collapsed="false">
      <c r="A1236" s="11" t="s">
        <v>7655</v>
      </c>
      <c r="B1236" s="11" t="s">
        <v>42</v>
      </c>
      <c r="C1236" s="11" t="s">
        <v>289</v>
      </c>
      <c r="D1236" s="11" t="s">
        <v>290</v>
      </c>
      <c r="E1236" s="11" t="s">
        <v>476</v>
      </c>
      <c r="F1236" s="11" t="s">
        <v>7656</v>
      </c>
      <c r="G1236" s="11" t="s">
        <v>511</v>
      </c>
      <c r="H1236" s="11"/>
      <c r="I1236" s="11" t="s">
        <v>512</v>
      </c>
      <c r="J1236" s="11" t="s">
        <v>7657</v>
      </c>
      <c r="K1236" s="11" t="s">
        <v>7658</v>
      </c>
      <c r="L1236" s="11" t="s">
        <v>7659</v>
      </c>
      <c r="M1236" s="11" t="s">
        <v>3376</v>
      </c>
      <c r="N1236" s="14" t="n">
        <v>4</v>
      </c>
      <c r="O1236" s="14" t="n">
        <v>5</v>
      </c>
      <c r="P1236" s="14" t="n">
        <v>2</v>
      </c>
      <c r="Q1236" s="14"/>
      <c r="R1236" s="12" t="n">
        <f aca="false">IF(OR(N1236="",P1236=""),"",ROUND(N1236*O1236/P1236,1))</f>
        <v>10</v>
      </c>
      <c r="S1236" s="13" t="n">
        <f aca="false">IF(R1236="","",IF(Q1236="Y",1,IF(P1236&gt;='Read me'!$B$16,3,IF(AND(R1236&gt;='Read me'!$B$14,P1236&lt;='Read me'!$B$15),1,2))))</f>
        <v>1</v>
      </c>
    </row>
    <row r="1237" customFormat="false" ht="23.85" hidden="false" customHeight="false" outlineLevel="0" collapsed="false">
      <c r="A1237" s="11" t="s">
        <v>7660</v>
      </c>
      <c r="B1237" s="11" t="s">
        <v>42</v>
      </c>
      <c r="C1237" s="11" t="s">
        <v>289</v>
      </c>
      <c r="D1237" s="11" t="s">
        <v>290</v>
      </c>
      <c r="E1237" s="11" t="s">
        <v>476</v>
      </c>
      <c r="F1237" s="11" t="s">
        <v>7661</v>
      </c>
      <c r="G1237" s="11" t="s">
        <v>7662</v>
      </c>
      <c r="H1237" s="11"/>
      <c r="I1237" s="11" t="s">
        <v>7663</v>
      </c>
      <c r="J1237" s="11" t="s">
        <v>7664</v>
      </c>
      <c r="K1237" s="11" t="s">
        <v>507</v>
      </c>
      <c r="L1237" s="11" t="s">
        <v>7665</v>
      </c>
      <c r="M1237" s="11"/>
      <c r="N1237" s="14" t="n">
        <v>3</v>
      </c>
      <c r="O1237" s="14" t="n">
        <v>4</v>
      </c>
      <c r="P1237" s="14" t="n">
        <v>1</v>
      </c>
      <c r="Q1237" s="14"/>
      <c r="R1237" s="12" t="n">
        <f aca="false">IF(OR(N1237="",P1237=""),"",ROUND(N1237*O1237/P1237,1))</f>
        <v>12</v>
      </c>
      <c r="S1237" s="13" t="n">
        <f aca="false">IF(R1237="","",IF(Q1237="Y",1,IF(P1237&gt;='Read me'!$B$16,3,IF(AND(R1237&gt;='Read me'!$B$14,P1237&lt;='Read me'!$B$15),1,2))))</f>
        <v>1</v>
      </c>
    </row>
    <row r="1238" customFormat="false" ht="23.85" hidden="false" customHeight="false" outlineLevel="0" collapsed="false">
      <c r="A1238" s="11" t="s">
        <v>7666</v>
      </c>
      <c r="B1238" s="11" t="s">
        <v>42</v>
      </c>
      <c r="C1238" s="11" t="s">
        <v>289</v>
      </c>
      <c r="D1238" s="11" t="s">
        <v>290</v>
      </c>
      <c r="E1238" s="11" t="s">
        <v>532</v>
      </c>
      <c r="F1238" s="11" t="s">
        <v>7667</v>
      </c>
      <c r="G1238" s="11" t="s">
        <v>7668</v>
      </c>
      <c r="H1238" s="11"/>
      <c r="I1238" s="11" t="s">
        <v>7669</v>
      </c>
      <c r="J1238" s="11" t="s">
        <v>7670</v>
      </c>
      <c r="K1238" s="11" t="s">
        <v>7671</v>
      </c>
      <c r="L1238" s="11" t="s">
        <v>7672</v>
      </c>
      <c r="M1238" s="11"/>
      <c r="N1238" s="14" t="n">
        <v>4</v>
      </c>
      <c r="O1238" s="14" t="n">
        <v>5</v>
      </c>
      <c r="P1238" s="14" t="n">
        <v>3</v>
      </c>
      <c r="Q1238" s="14"/>
      <c r="R1238" s="12" t="n">
        <f aca="false">IF(OR(N1238="",P1238=""),"",ROUND(N1238*O1238/P1238,1))</f>
        <v>6.7</v>
      </c>
      <c r="S1238" s="13" t="n">
        <f aca="false">IF(R1238="","",IF(Q1238="Y",1,IF(P1238&gt;='Read me'!$B$16,3,IF(AND(R1238&gt;='Read me'!$B$14,P1238&lt;='Read me'!$B$15),1,2))))</f>
        <v>2</v>
      </c>
    </row>
    <row r="1239" customFormat="false" ht="23.85" hidden="false" customHeight="false" outlineLevel="0" collapsed="false">
      <c r="A1239" s="11" t="s">
        <v>7673</v>
      </c>
      <c r="B1239" s="11" t="s">
        <v>42</v>
      </c>
      <c r="C1239" s="11" t="s">
        <v>289</v>
      </c>
      <c r="D1239" s="11" t="s">
        <v>290</v>
      </c>
      <c r="E1239" s="11" t="s">
        <v>532</v>
      </c>
      <c r="F1239" s="11" t="s">
        <v>7667</v>
      </c>
      <c r="G1239" s="11" t="s">
        <v>7668</v>
      </c>
      <c r="H1239" s="11" t="s">
        <v>7674</v>
      </c>
      <c r="I1239" s="11" t="s">
        <v>7675</v>
      </c>
      <c r="J1239" s="11" t="s">
        <v>7676</v>
      </c>
      <c r="K1239" s="11" t="s">
        <v>7677</v>
      </c>
      <c r="L1239" s="11" t="s">
        <v>7678</v>
      </c>
      <c r="M1239" s="11"/>
      <c r="N1239" s="14" t="n">
        <v>2</v>
      </c>
      <c r="O1239" s="14" t="n">
        <v>3</v>
      </c>
      <c r="P1239" s="14" t="n">
        <v>3</v>
      </c>
      <c r="Q1239" s="14"/>
      <c r="R1239" s="12" t="n">
        <f aca="false">IF(OR(N1239="",P1239=""),"",ROUND(N1239*O1239/P1239,1))</f>
        <v>2</v>
      </c>
      <c r="S1239" s="13" t="n">
        <f aca="false">IF(R1239="","",IF(Q1239="Y",1,IF(P1239&gt;='Read me'!$B$16,3,IF(AND(R1239&gt;='Read me'!$B$14,P1239&lt;='Read me'!$B$15),1,2))))</f>
        <v>2</v>
      </c>
    </row>
    <row r="1240" customFormat="false" ht="23.85" hidden="false" customHeight="false" outlineLevel="0" collapsed="false">
      <c r="A1240" s="11" t="s">
        <v>7679</v>
      </c>
      <c r="B1240" s="11" t="s">
        <v>42</v>
      </c>
      <c r="C1240" s="11" t="s">
        <v>289</v>
      </c>
      <c r="D1240" s="11" t="s">
        <v>290</v>
      </c>
      <c r="E1240" s="11" t="s">
        <v>532</v>
      </c>
      <c r="F1240" s="11" t="s">
        <v>7667</v>
      </c>
      <c r="G1240" s="11" t="s">
        <v>7668</v>
      </c>
      <c r="H1240" s="11" t="s">
        <v>686</v>
      </c>
      <c r="I1240" s="11" t="s">
        <v>7680</v>
      </c>
      <c r="J1240" s="11" t="s">
        <v>7681</v>
      </c>
      <c r="K1240" s="11" t="s">
        <v>7682</v>
      </c>
      <c r="L1240" s="11" t="s">
        <v>7683</v>
      </c>
      <c r="M1240" s="11"/>
      <c r="N1240" s="14" t="n">
        <v>3</v>
      </c>
      <c r="O1240" s="14" t="n">
        <v>3</v>
      </c>
      <c r="P1240" s="14" t="n">
        <v>2</v>
      </c>
      <c r="Q1240" s="14"/>
      <c r="R1240" s="12" t="n">
        <f aca="false">IF(OR(N1240="",P1240=""),"",ROUND(N1240*O1240/P1240,1))</f>
        <v>4.5</v>
      </c>
      <c r="S1240" s="13" t="n">
        <f aca="false">IF(R1240="","",IF(Q1240="Y",1,IF(P1240&gt;='Read me'!$B$16,3,IF(AND(R1240&gt;='Read me'!$B$14,P1240&lt;='Read me'!$B$15),1,2))))</f>
        <v>2</v>
      </c>
    </row>
    <row r="1241" customFormat="false" ht="23.85" hidden="false" customHeight="false" outlineLevel="0" collapsed="false">
      <c r="A1241" s="11" t="s">
        <v>7684</v>
      </c>
      <c r="B1241" s="11" t="s">
        <v>42</v>
      </c>
      <c r="C1241" s="11" t="s">
        <v>289</v>
      </c>
      <c r="D1241" s="11" t="s">
        <v>290</v>
      </c>
      <c r="E1241" s="11" t="s">
        <v>532</v>
      </c>
      <c r="F1241" s="11" t="s">
        <v>7685</v>
      </c>
      <c r="G1241" s="11" t="s">
        <v>7686</v>
      </c>
      <c r="H1241" s="11"/>
      <c r="I1241" s="11" t="s">
        <v>7687</v>
      </c>
      <c r="J1241" s="11" t="s">
        <v>7688</v>
      </c>
      <c r="K1241" s="11" t="s">
        <v>7689</v>
      </c>
      <c r="L1241" s="11" t="s">
        <v>7690</v>
      </c>
      <c r="M1241" s="11"/>
      <c r="N1241" s="14" t="n">
        <v>4</v>
      </c>
      <c r="O1241" s="14" t="n">
        <v>4</v>
      </c>
      <c r="P1241" s="14" t="n">
        <v>2</v>
      </c>
      <c r="Q1241" s="14"/>
      <c r="R1241" s="12" t="n">
        <f aca="false">IF(OR(N1241="",P1241=""),"",ROUND(N1241*O1241/P1241,1))</f>
        <v>8</v>
      </c>
      <c r="S1241" s="13" t="n">
        <f aca="false">IF(R1241="","",IF(Q1241="Y",1,IF(P1241&gt;='Read me'!$B$16,3,IF(AND(R1241&gt;='Read me'!$B$14,P1241&lt;='Read me'!$B$15),1,2))))</f>
        <v>1</v>
      </c>
    </row>
    <row r="1242" customFormat="false" ht="15" hidden="false" customHeight="false" outlineLevel="0" collapsed="false">
      <c r="A1242" s="11" t="s">
        <v>7691</v>
      </c>
      <c r="B1242" s="11" t="s">
        <v>42</v>
      </c>
      <c r="C1242" s="11" t="s">
        <v>289</v>
      </c>
      <c r="D1242" s="11" t="s">
        <v>290</v>
      </c>
      <c r="E1242" s="11" t="s">
        <v>532</v>
      </c>
      <c r="F1242" s="11" t="s">
        <v>7685</v>
      </c>
      <c r="G1242" s="11" t="s">
        <v>7692</v>
      </c>
      <c r="H1242" s="11"/>
      <c r="I1242" s="11" t="s">
        <v>7693</v>
      </c>
      <c r="J1242" s="11" t="s">
        <v>7694</v>
      </c>
      <c r="K1242" s="11" t="s">
        <v>7556</v>
      </c>
      <c r="L1242" s="11" t="s">
        <v>7557</v>
      </c>
      <c r="M1242" s="11"/>
      <c r="N1242" s="14" t="n">
        <v>3</v>
      </c>
      <c r="O1242" s="14" t="n">
        <v>4</v>
      </c>
      <c r="P1242" s="14" t="n">
        <v>1</v>
      </c>
      <c r="Q1242" s="14"/>
      <c r="R1242" s="12" t="n">
        <f aca="false">IF(OR(N1242="",P1242=""),"",ROUND(N1242*O1242/P1242,1))</f>
        <v>12</v>
      </c>
      <c r="S1242" s="13" t="n">
        <f aca="false">IF(R1242="","",IF(Q1242="Y",1,IF(P1242&gt;='Read me'!$B$16,3,IF(AND(R1242&gt;='Read me'!$B$14,P1242&lt;='Read me'!$B$15),1,2))))</f>
        <v>1</v>
      </c>
    </row>
    <row r="1243" customFormat="false" ht="23.85" hidden="false" customHeight="false" outlineLevel="0" collapsed="false">
      <c r="A1243" s="11" t="s">
        <v>7695</v>
      </c>
      <c r="B1243" s="11" t="s">
        <v>42</v>
      </c>
      <c r="C1243" s="11" t="s">
        <v>289</v>
      </c>
      <c r="D1243" s="11" t="s">
        <v>290</v>
      </c>
      <c r="E1243" s="11" t="s">
        <v>532</v>
      </c>
      <c r="F1243" s="11" t="s">
        <v>7685</v>
      </c>
      <c r="G1243" s="11" t="s">
        <v>1479</v>
      </c>
      <c r="H1243" s="11"/>
      <c r="I1243" s="11" t="s">
        <v>7696</v>
      </c>
      <c r="J1243" s="11" t="s">
        <v>7697</v>
      </c>
      <c r="K1243" s="11" t="s">
        <v>3415</v>
      </c>
      <c r="L1243" s="11" t="s">
        <v>7698</v>
      </c>
      <c r="M1243" s="11"/>
      <c r="N1243" s="14" t="n">
        <v>2</v>
      </c>
      <c r="O1243" s="14" t="n">
        <v>5</v>
      </c>
      <c r="P1243" s="14" t="n">
        <v>2</v>
      </c>
      <c r="Q1243" s="14"/>
      <c r="R1243" s="12" t="n">
        <f aca="false">IF(OR(N1243="",P1243=""),"",ROUND(N1243*O1243/P1243,1))</f>
        <v>5</v>
      </c>
      <c r="S1243" s="13" t="n">
        <f aca="false">IF(R1243="","",IF(Q1243="Y",1,IF(P1243&gt;='Read me'!$B$16,3,IF(AND(R1243&gt;='Read me'!$B$14,P1243&lt;='Read me'!$B$15),1,2))))</f>
        <v>2</v>
      </c>
    </row>
    <row r="1244" customFormat="false" ht="23.85" hidden="false" customHeight="false" outlineLevel="0" collapsed="false">
      <c r="A1244" s="11" t="s">
        <v>7699</v>
      </c>
      <c r="B1244" s="11" t="s">
        <v>42</v>
      </c>
      <c r="C1244" s="11" t="s">
        <v>289</v>
      </c>
      <c r="D1244" s="11" t="s">
        <v>290</v>
      </c>
      <c r="E1244" s="11" t="s">
        <v>532</v>
      </c>
      <c r="F1244" s="11" t="s">
        <v>7685</v>
      </c>
      <c r="G1244" s="11" t="s">
        <v>1473</v>
      </c>
      <c r="H1244" s="11"/>
      <c r="I1244" s="11" t="s">
        <v>7700</v>
      </c>
      <c r="J1244" s="11" t="s">
        <v>7701</v>
      </c>
      <c r="K1244" s="11" t="s">
        <v>3572</v>
      </c>
      <c r="L1244" s="11" t="s">
        <v>7702</v>
      </c>
      <c r="M1244" s="11" t="s">
        <v>7703</v>
      </c>
      <c r="N1244" s="14" t="n">
        <v>1</v>
      </c>
      <c r="O1244" s="14" t="n">
        <v>3</v>
      </c>
      <c r="P1244" s="14" t="n">
        <v>4</v>
      </c>
      <c r="Q1244" s="14"/>
      <c r="R1244" s="12" t="n">
        <f aca="false">IF(OR(N1244="",P1244=""),"",ROUND(N1244*O1244/P1244,1))</f>
        <v>0.8</v>
      </c>
      <c r="S1244" s="13" t="n">
        <f aca="false">IF(R1244="","",IF(Q1244="Y",1,IF(P1244&gt;='Read me'!$B$16,3,IF(AND(R1244&gt;='Read me'!$B$14,P1244&lt;='Read me'!$B$15),1,2))))</f>
        <v>3</v>
      </c>
    </row>
    <row r="1245" customFormat="false" ht="15" hidden="false" customHeight="false" outlineLevel="0" collapsed="false">
      <c r="A1245" s="11" t="s">
        <v>7704</v>
      </c>
      <c r="B1245" s="11" t="s">
        <v>42</v>
      </c>
      <c r="C1245" s="11" t="s">
        <v>289</v>
      </c>
      <c r="D1245" s="11" t="s">
        <v>290</v>
      </c>
      <c r="E1245" s="11" t="s">
        <v>532</v>
      </c>
      <c r="F1245" s="11" t="s">
        <v>7685</v>
      </c>
      <c r="G1245" s="11" t="s">
        <v>497</v>
      </c>
      <c r="H1245" s="11"/>
      <c r="I1245" s="11" t="s">
        <v>7705</v>
      </c>
      <c r="J1245" s="11" t="s">
        <v>7706</v>
      </c>
      <c r="K1245" s="11" t="s">
        <v>1028</v>
      </c>
      <c r="L1245" s="11" t="s">
        <v>7707</v>
      </c>
      <c r="M1245" s="11"/>
      <c r="N1245" s="14" t="n">
        <v>2</v>
      </c>
      <c r="O1245" s="14" t="n">
        <v>2</v>
      </c>
      <c r="P1245" s="14" t="n">
        <v>3</v>
      </c>
      <c r="Q1245" s="14"/>
      <c r="R1245" s="12" t="n">
        <f aca="false">IF(OR(N1245="",P1245=""),"",ROUND(N1245*O1245/P1245,1))</f>
        <v>1.3</v>
      </c>
      <c r="S1245" s="13" t="n">
        <f aca="false">IF(R1245="","",IF(Q1245="Y",1,IF(P1245&gt;='Read me'!$B$16,3,IF(AND(R1245&gt;='Read me'!$B$14,P1245&lt;='Read me'!$B$15),1,2))))</f>
        <v>2</v>
      </c>
    </row>
    <row r="1246" customFormat="false" ht="23.85" hidden="false" customHeight="false" outlineLevel="0" collapsed="false">
      <c r="A1246" s="11" t="s">
        <v>7708</v>
      </c>
      <c r="B1246" s="11" t="s">
        <v>42</v>
      </c>
      <c r="C1246" s="11" t="s">
        <v>289</v>
      </c>
      <c r="D1246" s="11" t="s">
        <v>290</v>
      </c>
      <c r="E1246" s="11" t="s">
        <v>532</v>
      </c>
      <c r="F1246" s="11" t="s">
        <v>7685</v>
      </c>
      <c r="G1246" s="11" t="s">
        <v>7686</v>
      </c>
      <c r="H1246" s="11" t="s">
        <v>1564</v>
      </c>
      <c r="I1246" s="11" t="s">
        <v>7709</v>
      </c>
      <c r="J1246" s="11" t="s">
        <v>7710</v>
      </c>
      <c r="K1246" s="11" t="s">
        <v>683</v>
      </c>
      <c r="L1246" s="11" t="s">
        <v>7711</v>
      </c>
      <c r="M1246" s="11"/>
      <c r="N1246" s="14" t="n">
        <v>2</v>
      </c>
      <c r="O1246" s="14" t="n">
        <v>3</v>
      </c>
      <c r="P1246" s="14" t="n">
        <v>3</v>
      </c>
      <c r="Q1246" s="14"/>
      <c r="R1246" s="12" t="n">
        <f aca="false">IF(OR(N1246="",P1246=""),"",ROUND(N1246*O1246/P1246,1))</f>
        <v>2</v>
      </c>
      <c r="S1246" s="13" t="n">
        <f aca="false">IF(R1246="","",IF(Q1246="Y",1,IF(P1246&gt;='Read me'!$B$16,3,IF(AND(R1246&gt;='Read me'!$B$14,P1246&lt;='Read me'!$B$15),1,2))))</f>
        <v>2</v>
      </c>
    </row>
    <row r="1247" customFormat="false" ht="15" hidden="false" customHeight="false" outlineLevel="0" collapsed="false">
      <c r="A1247" s="11" t="s">
        <v>7712</v>
      </c>
      <c r="B1247" s="11" t="s">
        <v>42</v>
      </c>
      <c r="C1247" s="11" t="s">
        <v>289</v>
      </c>
      <c r="D1247" s="11" t="s">
        <v>290</v>
      </c>
      <c r="E1247" s="11" t="s">
        <v>532</v>
      </c>
      <c r="F1247" s="11" t="s">
        <v>7685</v>
      </c>
      <c r="G1247" s="11" t="s">
        <v>7686</v>
      </c>
      <c r="H1247" s="11" t="s">
        <v>7713</v>
      </c>
      <c r="I1247" s="11" t="s">
        <v>7714</v>
      </c>
      <c r="J1247" s="11" t="s">
        <v>7715</v>
      </c>
      <c r="K1247" s="11" t="s">
        <v>7716</v>
      </c>
      <c r="L1247" s="11" t="s">
        <v>7717</v>
      </c>
      <c r="M1247" s="11"/>
      <c r="N1247" s="14" t="n">
        <v>2</v>
      </c>
      <c r="O1247" s="14" t="n">
        <v>2</v>
      </c>
      <c r="P1247" s="14" t="n">
        <v>2</v>
      </c>
      <c r="Q1247" s="14"/>
      <c r="R1247" s="12" t="n">
        <f aca="false">IF(OR(N1247="",P1247=""),"",ROUND(N1247*O1247/P1247,1))</f>
        <v>2</v>
      </c>
      <c r="S1247" s="13" t="n">
        <f aca="false">IF(R1247="","",IF(Q1247="Y",1,IF(P1247&gt;='Read me'!$B$16,3,IF(AND(R1247&gt;='Read me'!$B$14,P1247&lt;='Read me'!$B$15),1,2))))</f>
        <v>2</v>
      </c>
    </row>
    <row r="1248" customFormat="false" ht="23.85" hidden="false" customHeight="false" outlineLevel="0" collapsed="false">
      <c r="A1248" s="11" t="s">
        <v>7718</v>
      </c>
      <c r="B1248" s="11" t="s">
        <v>42</v>
      </c>
      <c r="C1248" s="11" t="s">
        <v>289</v>
      </c>
      <c r="D1248" s="11" t="s">
        <v>290</v>
      </c>
      <c r="E1248" s="11" t="s">
        <v>751</v>
      </c>
      <c r="F1248" s="11" t="s">
        <v>7719</v>
      </c>
      <c r="G1248" s="11" t="s">
        <v>7668</v>
      </c>
      <c r="H1248" s="11"/>
      <c r="I1248" s="11" t="s">
        <v>754</v>
      </c>
      <c r="J1248" s="11" t="s">
        <v>7720</v>
      </c>
      <c r="K1248" s="11" t="s">
        <v>1575</v>
      </c>
      <c r="L1248" s="11" t="s">
        <v>7721</v>
      </c>
      <c r="M1248" s="11" t="s">
        <v>1577</v>
      </c>
      <c r="N1248" s="14" t="n">
        <v>4</v>
      </c>
      <c r="O1248" s="14" t="n">
        <v>5</v>
      </c>
      <c r="P1248" s="14" t="n">
        <v>3</v>
      </c>
      <c r="Q1248" s="14"/>
      <c r="R1248" s="12" t="n">
        <f aca="false">IF(OR(N1248="",P1248=""),"",ROUND(N1248*O1248/P1248,1))</f>
        <v>6.7</v>
      </c>
      <c r="S1248" s="13" t="n">
        <f aca="false">IF(R1248="","",IF(Q1248="Y",1,IF(P1248&gt;='Read me'!$B$16,3,IF(AND(R1248&gt;='Read me'!$B$14,P1248&lt;='Read me'!$B$15),1,2))))</f>
        <v>2</v>
      </c>
    </row>
    <row r="1249" customFormat="false" ht="23.85" hidden="false" customHeight="false" outlineLevel="0" collapsed="false">
      <c r="A1249" s="11" t="s">
        <v>7722</v>
      </c>
      <c r="B1249" s="11" t="s">
        <v>42</v>
      </c>
      <c r="C1249" s="11" t="s">
        <v>289</v>
      </c>
      <c r="D1249" s="11" t="s">
        <v>290</v>
      </c>
      <c r="E1249" s="11" t="s">
        <v>751</v>
      </c>
      <c r="F1249" s="11" t="s">
        <v>1258</v>
      </c>
      <c r="G1249" s="11" t="s">
        <v>1259</v>
      </c>
      <c r="H1249" s="11"/>
      <c r="I1249" s="11" t="s">
        <v>7723</v>
      </c>
      <c r="J1249" s="11" t="s">
        <v>7724</v>
      </c>
      <c r="K1249" s="11" t="s">
        <v>1262</v>
      </c>
      <c r="L1249" s="11" t="s">
        <v>7725</v>
      </c>
      <c r="M1249" s="11" t="s">
        <v>1577</v>
      </c>
      <c r="N1249" s="14" t="n">
        <v>2</v>
      </c>
      <c r="O1249" s="14" t="n">
        <v>4</v>
      </c>
      <c r="P1249" s="14" t="n">
        <v>3</v>
      </c>
      <c r="Q1249" s="14"/>
      <c r="R1249" s="12" t="n">
        <f aca="false">IF(OR(N1249="",P1249=""),"",ROUND(N1249*O1249/P1249,1))</f>
        <v>2.7</v>
      </c>
      <c r="S1249" s="13" t="n">
        <f aca="false">IF(R1249="","",IF(Q1249="Y",1,IF(P1249&gt;='Read me'!$B$16,3,IF(AND(R1249&gt;='Read me'!$B$14,P1249&lt;='Read me'!$B$15),1,2))))</f>
        <v>2</v>
      </c>
    </row>
    <row r="1250" customFormat="false" ht="23.85" hidden="false" customHeight="false" outlineLevel="0" collapsed="false">
      <c r="A1250" s="11" t="s">
        <v>7726</v>
      </c>
      <c r="B1250" s="11" t="s">
        <v>42</v>
      </c>
      <c r="C1250" s="11" t="s">
        <v>289</v>
      </c>
      <c r="D1250" s="11" t="s">
        <v>290</v>
      </c>
      <c r="E1250" s="11" t="s">
        <v>751</v>
      </c>
      <c r="F1250" s="11" t="s">
        <v>7719</v>
      </c>
      <c r="G1250" s="11"/>
      <c r="H1250" s="11" t="s">
        <v>1284</v>
      </c>
      <c r="I1250" s="11" t="s">
        <v>754</v>
      </c>
      <c r="J1250" s="11" t="s">
        <v>7727</v>
      </c>
      <c r="K1250" s="11" t="s">
        <v>616</v>
      </c>
      <c r="L1250" s="11" t="s">
        <v>7728</v>
      </c>
      <c r="M1250" s="11"/>
      <c r="N1250" s="14" t="n">
        <v>2</v>
      </c>
      <c r="O1250" s="14" t="n">
        <v>3</v>
      </c>
      <c r="P1250" s="14" t="n">
        <v>4</v>
      </c>
      <c r="Q1250" s="14"/>
      <c r="R1250" s="12" t="n">
        <f aca="false">IF(OR(N1250="",P1250=""),"",ROUND(N1250*O1250/P1250,1))</f>
        <v>1.5</v>
      </c>
      <c r="S1250" s="13" t="n">
        <f aca="false">IF(R1250="","",IF(Q1250="Y",1,IF(P1250&gt;='Read me'!$B$16,3,IF(AND(R1250&gt;='Read me'!$B$14,P1250&lt;='Read me'!$B$15),1,2))))</f>
        <v>3</v>
      </c>
    </row>
    <row r="1251" customFormat="false" ht="35.05" hidden="false" customHeight="false" outlineLevel="0" collapsed="false">
      <c r="A1251" s="11" t="s">
        <v>7729</v>
      </c>
      <c r="B1251" s="11" t="s">
        <v>42</v>
      </c>
      <c r="C1251" s="11" t="s">
        <v>289</v>
      </c>
      <c r="D1251" s="11" t="s">
        <v>290</v>
      </c>
      <c r="E1251" s="11" t="s">
        <v>751</v>
      </c>
      <c r="F1251" s="11" t="s">
        <v>7730</v>
      </c>
      <c r="G1251" s="11" t="s">
        <v>1634</v>
      </c>
      <c r="H1251" s="11"/>
      <c r="I1251" s="11" t="s">
        <v>7731</v>
      </c>
      <c r="J1251" s="11" t="s">
        <v>7732</v>
      </c>
      <c r="K1251" s="11" t="s">
        <v>1348</v>
      </c>
      <c r="L1251" s="11" t="s">
        <v>3511</v>
      </c>
      <c r="M1251" s="11" t="s">
        <v>3512</v>
      </c>
      <c r="N1251" s="14" t="n">
        <v>2</v>
      </c>
      <c r="O1251" s="14" t="n">
        <v>3</v>
      </c>
      <c r="P1251" s="14" t="n">
        <v>3</v>
      </c>
      <c r="Q1251" s="14"/>
      <c r="R1251" s="12" t="n">
        <f aca="false">IF(OR(N1251="",P1251=""),"",ROUND(N1251*O1251/P1251,1))</f>
        <v>2</v>
      </c>
      <c r="S1251" s="13" t="n">
        <f aca="false">IF(R1251="","",IF(Q1251="Y",1,IF(P1251&gt;='Read me'!$B$16,3,IF(AND(R1251&gt;='Read me'!$B$14,P1251&lt;='Read me'!$B$15),1,2))))</f>
        <v>2</v>
      </c>
    </row>
    <row r="1252" customFormat="false" ht="15" hidden="false" customHeight="false" outlineLevel="0" collapsed="false">
      <c r="A1252" s="11" t="s">
        <v>7733</v>
      </c>
      <c r="B1252" s="11" t="s">
        <v>42</v>
      </c>
      <c r="C1252" s="11" t="s">
        <v>289</v>
      </c>
      <c r="D1252" s="11" t="s">
        <v>290</v>
      </c>
      <c r="E1252" s="11" t="s">
        <v>802</v>
      </c>
      <c r="F1252" s="11" t="s">
        <v>7734</v>
      </c>
      <c r="G1252" s="11" t="s">
        <v>7735</v>
      </c>
      <c r="H1252" s="11"/>
      <c r="I1252" s="11" t="s">
        <v>7736</v>
      </c>
      <c r="J1252" s="11" t="s">
        <v>7737</v>
      </c>
      <c r="K1252" s="11" t="s">
        <v>897</v>
      </c>
      <c r="L1252" s="11"/>
      <c r="M1252" s="11"/>
      <c r="N1252" s="14" t="n">
        <v>2</v>
      </c>
      <c r="O1252" s="14" t="n">
        <v>4</v>
      </c>
      <c r="P1252" s="14" t="n">
        <v>1</v>
      </c>
      <c r="Q1252" s="14"/>
      <c r="R1252" s="12" t="n">
        <f aca="false">IF(OR(N1252="",P1252=""),"",ROUND(N1252*O1252/P1252,1))</f>
        <v>8</v>
      </c>
      <c r="S1252" s="13" t="n">
        <f aca="false">IF(R1252="","",IF(Q1252="Y",1,IF(P1252&gt;='Read me'!$B$16,3,IF(AND(R1252&gt;='Read me'!$B$14,P1252&lt;='Read me'!$B$15),1,2))))</f>
        <v>1</v>
      </c>
    </row>
    <row r="1253" customFormat="false" ht="23.85" hidden="false" customHeight="false" outlineLevel="0" collapsed="false">
      <c r="A1253" s="11" t="s">
        <v>7738</v>
      </c>
      <c r="B1253" s="11" t="s">
        <v>42</v>
      </c>
      <c r="C1253" s="11" t="s">
        <v>289</v>
      </c>
      <c r="D1253" s="11" t="s">
        <v>290</v>
      </c>
      <c r="E1253" s="11" t="s">
        <v>802</v>
      </c>
      <c r="F1253" s="11" t="s">
        <v>7739</v>
      </c>
      <c r="G1253" s="11" t="s">
        <v>7740</v>
      </c>
      <c r="H1253" s="11"/>
      <c r="I1253" s="11" t="s">
        <v>7741</v>
      </c>
      <c r="J1253" s="11" t="s">
        <v>7742</v>
      </c>
      <c r="K1253" s="11" t="s">
        <v>2801</v>
      </c>
      <c r="L1253" s="11" t="s">
        <v>7743</v>
      </c>
      <c r="M1253" s="11"/>
      <c r="N1253" s="14" t="n">
        <v>2</v>
      </c>
      <c r="O1253" s="14" t="n">
        <v>3</v>
      </c>
      <c r="P1253" s="14" t="n">
        <v>2</v>
      </c>
      <c r="Q1253" s="14"/>
      <c r="R1253" s="12" t="n">
        <f aca="false">IF(OR(N1253="",P1253=""),"",ROUND(N1253*O1253/P1253,1))</f>
        <v>3</v>
      </c>
      <c r="S1253" s="13" t="n">
        <f aca="false">IF(R1253="","",IF(Q1253="Y",1,IF(P1253&gt;='Read me'!$B$16,3,IF(AND(R1253&gt;='Read me'!$B$14,P1253&lt;='Read me'!$B$15),1,2))))</f>
        <v>2</v>
      </c>
    </row>
    <row r="1254" customFormat="false" ht="23.85" hidden="false" customHeight="false" outlineLevel="0" collapsed="false">
      <c r="A1254" s="11" t="s">
        <v>7744</v>
      </c>
      <c r="B1254" s="11" t="s">
        <v>42</v>
      </c>
      <c r="C1254" s="11" t="s">
        <v>289</v>
      </c>
      <c r="D1254" s="11" t="s">
        <v>290</v>
      </c>
      <c r="E1254" s="11" t="s">
        <v>765</v>
      </c>
      <c r="F1254" s="11" t="s">
        <v>7745</v>
      </c>
      <c r="G1254" s="11" t="s">
        <v>7746</v>
      </c>
      <c r="H1254" s="11"/>
      <c r="I1254" s="11" t="s">
        <v>3526</v>
      </c>
      <c r="J1254" s="11" t="s">
        <v>7747</v>
      </c>
      <c r="K1254" s="11" t="s">
        <v>7748</v>
      </c>
      <c r="L1254" s="11" t="s">
        <v>7749</v>
      </c>
      <c r="M1254" s="11"/>
      <c r="N1254" s="14" t="n">
        <v>4</v>
      </c>
      <c r="O1254" s="14" t="n">
        <v>3</v>
      </c>
      <c r="P1254" s="14" t="n">
        <v>2</v>
      </c>
      <c r="Q1254" s="14"/>
      <c r="R1254" s="12" t="n">
        <f aca="false">IF(OR(N1254="",P1254=""),"",ROUND(N1254*O1254/P1254,1))</f>
        <v>6</v>
      </c>
      <c r="S1254" s="13" t="n">
        <f aca="false">IF(R1254="","",IF(Q1254="Y",1,IF(P1254&gt;='Read me'!$B$16,3,IF(AND(R1254&gt;='Read me'!$B$14,P1254&lt;='Read me'!$B$15),1,2))))</f>
        <v>1</v>
      </c>
    </row>
    <row r="1255" customFormat="false" ht="23.85" hidden="false" customHeight="false" outlineLevel="0" collapsed="false">
      <c r="A1255" s="11" t="s">
        <v>7750</v>
      </c>
      <c r="B1255" s="11" t="s">
        <v>42</v>
      </c>
      <c r="C1255" s="11" t="s">
        <v>289</v>
      </c>
      <c r="D1255" s="11" t="s">
        <v>290</v>
      </c>
      <c r="E1255" s="11" t="s">
        <v>765</v>
      </c>
      <c r="F1255" s="11" t="s">
        <v>7751</v>
      </c>
      <c r="G1255" s="11" t="s">
        <v>7752</v>
      </c>
      <c r="H1255" s="11"/>
      <c r="I1255" s="11" t="s">
        <v>7753</v>
      </c>
      <c r="J1255" s="11" t="s">
        <v>7754</v>
      </c>
      <c r="K1255" s="11" t="s">
        <v>3870</v>
      </c>
      <c r="L1255" s="11" t="s">
        <v>7755</v>
      </c>
      <c r="M1255" s="11" t="s">
        <v>7756</v>
      </c>
      <c r="N1255" s="14" t="n">
        <v>2</v>
      </c>
      <c r="O1255" s="14" t="n">
        <v>3</v>
      </c>
      <c r="P1255" s="14" t="n">
        <v>3</v>
      </c>
      <c r="Q1255" s="14"/>
      <c r="R1255" s="12" t="n">
        <f aca="false">IF(OR(N1255="",P1255=""),"",ROUND(N1255*O1255/P1255,1))</f>
        <v>2</v>
      </c>
      <c r="S1255" s="13" t="n">
        <f aca="false">IF(R1255="","",IF(Q1255="Y",1,IF(P1255&gt;='Read me'!$B$16,3,IF(AND(R1255&gt;='Read me'!$B$14,P1255&lt;='Read me'!$B$15),1,2))))</f>
        <v>2</v>
      </c>
    </row>
    <row r="1256" customFormat="false" ht="23.85" hidden="false" customHeight="false" outlineLevel="0" collapsed="false">
      <c r="A1256" s="11" t="s">
        <v>7757</v>
      </c>
      <c r="B1256" s="11" t="s">
        <v>42</v>
      </c>
      <c r="C1256" s="11" t="s">
        <v>289</v>
      </c>
      <c r="D1256" s="11" t="s">
        <v>290</v>
      </c>
      <c r="E1256" s="11" t="s">
        <v>765</v>
      </c>
      <c r="F1256" s="11" t="s">
        <v>7758</v>
      </c>
      <c r="G1256" s="11" t="s">
        <v>4450</v>
      </c>
      <c r="H1256" s="11"/>
      <c r="I1256" s="11" t="s">
        <v>7759</v>
      </c>
      <c r="J1256" s="11" t="s">
        <v>7760</v>
      </c>
      <c r="K1256" s="11" t="s">
        <v>1383</v>
      </c>
      <c r="L1256" s="11" t="s">
        <v>7761</v>
      </c>
      <c r="M1256" s="11" t="s">
        <v>7756</v>
      </c>
      <c r="N1256" s="14" t="n">
        <v>2</v>
      </c>
      <c r="O1256" s="14" t="n">
        <v>3</v>
      </c>
      <c r="P1256" s="14" t="n">
        <v>3</v>
      </c>
      <c r="Q1256" s="14"/>
      <c r="R1256" s="12" t="n">
        <f aca="false">IF(OR(N1256="",P1256=""),"",ROUND(N1256*O1256/P1256,1))</f>
        <v>2</v>
      </c>
      <c r="S1256" s="13" t="n">
        <f aca="false">IF(R1256="","",IF(Q1256="Y",1,IF(P1256&gt;='Read me'!$B$16,3,IF(AND(R1256&gt;='Read me'!$B$14,P1256&lt;='Read me'!$B$15),1,2))))</f>
        <v>2</v>
      </c>
    </row>
    <row r="1257" customFormat="false" ht="23.85" hidden="false" customHeight="false" outlineLevel="0" collapsed="false">
      <c r="A1257" s="11" t="s">
        <v>7762</v>
      </c>
      <c r="B1257" s="11" t="s">
        <v>42</v>
      </c>
      <c r="C1257" s="11" t="s">
        <v>289</v>
      </c>
      <c r="D1257" s="11" t="s">
        <v>290</v>
      </c>
      <c r="E1257" s="11" t="s">
        <v>1081</v>
      </c>
      <c r="F1257" s="11" t="s">
        <v>7763</v>
      </c>
      <c r="G1257" s="11" t="s">
        <v>7764</v>
      </c>
      <c r="H1257" s="11" t="s">
        <v>7765</v>
      </c>
      <c r="I1257" s="11" t="s">
        <v>7766</v>
      </c>
      <c r="J1257" s="11" t="s">
        <v>7767</v>
      </c>
      <c r="K1257" s="11" t="s">
        <v>7768</v>
      </c>
      <c r="L1257" s="11" t="s">
        <v>7769</v>
      </c>
      <c r="M1257" s="11"/>
      <c r="N1257" s="14" t="n">
        <v>1</v>
      </c>
      <c r="O1257" s="14" t="n">
        <v>3</v>
      </c>
      <c r="P1257" s="14" t="n">
        <v>3</v>
      </c>
      <c r="Q1257" s="14"/>
      <c r="R1257" s="12" t="n">
        <f aca="false">IF(OR(N1257="",P1257=""),"",ROUND(N1257*O1257/P1257,1))</f>
        <v>1</v>
      </c>
      <c r="S1257" s="13" t="n">
        <f aca="false">IF(R1257="","",IF(Q1257="Y",1,IF(P1257&gt;='Read me'!$B$16,3,IF(AND(R1257&gt;='Read me'!$B$14,P1257&lt;='Read me'!$B$15),1,2))))</f>
        <v>2</v>
      </c>
    </row>
    <row r="1258" customFormat="false" ht="23.85" hidden="false" customHeight="false" outlineLevel="0" collapsed="false">
      <c r="A1258" s="11" t="s">
        <v>7770</v>
      </c>
      <c r="B1258" s="11" t="s">
        <v>42</v>
      </c>
      <c r="C1258" s="11" t="s">
        <v>289</v>
      </c>
      <c r="D1258" s="11" t="s">
        <v>290</v>
      </c>
      <c r="E1258" s="11" t="s">
        <v>1187</v>
      </c>
      <c r="F1258" s="11" t="s">
        <v>7771</v>
      </c>
      <c r="G1258" s="11" t="s">
        <v>7772</v>
      </c>
      <c r="H1258" s="11" t="s">
        <v>1700</v>
      </c>
      <c r="I1258" s="11" t="s">
        <v>512</v>
      </c>
      <c r="J1258" s="11" t="s">
        <v>7773</v>
      </c>
      <c r="K1258" s="11" t="s">
        <v>2368</v>
      </c>
      <c r="L1258" s="11" t="s">
        <v>7774</v>
      </c>
      <c r="M1258" s="11"/>
      <c r="N1258" s="14" t="n">
        <v>1</v>
      </c>
      <c r="O1258" s="14" t="n">
        <v>4</v>
      </c>
      <c r="P1258" s="14" t="n">
        <v>4</v>
      </c>
      <c r="Q1258" s="14"/>
      <c r="R1258" s="12" t="n">
        <f aca="false">IF(OR(N1258="",P1258=""),"",ROUND(N1258*O1258/P1258,1))</f>
        <v>1</v>
      </c>
      <c r="S1258" s="13" t="n">
        <f aca="false">IF(R1258="","",IF(Q1258="Y",1,IF(P1258&gt;='Read me'!$B$16,3,IF(AND(R1258&gt;='Read me'!$B$14,P1258&lt;='Read me'!$B$15),1,2))))</f>
        <v>3</v>
      </c>
    </row>
    <row r="1259" customFormat="false" ht="23.85" hidden="false" customHeight="false" outlineLevel="0" collapsed="false">
      <c r="A1259" s="11" t="s">
        <v>7775</v>
      </c>
      <c r="B1259" s="11" t="s">
        <v>42</v>
      </c>
      <c r="C1259" s="11" t="s">
        <v>289</v>
      </c>
      <c r="D1259" s="11" t="s">
        <v>290</v>
      </c>
      <c r="E1259" s="11" t="s">
        <v>1187</v>
      </c>
      <c r="F1259" s="11" t="s">
        <v>7776</v>
      </c>
      <c r="G1259" s="11" t="s">
        <v>7777</v>
      </c>
      <c r="H1259" s="11" t="s">
        <v>7778</v>
      </c>
      <c r="I1259" s="11" t="s">
        <v>512</v>
      </c>
      <c r="J1259" s="11" t="s">
        <v>7779</v>
      </c>
      <c r="K1259" s="11" t="s">
        <v>696</v>
      </c>
      <c r="L1259" s="11" t="s">
        <v>7780</v>
      </c>
      <c r="M1259" s="11"/>
      <c r="N1259" s="14" t="n">
        <v>1</v>
      </c>
      <c r="O1259" s="14" t="n">
        <v>4</v>
      </c>
      <c r="P1259" s="14" t="n">
        <v>3</v>
      </c>
      <c r="Q1259" s="14"/>
      <c r="R1259" s="12" t="n">
        <f aca="false">IF(OR(N1259="",P1259=""),"",ROUND(N1259*O1259/P1259,1))</f>
        <v>1.3</v>
      </c>
      <c r="S1259" s="13" t="n">
        <f aca="false">IF(R1259="","",IF(Q1259="Y",1,IF(P1259&gt;='Read me'!$B$16,3,IF(AND(R1259&gt;='Read me'!$B$14,P1259&lt;='Read me'!$B$15),1,2))))</f>
        <v>2</v>
      </c>
    </row>
    <row r="1260" customFormat="false" ht="35.05" hidden="false" customHeight="false" outlineLevel="0" collapsed="false">
      <c r="A1260" s="11" t="s">
        <v>7781</v>
      </c>
      <c r="B1260" s="11" t="s">
        <v>42</v>
      </c>
      <c r="C1260" s="11" t="s">
        <v>289</v>
      </c>
      <c r="D1260" s="11" t="s">
        <v>290</v>
      </c>
      <c r="E1260" s="11" t="s">
        <v>1187</v>
      </c>
      <c r="F1260" s="11" t="s">
        <v>7782</v>
      </c>
      <c r="G1260" s="11" t="s">
        <v>7783</v>
      </c>
      <c r="H1260" s="11" t="s">
        <v>5941</v>
      </c>
      <c r="I1260" s="11" t="s">
        <v>7784</v>
      </c>
      <c r="J1260" s="11" t="s">
        <v>7785</v>
      </c>
      <c r="K1260" s="11" t="s">
        <v>1417</v>
      </c>
      <c r="L1260" s="11" t="s">
        <v>7786</v>
      </c>
      <c r="M1260" s="11" t="s">
        <v>3601</v>
      </c>
      <c r="N1260" s="14" t="n">
        <v>1</v>
      </c>
      <c r="O1260" s="14" t="n">
        <v>3</v>
      </c>
      <c r="P1260" s="14" t="n">
        <v>5</v>
      </c>
      <c r="Q1260" s="14"/>
      <c r="R1260" s="12" t="n">
        <f aca="false">IF(OR(N1260="",P1260=""),"",ROUND(N1260*O1260/P1260,1))</f>
        <v>0.6</v>
      </c>
      <c r="S1260" s="13" t="n">
        <f aca="false">IF(R1260="","",IF(Q1260="Y",1,IF(P1260&gt;='Read me'!$B$16,3,IF(AND(R1260&gt;='Read me'!$B$14,P1260&lt;='Read me'!$B$15),1,2))))</f>
        <v>3</v>
      </c>
    </row>
    <row r="1261" customFormat="false" ht="23.85" hidden="false" customHeight="false" outlineLevel="0" collapsed="false">
      <c r="A1261" s="11" t="s">
        <v>7787</v>
      </c>
      <c r="B1261" s="11" t="s">
        <v>42</v>
      </c>
      <c r="C1261" s="11" t="s">
        <v>289</v>
      </c>
      <c r="D1261" s="11" t="s">
        <v>290</v>
      </c>
      <c r="E1261" s="11" t="s">
        <v>1133</v>
      </c>
      <c r="F1261" s="11" t="s">
        <v>1147</v>
      </c>
      <c r="G1261" s="11" t="s">
        <v>1148</v>
      </c>
      <c r="H1261" s="11"/>
      <c r="I1261" s="11" t="s">
        <v>7788</v>
      </c>
      <c r="J1261" s="11" t="s">
        <v>4013</v>
      </c>
      <c r="K1261" s="11" t="s">
        <v>1151</v>
      </c>
      <c r="L1261" s="11" t="s">
        <v>4014</v>
      </c>
      <c r="M1261" s="11" t="s">
        <v>3592</v>
      </c>
      <c r="N1261" s="14" t="n">
        <v>1</v>
      </c>
      <c r="O1261" s="14" t="n">
        <v>3</v>
      </c>
      <c r="P1261" s="14" t="n">
        <v>3</v>
      </c>
      <c r="Q1261" s="14"/>
      <c r="R1261" s="12" t="n">
        <f aca="false">IF(OR(N1261="",P1261=""),"",ROUND(N1261*O1261/P1261,1))</f>
        <v>1</v>
      </c>
      <c r="S1261" s="13" t="n">
        <f aca="false">IF(R1261="","",IF(Q1261="Y",1,IF(P1261&gt;='Read me'!$B$16,3,IF(AND(R1261&gt;='Read me'!$B$14,P1261&lt;='Read me'!$B$15),1,2))))</f>
        <v>2</v>
      </c>
    </row>
    <row r="1262" customFormat="false" ht="15" hidden="false" customHeight="false" outlineLevel="0" collapsed="false">
      <c r="A1262" s="11" t="s">
        <v>7789</v>
      </c>
      <c r="B1262" s="11" t="s">
        <v>42</v>
      </c>
      <c r="C1262" s="11" t="s">
        <v>293</v>
      </c>
      <c r="D1262" s="11" t="s">
        <v>294</v>
      </c>
      <c r="E1262" s="11" t="s">
        <v>476</v>
      </c>
      <c r="F1262" s="11" t="s">
        <v>7790</v>
      </c>
      <c r="G1262" s="11" t="s">
        <v>7791</v>
      </c>
      <c r="H1262" s="11"/>
      <c r="I1262" s="11" t="s">
        <v>7792</v>
      </c>
      <c r="J1262" s="11" t="s">
        <v>7793</v>
      </c>
      <c r="K1262" s="11" t="s">
        <v>3606</v>
      </c>
      <c r="L1262" s="11" t="s">
        <v>7794</v>
      </c>
      <c r="M1262" s="11"/>
      <c r="N1262" s="14" t="n">
        <v>4</v>
      </c>
      <c r="O1262" s="14" t="n">
        <v>3</v>
      </c>
      <c r="P1262" s="14" t="n">
        <v>1</v>
      </c>
      <c r="Q1262" s="14"/>
      <c r="R1262" s="12" t="n">
        <f aca="false">IF(OR(N1262="",P1262=""),"",ROUND(N1262*O1262/P1262,1))</f>
        <v>12</v>
      </c>
      <c r="S1262" s="13" t="n">
        <f aca="false">IF(R1262="","",IF(Q1262="Y",1,IF(P1262&gt;='Read me'!$B$16,3,IF(AND(R1262&gt;='Read me'!$B$14,P1262&lt;='Read me'!$B$15),1,2))))</f>
        <v>1</v>
      </c>
    </row>
    <row r="1263" customFormat="false" ht="15" hidden="false" customHeight="false" outlineLevel="0" collapsed="false">
      <c r="A1263" s="11" t="s">
        <v>7795</v>
      </c>
      <c r="B1263" s="11" t="s">
        <v>42</v>
      </c>
      <c r="C1263" s="11" t="s">
        <v>293</v>
      </c>
      <c r="D1263" s="11" t="s">
        <v>294</v>
      </c>
      <c r="E1263" s="11" t="s">
        <v>476</v>
      </c>
      <c r="F1263" s="11" t="s">
        <v>7796</v>
      </c>
      <c r="G1263" s="11" t="s">
        <v>2160</v>
      </c>
      <c r="H1263" s="11"/>
      <c r="I1263" s="11" t="s">
        <v>7797</v>
      </c>
      <c r="J1263" s="11" t="s">
        <v>7798</v>
      </c>
      <c r="K1263" s="11" t="s">
        <v>3606</v>
      </c>
      <c r="L1263" s="11" t="s">
        <v>7654</v>
      </c>
      <c r="M1263" s="11"/>
      <c r="N1263" s="14" t="n">
        <v>2</v>
      </c>
      <c r="O1263" s="14" t="n">
        <v>3</v>
      </c>
      <c r="P1263" s="14" t="n">
        <v>1</v>
      </c>
      <c r="Q1263" s="14"/>
      <c r="R1263" s="12" t="n">
        <f aca="false">IF(OR(N1263="",P1263=""),"",ROUND(N1263*O1263/P1263,1))</f>
        <v>6</v>
      </c>
      <c r="S1263" s="13" t="n">
        <f aca="false">IF(R1263="","",IF(Q1263="Y",1,IF(P1263&gt;='Read me'!$B$16,3,IF(AND(R1263&gt;='Read me'!$B$14,P1263&lt;='Read me'!$B$15),1,2))))</f>
        <v>1</v>
      </c>
    </row>
    <row r="1264" customFormat="false" ht="35.05" hidden="false" customHeight="false" outlineLevel="0" collapsed="false">
      <c r="A1264" s="11" t="s">
        <v>7799</v>
      </c>
      <c r="B1264" s="11" t="s">
        <v>42</v>
      </c>
      <c r="C1264" s="11" t="s">
        <v>293</v>
      </c>
      <c r="D1264" s="11" t="s">
        <v>294</v>
      </c>
      <c r="E1264" s="11" t="s">
        <v>476</v>
      </c>
      <c r="F1264" s="11" t="s">
        <v>7800</v>
      </c>
      <c r="G1264" s="11" t="s">
        <v>7801</v>
      </c>
      <c r="H1264" s="11"/>
      <c r="I1264" s="11" t="s">
        <v>512</v>
      </c>
      <c r="J1264" s="11" t="s">
        <v>7802</v>
      </c>
      <c r="K1264" s="11" t="s">
        <v>7543</v>
      </c>
      <c r="L1264" s="11" t="s">
        <v>7803</v>
      </c>
      <c r="M1264" s="11" t="s">
        <v>3376</v>
      </c>
      <c r="N1264" s="14" t="n">
        <v>3</v>
      </c>
      <c r="O1264" s="14" t="n">
        <v>4</v>
      </c>
      <c r="P1264" s="14" t="n">
        <v>1</v>
      </c>
      <c r="Q1264" s="14"/>
      <c r="R1264" s="12" t="n">
        <f aca="false">IF(OR(N1264="",P1264=""),"",ROUND(N1264*O1264/P1264,1))</f>
        <v>12</v>
      </c>
      <c r="S1264" s="13" t="n">
        <f aca="false">IF(R1264="","",IF(Q1264="Y",1,IF(P1264&gt;='Read me'!$B$16,3,IF(AND(R1264&gt;='Read me'!$B$14,P1264&lt;='Read me'!$B$15),1,2))))</f>
        <v>1</v>
      </c>
    </row>
    <row r="1265" customFormat="false" ht="23.85" hidden="false" customHeight="false" outlineLevel="0" collapsed="false">
      <c r="A1265" s="11" t="s">
        <v>7804</v>
      </c>
      <c r="B1265" s="11" t="s">
        <v>42</v>
      </c>
      <c r="C1265" s="11" t="s">
        <v>293</v>
      </c>
      <c r="D1265" s="11" t="s">
        <v>294</v>
      </c>
      <c r="E1265" s="11" t="s">
        <v>532</v>
      </c>
      <c r="F1265" s="11" t="s">
        <v>7805</v>
      </c>
      <c r="G1265" s="11" t="s">
        <v>3402</v>
      </c>
      <c r="H1265" s="11"/>
      <c r="I1265" s="11" t="s">
        <v>7806</v>
      </c>
      <c r="J1265" s="11" t="s">
        <v>7807</v>
      </c>
      <c r="K1265" s="11" t="s">
        <v>7808</v>
      </c>
      <c r="L1265" s="11" t="s">
        <v>7809</v>
      </c>
      <c r="M1265" s="11"/>
      <c r="N1265" s="14" t="n">
        <v>4</v>
      </c>
      <c r="O1265" s="14" t="n">
        <v>4</v>
      </c>
      <c r="P1265" s="14" t="n">
        <v>2</v>
      </c>
      <c r="Q1265" s="14"/>
      <c r="R1265" s="12" t="n">
        <f aca="false">IF(OR(N1265="",P1265=""),"",ROUND(N1265*O1265/P1265,1))</f>
        <v>8</v>
      </c>
      <c r="S1265" s="13" t="n">
        <f aca="false">IF(R1265="","",IF(Q1265="Y",1,IF(P1265&gt;='Read me'!$B$16,3,IF(AND(R1265&gt;='Read me'!$B$14,P1265&lt;='Read me'!$B$15),1,2))))</f>
        <v>1</v>
      </c>
    </row>
    <row r="1266" customFormat="false" ht="23.85" hidden="false" customHeight="false" outlineLevel="0" collapsed="false">
      <c r="A1266" s="11" t="s">
        <v>7810</v>
      </c>
      <c r="B1266" s="11" t="s">
        <v>42</v>
      </c>
      <c r="C1266" s="11" t="s">
        <v>293</v>
      </c>
      <c r="D1266" s="11" t="s">
        <v>294</v>
      </c>
      <c r="E1266" s="11" t="s">
        <v>532</v>
      </c>
      <c r="F1266" s="11" t="s">
        <v>7805</v>
      </c>
      <c r="G1266" s="11" t="s">
        <v>7811</v>
      </c>
      <c r="H1266" s="11"/>
      <c r="I1266" s="11" t="s">
        <v>7812</v>
      </c>
      <c r="J1266" s="11" t="s">
        <v>7813</v>
      </c>
      <c r="K1266" s="11" t="s">
        <v>5663</v>
      </c>
      <c r="L1266" s="11" t="s">
        <v>7814</v>
      </c>
      <c r="M1266" s="11"/>
      <c r="N1266" s="14" t="n">
        <v>2</v>
      </c>
      <c r="O1266" s="14" t="n">
        <v>3</v>
      </c>
      <c r="P1266" s="14" t="n">
        <v>2</v>
      </c>
      <c r="Q1266" s="14"/>
      <c r="R1266" s="12" t="n">
        <f aca="false">IF(OR(N1266="",P1266=""),"",ROUND(N1266*O1266/P1266,1))</f>
        <v>3</v>
      </c>
      <c r="S1266" s="13" t="n">
        <f aca="false">IF(R1266="","",IF(Q1266="Y",1,IF(P1266&gt;='Read me'!$B$16,3,IF(AND(R1266&gt;='Read me'!$B$14,P1266&lt;='Read me'!$B$15),1,2))))</f>
        <v>2</v>
      </c>
    </row>
    <row r="1267" customFormat="false" ht="23.85" hidden="false" customHeight="false" outlineLevel="0" collapsed="false">
      <c r="A1267" s="11" t="s">
        <v>7815</v>
      </c>
      <c r="B1267" s="11" t="s">
        <v>42</v>
      </c>
      <c r="C1267" s="11" t="s">
        <v>293</v>
      </c>
      <c r="D1267" s="11" t="s">
        <v>294</v>
      </c>
      <c r="E1267" s="11" t="s">
        <v>532</v>
      </c>
      <c r="F1267" s="11" t="s">
        <v>7805</v>
      </c>
      <c r="G1267" s="11" t="s">
        <v>7816</v>
      </c>
      <c r="H1267" s="11"/>
      <c r="I1267" s="11" t="s">
        <v>7817</v>
      </c>
      <c r="J1267" s="11" t="s">
        <v>7818</v>
      </c>
      <c r="K1267" s="11" t="s">
        <v>4066</v>
      </c>
      <c r="L1267" s="11" t="s">
        <v>7819</v>
      </c>
      <c r="M1267" s="11" t="s">
        <v>7820</v>
      </c>
      <c r="N1267" s="14" t="n">
        <v>1</v>
      </c>
      <c r="O1267" s="14" t="n">
        <v>2</v>
      </c>
      <c r="P1267" s="14" t="n">
        <v>3</v>
      </c>
      <c r="Q1267" s="14"/>
      <c r="R1267" s="12" t="n">
        <f aca="false">IF(OR(N1267="",P1267=""),"",ROUND(N1267*O1267/P1267,1))</f>
        <v>0.7</v>
      </c>
      <c r="S1267" s="13" t="n">
        <f aca="false">IF(R1267="","",IF(Q1267="Y",1,IF(P1267&gt;='Read me'!$B$16,3,IF(AND(R1267&gt;='Read me'!$B$14,P1267&lt;='Read me'!$B$15),1,2))))</f>
        <v>2</v>
      </c>
    </row>
    <row r="1268" customFormat="false" ht="35.05" hidden="false" customHeight="false" outlineLevel="0" collapsed="false">
      <c r="A1268" s="11" t="s">
        <v>7821</v>
      </c>
      <c r="B1268" s="11" t="s">
        <v>42</v>
      </c>
      <c r="C1268" s="11" t="s">
        <v>293</v>
      </c>
      <c r="D1268" s="11" t="s">
        <v>294</v>
      </c>
      <c r="E1268" s="11" t="s">
        <v>532</v>
      </c>
      <c r="F1268" s="11" t="s">
        <v>7822</v>
      </c>
      <c r="G1268" s="11" t="s">
        <v>2301</v>
      </c>
      <c r="H1268" s="11"/>
      <c r="I1268" s="11" t="s">
        <v>7823</v>
      </c>
      <c r="J1268" s="11" t="s">
        <v>7824</v>
      </c>
      <c r="K1268" s="11" t="s">
        <v>7825</v>
      </c>
      <c r="L1268" s="11" t="s">
        <v>7826</v>
      </c>
      <c r="M1268" s="11" t="s">
        <v>3977</v>
      </c>
      <c r="N1268" s="14" t="n">
        <v>1</v>
      </c>
      <c r="O1268" s="14" t="n">
        <v>5</v>
      </c>
      <c r="P1268" s="14" t="n">
        <v>2</v>
      </c>
      <c r="Q1268" s="14"/>
      <c r="R1268" s="12" t="n">
        <f aca="false">IF(OR(N1268="",P1268=""),"",ROUND(N1268*O1268/P1268,1))</f>
        <v>2.5</v>
      </c>
      <c r="S1268" s="13" t="n">
        <f aca="false">IF(R1268="","",IF(Q1268="Y",1,IF(P1268&gt;='Read me'!$B$16,3,IF(AND(R1268&gt;='Read me'!$B$14,P1268&lt;='Read me'!$B$15),1,2))))</f>
        <v>2</v>
      </c>
    </row>
    <row r="1269" customFormat="false" ht="23.85" hidden="false" customHeight="false" outlineLevel="0" collapsed="false">
      <c r="A1269" s="11" t="s">
        <v>7827</v>
      </c>
      <c r="B1269" s="11" t="s">
        <v>42</v>
      </c>
      <c r="C1269" s="11" t="s">
        <v>293</v>
      </c>
      <c r="D1269" s="11" t="s">
        <v>294</v>
      </c>
      <c r="E1269" s="11" t="s">
        <v>532</v>
      </c>
      <c r="F1269" s="11" t="s">
        <v>7828</v>
      </c>
      <c r="G1269" s="11" t="s">
        <v>1479</v>
      </c>
      <c r="H1269" s="11"/>
      <c r="I1269" s="11" t="s">
        <v>7829</v>
      </c>
      <c r="J1269" s="11" t="s">
        <v>7830</v>
      </c>
      <c r="K1269" s="11" t="s">
        <v>7831</v>
      </c>
      <c r="L1269" s="11" t="s">
        <v>7832</v>
      </c>
      <c r="M1269" s="11" t="s">
        <v>7833</v>
      </c>
      <c r="N1269" s="14" t="n">
        <v>2</v>
      </c>
      <c r="O1269" s="14" t="n">
        <v>5</v>
      </c>
      <c r="P1269" s="14" t="n">
        <v>2</v>
      </c>
      <c r="Q1269" s="14"/>
      <c r="R1269" s="12" t="n">
        <f aca="false">IF(OR(N1269="",P1269=""),"",ROUND(N1269*O1269/P1269,1))</f>
        <v>5</v>
      </c>
      <c r="S1269" s="13" t="n">
        <f aca="false">IF(R1269="","",IF(Q1269="Y",1,IF(P1269&gt;='Read me'!$B$16,3,IF(AND(R1269&gt;='Read me'!$B$14,P1269&lt;='Read me'!$B$15),1,2))))</f>
        <v>2</v>
      </c>
    </row>
    <row r="1270" customFormat="false" ht="15" hidden="false" customHeight="false" outlineLevel="0" collapsed="false">
      <c r="A1270" s="11" t="s">
        <v>7834</v>
      </c>
      <c r="B1270" s="11" t="s">
        <v>42</v>
      </c>
      <c r="C1270" s="11" t="s">
        <v>293</v>
      </c>
      <c r="D1270" s="11" t="s">
        <v>294</v>
      </c>
      <c r="E1270" s="11" t="s">
        <v>532</v>
      </c>
      <c r="F1270" s="11" t="s">
        <v>7835</v>
      </c>
      <c r="G1270" s="11" t="s">
        <v>7836</v>
      </c>
      <c r="H1270" s="11"/>
      <c r="I1270" s="11" t="s">
        <v>7837</v>
      </c>
      <c r="J1270" s="11" t="s">
        <v>7838</v>
      </c>
      <c r="K1270" s="11" t="s">
        <v>762</v>
      </c>
      <c r="L1270" s="11" t="s">
        <v>7839</v>
      </c>
      <c r="M1270" s="11"/>
      <c r="N1270" s="14" t="n">
        <v>2</v>
      </c>
      <c r="O1270" s="14" t="n">
        <v>4</v>
      </c>
      <c r="P1270" s="14" t="n">
        <v>2</v>
      </c>
      <c r="Q1270" s="14"/>
      <c r="R1270" s="12" t="n">
        <f aca="false">IF(OR(N1270="",P1270=""),"",ROUND(N1270*O1270/P1270,1))</f>
        <v>4</v>
      </c>
      <c r="S1270" s="13" t="n">
        <f aca="false">IF(R1270="","",IF(Q1270="Y",1,IF(P1270&gt;='Read me'!$B$16,3,IF(AND(R1270&gt;='Read me'!$B$14,P1270&lt;='Read me'!$B$15),1,2))))</f>
        <v>2</v>
      </c>
    </row>
    <row r="1271" customFormat="false" ht="15" hidden="false" customHeight="false" outlineLevel="0" collapsed="false">
      <c r="A1271" s="11" t="s">
        <v>7840</v>
      </c>
      <c r="B1271" s="11" t="s">
        <v>42</v>
      </c>
      <c r="C1271" s="11" t="s">
        <v>293</v>
      </c>
      <c r="D1271" s="11" t="s">
        <v>294</v>
      </c>
      <c r="E1271" s="11" t="s">
        <v>532</v>
      </c>
      <c r="F1271" s="11" t="s">
        <v>7805</v>
      </c>
      <c r="G1271" s="11" t="s">
        <v>497</v>
      </c>
      <c r="H1271" s="11"/>
      <c r="I1271" s="11" t="s">
        <v>7841</v>
      </c>
      <c r="J1271" s="11" t="s">
        <v>7842</v>
      </c>
      <c r="K1271" s="11" t="s">
        <v>7843</v>
      </c>
      <c r="L1271" s="11" t="s">
        <v>7844</v>
      </c>
      <c r="M1271" s="11"/>
      <c r="N1271" s="14" t="n">
        <v>2</v>
      </c>
      <c r="O1271" s="14" t="n">
        <v>3</v>
      </c>
      <c r="P1271" s="14" t="n">
        <v>2</v>
      </c>
      <c r="Q1271" s="14"/>
      <c r="R1271" s="12" t="n">
        <f aca="false">IF(OR(N1271="",P1271=""),"",ROUND(N1271*O1271/P1271,1))</f>
        <v>3</v>
      </c>
      <c r="S1271" s="13" t="n">
        <f aca="false">IF(R1271="","",IF(Q1271="Y",1,IF(P1271&gt;='Read me'!$B$16,3,IF(AND(R1271&gt;='Read me'!$B$14,P1271&lt;='Read me'!$B$15),1,2))))</f>
        <v>2</v>
      </c>
    </row>
    <row r="1272" customFormat="false" ht="23.85" hidden="false" customHeight="false" outlineLevel="0" collapsed="false">
      <c r="A1272" s="11" t="s">
        <v>7845</v>
      </c>
      <c r="B1272" s="11" t="s">
        <v>42</v>
      </c>
      <c r="C1272" s="11" t="s">
        <v>293</v>
      </c>
      <c r="D1272" s="11" t="s">
        <v>294</v>
      </c>
      <c r="E1272" s="11" t="s">
        <v>532</v>
      </c>
      <c r="F1272" s="11" t="s">
        <v>7805</v>
      </c>
      <c r="G1272" s="11" t="s">
        <v>1473</v>
      </c>
      <c r="H1272" s="11"/>
      <c r="I1272" s="11" t="s">
        <v>7846</v>
      </c>
      <c r="J1272" s="11" t="s">
        <v>7847</v>
      </c>
      <c r="K1272" s="11" t="s">
        <v>916</v>
      </c>
      <c r="L1272" s="11" t="s">
        <v>7848</v>
      </c>
      <c r="M1272" s="11" t="s">
        <v>7703</v>
      </c>
      <c r="N1272" s="14" t="n">
        <v>1</v>
      </c>
      <c r="O1272" s="14" t="n">
        <v>3</v>
      </c>
      <c r="P1272" s="14" t="n">
        <v>4</v>
      </c>
      <c r="Q1272" s="14"/>
      <c r="R1272" s="12" t="n">
        <f aca="false">IF(OR(N1272="",P1272=""),"",ROUND(N1272*O1272/P1272,1))</f>
        <v>0.8</v>
      </c>
      <c r="S1272" s="13" t="n">
        <f aca="false">IF(R1272="","",IF(Q1272="Y",1,IF(P1272&gt;='Read me'!$B$16,3,IF(AND(R1272&gt;='Read me'!$B$14,P1272&lt;='Read me'!$B$15),1,2))))</f>
        <v>3</v>
      </c>
    </row>
    <row r="1273" customFormat="false" ht="15" hidden="false" customHeight="false" outlineLevel="0" collapsed="false">
      <c r="A1273" s="11" t="s">
        <v>7849</v>
      </c>
      <c r="B1273" s="11" t="s">
        <v>42</v>
      </c>
      <c r="C1273" s="11" t="s">
        <v>293</v>
      </c>
      <c r="D1273" s="11" t="s">
        <v>294</v>
      </c>
      <c r="E1273" s="11" t="s">
        <v>532</v>
      </c>
      <c r="F1273" s="11" t="s">
        <v>7805</v>
      </c>
      <c r="G1273" s="11" t="s">
        <v>3402</v>
      </c>
      <c r="H1273" s="11" t="s">
        <v>686</v>
      </c>
      <c r="I1273" s="11" t="s">
        <v>7850</v>
      </c>
      <c r="J1273" s="11" t="s">
        <v>7851</v>
      </c>
      <c r="K1273" s="11" t="s">
        <v>7682</v>
      </c>
      <c r="L1273" s="11" t="s">
        <v>7683</v>
      </c>
      <c r="M1273" s="11"/>
      <c r="N1273" s="14" t="n">
        <v>3</v>
      </c>
      <c r="O1273" s="14" t="n">
        <v>3</v>
      </c>
      <c r="P1273" s="14" t="n">
        <v>2</v>
      </c>
      <c r="Q1273" s="14"/>
      <c r="R1273" s="12" t="n">
        <f aca="false">IF(OR(N1273="",P1273=""),"",ROUND(N1273*O1273/P1273,1))</f>
        <v>4.5</v>
      </c>
      <c r="S1273" s="13" t="n">
        <f aca="false">IF(R1273="","",IF(Q1273="Y",1,IF(P1273&gt;='Read me'!$B$16,3,IF(AND(R1273&gt;='Read me'!$B$14,P1273&lt;='Read me'!$B$15),1,2))))</f>
        <v>2</v>
      </c>
    </row>
    <row r="1274" customFormat="false" ht="23.85" hidden="false" customHeight="false" outlineLevel="0" collapsed="false">
      <c r="A1274" s="11" t="s">
        <v>7852</v>
      </c>
      <c r="B1274" s="11" t="s">
        <v>42</v>
      </c>
      <c r="C1274" s="11" t="s">
        <v>293</v>
      </c>
      <c r="D1274" s="11" t="s">
        <v>294</v>
      </c>
      <c r="E1274" s="11" t="s">
        <v>751</v>
      </c>
      <c r="F1274" s="11" t="s">
        <v>1251</v>
      </c>
      <c r="G1274" s="11" t="s">
        <v>1252</v>
      </c>
      <c r="H1274" s="11"/>
      <c r="I1274" s="11" t="s">
        <v>7853</v>
      </c>
      <c r="J1274" s="11" t="s">
        <v>7854</v>
      </c>
      <c r="K1274" s="11" t="s">
        <v>1254</v>
      </c>
      <c r="L1274" s="11" t="s">
        <v>3967</v>
      </c>
      <c r="M1274" s="11" t="s">
        <v>1577</v>
      </c>
      <c r="N1274" s="14" t="n">
        <v>3</v>
      </c>
      <c r="O1274" s="14" t="n">
        <v>4</v>
      </c>
      <c r="P1274" s="14" t="n">
        <v>3</v>
      </c>
      <c r="Q1274" s="14"/>
      <c r="R1274" s="12" t="n">
        <f aca="false">IF(OR(N1274="",P1274=""),"",ROUND(N1274*O1274/P1274,1))</f>
        <v>4</v>
      </c>
      <c r="S1274" s="13" t="n">
        <f aca="false">IF(R1274="","",IF(Q1274="Y",1,IF(P1274&gt;='Read me'!$B$16,3,IF(AND(R1274&gt;='Read me'!$B$14,P1274&lt;='Read me'!$B$15),1,2))))</f>
        <v>2</v>
      </c>
    </row>
    <row r="1275" customFormat="false" ht="35.05" hidden="false" customHeight="false" outlineLevel="0" collapsed="false">
      <c r="A1275" s="11" t="s">
        <v>7855</v>
      </c>
      <c r="B1275" s="11" t="s">
        <v>42</v>
      </c>
      <c r="C1275" s="11" t="s">
        <v>293</v>
      </c>
      <c r="D1275" s="11" t="s">
        <v>294</v>
      </c>
      <c r="E1275" s="11" t="s">
        <v>751</v>
      </c>
      <c r="F1275" s="11" t="s">
        <v>7856</v>
      </c>
      <c r="G1275" s="11" t="s">
        <v>7857</v>
      </c>
      <c r="H1275" s="11"/>
      <c r="I1275" s="11" t="s">
        <v>7858</v>
      </c>
      <c r="J1275" s="11" t="s">
        <v>7859</v>
      </c>
      <c r="K1275" s="11" t="s">
        <v>7860</v>
      </c>
      <c r="L1275" s="11" t="s">
        <v>7861</v>
      </c>
      <c r="M1275" s="11" t="s">
        <v>3399</v>
      </c>
      <c r="N1275" s="14" t="n">
        <v>2</v>
      </c>
      <c r="O1275" s="14" t="n">
        <v>3</v>
      </c>
      <c r="P1275" s="14" t="n">
        <v>3</v>
      </c>
      <c r="Q1275" s="14"/>
      <c r="R1275" s="12" t="n">
        <f aca="false">IF(OR(N1275="",P1275=""),"",ROUND(N1275*O1275/P1275,1))</f>
        <v>2</v>
      </c>
      <c r="S1275" s="13" t="n">
        <f aca="false">IF(R1275="","",IF(Q1275="Y",1,IF(P1275&gt;='Read me'!$B$16,3,IF(AND(R1275&gt;='Read me'!$B$14,P1275&lt;='Read me'!$B$15),1,2))))</f>
        <v>2</v>
      </c>
    </row>
    <row r="1276" customFormat="false" ht="23.85" hidden="false" customHeight="false" outlineLevel="0" collapsed="false">
      <c r="A1276" s="11" t="s">
        <v>7862</v>
      </c>
      <c r="B1276" s="11" t="s">
        <v>42</v>
      </c>
      <c r="C1276" s="11" t="s">
        <v>293</v>
      </c>
      <c r="D1276" s="11" t="s">
        <v>294</v>
      </c>
      <c r="E1276" s="11" t="s">
        <v>751</v>
      </c>
      <c r="F1276" s="11" t="s">
        <v>7719</v>
      </c>
      <c r="G1276" s="11"/>
      <c r="H1276" s="11" t="s">
        <v>1284</v>
      </c>
      <c r="I1276" s="11" t="s">
        <v>754</v>
      </c>
      <c r="J1276" s="11" t="s">
        <v>7863</v>
      </c>
      <c r="K1276" s="11" t="s">
        <v>616</v>
      </c>
      <c r="L1276" s="11" t="s">
        <v>7602</v>
      </c>
      <c r="M1276" s="11"/>
      <c r="N1276" s="14" t="n">
        <v>2</v>
      </c>
      <c r="O1276" s="14" t="n">
        <v>3</v>
      </c>
      <c r="P1276" s="14" t="n">
        <v>3</v>
      </c>
      <c r="Q1276" s="14"/>
      <c r="R1276" s="12" t="n">
        <f aca="false">IF(OR(N1276="",P1276=""),"",ROUND(N1276*O1276/P1276,1))</f>
        <v>2</v>
      </c>
      <c r="S1276" s="13" t="n">
        <f aca="false">IF(R1276="","",IF(Q1276="Y",1,IF(P1276&gt;='Read me'!$B$16,3,IF(AND(R1276&gt;='Read me'!$B$14,P1276&lt;='Read me'!$B$15),1,2))))</f>
        <v>2</v>
      </c>
    </row>
    <row r="1277" customFormat="false" ht="15" hidden="false" customHeight="false" outlineLevel="0" collapsed="false">
      <c r="A1277" s="11" t="s">
        <v>7864</v>
      </c>
      <c r="B1277" s="11" t="s">
        <v>42</v>
      </c>
      <c r="C1277" s="11" t="s">
        <v>293</v>
      </c>
      <c r="D1277" s="11" t="s">
        <v>294</v>
      </c>
      <c r="E1277" s="11" t="s">
        <v>765</v>
      </c>
      <c r="F1277" s="11" t="s">
        <v>7865</v>
      </c>
      <c r="G1277" s="11" t="s">
        <v>7866</v>
      </c>
      <c r="H1277" s="11"/>
      <c r="I1277" s="11" t="s">
        <v>7867</v>
      </c>
      <c r="J1277" s="11" t="s">
        <v>7868</v>
      </c>
      <c r="K1277" s="11" t="s">
        <v>1028</v>
      </c>
      <c r="L1277" s="11" t="s">
        <v>7869</v>
      </c>
      <c r="M1277" s="11"/>
      <c r="N1277" s="14" t="n">
        <v>3</v>
      </c>
      <c r="O1277" s="14" t="n">
        <v>2</v>
      </c>
      <c r="P1277" s="14" t="n">
        <v>2</v>
      </c>
      <c r="Q1277" s="14"/>
      <c r="R1277" s="12" t="n">
        <f aca="false">IF(OR(N1277="",P1277=""),"",ROUND(N1277*O1277/P1277,1))</f>
        <v>3</v>
      </c>
      <c r="S1277" s="13" t="n">
        <f aca="false">IF(R1277="","",IF(Q1277="Y",1,IF(P1277&gt;='Read me'!$B$16,3,IF(AND(R1277&gt;='Read me'!$B$14,P1277&lt;='Read me'!$B$15),1,2))))</f>
        <v>2</v>
      </c>
    </row>
    <row r="1278" customFormat="false" ht="15" hidden="false" customHeight="false" outlineLevel="0" collapsed="false">
      <c r="A1278" s="11" t="s">
        <v>7870</v>
      </c>
      <c r="B1278" s="11" t="s">
        <v>42</v>
      </c>
      <c r="C1278" s="11" t="s">
        <v>293</v>
      </c>
      <c r="D1278" s="11" t="s">
        <v>294</v>
      </c>
      <c r="E1278" s="11" t="s">
        <v>765</v>
      </c>
      <c r="F1278" s="11" t="s">
        <v>7871</v>
      </c>
      <c r="G1278" s="11" t="s">
        <v>7866</v>
      </c>
      <c r="H1278" s="11"/>
      <c r="I1278" s="11" t="s">
        <v>7872</v>
      </c>
      <c r="J1278" s="11" t="s">
        <v>7873</v>
      </c>
      <c r="K1278" s="11" t="s">
        <v>7874</v>
      </c>
      <c r="L1278" s="11"/>
      <c r="M1278" s="11"/>
      <c r="N1278" s="14" t="n">
        <v>2</v>
      </c>
      <c r="O1278" s="14" t="n">
        <v>2</v>
      </c>
      <c r="P1278" s="14" t="n">
        <v>1</v>
      </c>
      <c r="Q1278" s="14"/>
      <c r="R1278" s="12" t="n">
        <f aca="false">IF(OR(N1278="",P1278=""),"",ROUND(N1278*O1278/P1278,1))</f>
        <v>4</v>
      </c>
      <c r="S1278" s="13" t="n">
        <f aca="false">IF(R1278="","",IF(Q1278="Y",1,IF(P1278&gt;='Read me'!$B$16,3,IF(AND(R1278&gt;='Read me'!$B$14,P1278&lt;='Read me'!$B$15),1,2))))</f>
        <v>2</v>
      </c>
    </row>
    <row r="1279" customFormat="false" ht="15" hidden="false" customHeight="false" outlineLevel="0" collapsed="false">
      <c r="A1279" s="11" t="s">
        <v>7875</v>
      </c>
      <c r="B1279" s="11" t="s">
        <v>42</v>
      </c>
      <c r="C1279" s="11" t="s">
        <v>293</v>
      </c>
      <c r="D1279" s="11" t="s">
        <v>294</v>
      </c>
      <c r="E1279" s="11" t="s">
        <v>765</v>
      </c>
      <c r="F1279" s="11" t="s">
        <v>3524</v>
      </c>
      <c r="G1279" s="11" t="s">
        <v>7876</v>
      </c>
      <c r="H1279" s="11"/>
      <c r="I1279" s="11" t="s">
        <v>7613</v>
      </c>
      <c r="J1279" s="11" t="s">
        <v>7877</v>
      </c>
      <c r="K1279" s="11" t="s">
        <v>2354</v>
      </c>
      <c r="L1279" s="11" t="s">
        <v>7878</v>
      </c>
      <c r="M1279" s="11"/>
      <c r="N1279" s="14" t="n">
        <v>4</v>
      </c>
      <c r="O1279" s="14" t="n">
        <v>3</v>
      </c>
      <c r="P1279" s="14" t="n">
        <v>1</v>
      </c>
      <c r="Q1279" s="14"/>
      <c r="R1279" s="12" t="n">
        <f aca="false">IF(OR(N1279="",P1279=""),"",ROUND(N1279*O1279/P1279,1))</f>
        <v>12</v>
      </c>
      <c r="S1279" s="13" t="n">
        <f aca="false">IF(R1279="","",IF(Q1279="Y",1,IF(P1279&gt;='Read me'!$B$16,3,IF(AND(R1279&gt;='Read me'!$B$14,P1279&lt;='Read me'!$B$15),1,2))))</f>
        <v>1</v>
      </c>
    </row>
    <row r="1280" customFormat="false" ht="15" hidden="false" customHeight="false" outlineLevel="0" collapsed="false">
      <c r="A1280" s="11" t="s">
        <v>7879</v>
      </c>
      <c r="B1280" s="11" t="s">
        <v>42</v>
      </c>
      <c r="C1280" s="11" t="s">
        <v>293</v>
      </c>
      <c r="D1280" s="11" t="s">
        <v>294</v>
      </c>
      <c r="E1280" s="11" t="s">
        <v>765</v>
      </c>
      <c r="F1280" s="11" t="s">
        <v>7751</v>
      </c>
      <c r="G1280" s="11" t="s">
        <v>7752</v>
      </c>
      <c r="H1280" s="11"/>
      <c r="I1280" s="11" t="s">
        <v>7880</v>
      </c>
      <c r="J1280" s="11" t="s">
        <v>7881</v>
      </c>
      <c r="K1280" s="11" t="s">
        <v>3870</v>
      </c>
      <c r="L1280" s="11" t="s">
        <v>7882</v>
      </c>
      <c r="M1280" s="11"/>
      <c r="N1280" s="14" t="n">
        <v>2</v>
      </c>
      <c r="O1280" s="14" t="n">
        <v>2</v>
      </c>
      <c r="P1280" s="14" t="n">
        <v>3</v>
      </c>
      <c r="Q1280" s="14"/>
      <c r="R1280" s="12" t="n">
        <f aca="false">IF(OR(N1280="",P1280=""),"",ROUND(N1280*O1280/P1280,1))</f>
        <v>1.3</v>
      </c>
      <c r="S1280" s="13" t="n">
        <f aca="false">IF(R1280="","",IF(Q1280="Y",1,IF(P1280&gt;='Read me'!$B$16,3,IF(AND(R1280&gt;='Read me'!$B$14,P1280&lt;='Read me'!$B$15),1,2))))</f>
        <v>2</v>
      </c>
    </row>
    <row r="1281" customFormat="false" ht="23.85" hidden="false" customHeight="false" outlineLevel="0" collapsed="false">
      <c r="A1281" s="11" t="s">
        <v>7883</v>
      </c>
      <c r="B1281" s="11" t="s">
        <v>42</v>
      </c>
      <c r="C1281" s="11" t="s">
        <v>293</v>
      </c>
      <c r="D1281" s="11" t="s">
        <v>294</v>
      </c>
      <c r="E1281" s="11" t="s">
        <v>765</v>
      </c>
      <c r="F1281" s="11" t="s">
        <v>7884</v>
      </c>
      <c r="G1281" s="11" t="s">
        <v>4450</v>
      </c>
      <c r="H1281" s="11"/>
      <c r="I1281" s="11" t="s">
        <v>7885</v>
      </c>
      <c r="J1281" s="11" t="s">
        <v>7886</v>
      </c>
      <c r="K1281" s="11" t="s">
        <v>1993</v>
      </c>
      <c r="L1281" s="11" t="s">
        <v>7887</v>
      </c>
      <c r="M1281" s="11" t="s">
        <v>7820</v>
      </c>
      <c r="N1281" s="14" t="n">
        <v>2</v>
      </c>
      <c r="O1281" s="14" t="n">
        <v>3</v>
      </c>
      <c r="P1281" s="14" t="n">
        <v>3</v>
      </c>
      <c r="Q1281" s="14"/>
      <c r="R1281" s="12" t="n">
        <f aca="false">IF(OR(N1281="",P1281=""),"",ROUND(N1281*O1281/P1281,1))</f>
        <v>2</v>
      </c>
      <c r="S1281" s="13" t="n">
        <f aca="false">IF(R1281="","",IF(Q1281="Y",1,IF(P1281&gt;='Read me'!$B$16,3,IF(AND(R1281&gt;='Read me'!$B$14,P1281&lt;='Read me'!$B$15),1,2))))</f>
        <v>2</v>
      </c>
    </row>
    <row r="1282" customFormat="false" ht="23.85" hidden="false" customHeight="false" outlineLevel="0" collapsed="false">
      <c r="A1282" s="11" t="s">
        <v>7888</v>
      </c>
      <c r="B1282" s="11" t="s">
        <v>42</v>
      </c>
      <c r="C1282" s="11" t="s">
        <v>293</v>
      </c>
      <c r="D1282" s="11" t="s">
        <v>294</v>
      </c>
      <c r="E1282" s="11" t="s">
        <v>1187</v>
      </c>
      <c r="F1282" s="11" t="s">
        <v>7889</v>
      </c>
      <c r="G1282" s="11" t="s">
        <v>3576</v>
      </c>
      <c r="H1282" s="11" t="s">
        <v>7778</v>
      </c>
      <c r="I1282" s="11" t="s">
        <v>512</v>
      </c>
      <c r="J1282" s="11" t="s">
        <v>7890</v>
      </c>
      <c r="K1282" s="11" t="s">
        <v>696</v>
      </c>
      <c r="L1282" s="11" t="s">
        <v>7891</v>
      </c>
      <c r="M1282" s="11"/>
      <c r="N1282" s="14" t="n">
        <v>1</v>
      </c>
      <c r="O1282" s="14" t="n">
        <v>3</v>
      </c>
      <c r="P1282" s="14" t="n">
        <v>3</v>
      </c>
      <c r="Q1282" s="14"/>
      <c r="R1282" s="12" t="n">
        <f aca="false">IF(OR(N1282="",P1282=""),"",ROUND(N1282*O1282/P1282,1))</f>
        <v>1</v>
      </c>
      <c r="S1282" s="13" t="n">
        <f aca="false">IF(R1282="","",IF(Q1282="Y",1,IF(P1282&gt;='Read me'!$B$16,3,IF(AND(R1282&gt;='Read me'!$B$14,P1282&lt;='Read me'!$B$15),1,2))))</f>
        <v>2</v>
      </c>
    </row>
    <row r="1283" customFormat="false" ht="23.85" hidden="false" customHeight="false" outlineLevel="0" collapsed="false">
      <c r="A1283" s="11" t="s">
        <v>7892</v>
      </c>
      <c r="B1283" s="11" t="s">
        <v>42</v>
      </c>
      <c r="C1283" s="11" t="s">
        <v>293</v>
      </c>
      <c r="D1283" s="11" t="s">
        <v>294</v>
      </c>
      <c r="E1283" s="11" t="s">
        <v>1187</v>
      </c>
      <c r="F1283" s="11" t="s">
        <v>7893</v>
      </c>
      <c r="G1283" s="11" t="s">
        <v>7894</v>
      </c>
      <c r="H1283" s="11" t="s">
        <v>7895</v>
      </c>
      <c r="I1283" s="11" t="s">
        <v>7896</v>
      </c>
      <c r="J1283" s="11" t="s">
        <v>7897</v>
      </c>
      <c r="K1283" s="11" t="s">
        <v>4066</v>
      </c>
      <c r="L1283" s="11" t="s">
        <v>7898</v>
      </c>
      <c r="M1283" s="11" t="s">
        <v>7899</v>
      </c>
      <c r="N1283" s="14" t="n">
        <v>1</v>
      </c>
      <c r="O1283" s="14" t="n">
        <v>3</v>
      </c>
      <c r="P1283" s="14" t="n">
        <v>3</v>
      </c>
      <c r="Q1283" s="14"/>
      <c r="R1283" s="12" t="n">
        <f aca="false">IF(OR(N1283="",P1283=""),"",ROUND(N1283*O1283/P1283,1))</f>
        <v>1</v>
      </c>
      <c r="S1283" s="13" t="n">
        <f aca="false">IF(R1283="","",IF(Q1283="Y",1,IF(P1283&gt;='Read me'!$B$16,3,IF(AND(R1283&gt;='Read me'!$B$14,P1283&lt;='Read me'!$B$15),1,2))))</f>
        <v>2</v>
      </c>
    </row>
    <row r="1284" customFormat="false" ht="15" hidden="false" customHeight="false" outlineLevel="0" collapsed="false">
      <c r="A1284" s="11" t="s">
        <v>7900</v>
      </c>
      <c r="B1284" s="11" t="s">
        <v>42</v>
      </c>
      <c r="C1284" s="11" t="s">
        <v>293</v>
      </c>
      <c r="D1284" s="11" t="s">
        <v>294</v>
      </c>
      <c r="E1284" s="11" t="s">
        <v>1133</v>
      </c>
      <c r="F1284" s="11" t="s">
        <v>1147</v>
      </c>
      <c r="G1284" s="11" t="s">
        <v>1148</v>
      </c>
      <c r="H1284" s="11"/>
      <c r="I1284" s="11" t="s">
        <v>7901</v>
      </c>
      <c r="J1284" s="11" t="s">
        <v>7902</v>
      </c>
      <c r="K1284" s="11" t="s">
        <v>1151</v>
      </c>
      <c r="L1284" s="11" t="s">
        <v>7903</v>
      </c>
      <c r="M1284" s="11" t="s">
        <v>3592</v>
      </c>
      <c r="N1284" s="14" t="n">
        <v>1</v>
      </c>
      <c r="O1284" s="14" t="n">
        <v>2</v>
      </c>
      <c r="P1284" s="14" t="n">
        <v>3</v>
      </c>
      <c r="Q1284" s="14"/>
      <c r="R1284" s="12" t="n">
        <f aca="false">IF(OR(N1284="",P1284=""),"",ROUND(N1284*O1284/P1284,1))</f>
        <v>0.7</v>
      </c>
      <c r="S1284" s="13" t="n">
        <f aca="false">IF(R1284="","",IF(Q1284="Y",1,IF(P1284&gt;='Read me'!$B$16,3,IF(AND(R1284&gt;='Read me'!$B$14,P1284&lt;='Read me'!$B$15),1,2))))</f>
        <v>2</v>
      </c>
    </row>
    <row r="1285" customFormat="false" ht="23.85" hidden="false" customHeight="false" outlineLevel="0" collapsed="false">
      <c r="A1285" s="11" t="s">
        <v>7904</v>
      </c>
      <c r="B1285" s="11" t="s">
        <v>42</v>
      </c>
      <c r="C1285" s="11" t="s">
        <v>296</v>
      </c>
      <c r="D1285" s="11" t="s">
        <v>297</v>
      </c>
      <c r="E1285" s="11" t="s">
        <v>476</v>
      </c>
      <c r="F1285" s="11" t="s">
        <v>7905</v>
      </c>
      <c r="G1285" s="11" t="s">
        <v>3402</v>
      </c>
      <c r="H1285" s="11"/>
      <c r="I1285" s="11" t="s">
        <v>7906</v>
      </c>
      <c r="J1285" s="11" t="s">
        <v>7907</v>
      </c>
      <c r="K1285" s="11" t="s">
        <v>3606</v>
      </c>
      <c r="L1285" s="11" t="s">
        <v>4388</v>
      </c>
      <c r="M1285" s="11"/>
      <c r="N1285" s="14" t="n">
        <v>4</v>
      </c>
      <c r="O1285" s="14" t="n">
        <v>4</v>
      </c>
      <c r="P1285" s="14" t="n">
        <v>1</v>
      </c>
      <c r="Q1285" s="14"/>
      <c r="R1285" s="12" t="n">
        <f aca="false">IF(OR(N1285="",P1285=""),"",ROUND(N1285*O1285/P1285,1))</f>
        <v>16</v>
      </c>
      <c r="S1285" s="13" t="n">
        <f aca="false">IF(R1285="","",IF(Q1285="Y",1,IF(P1285&gt;='Read me'!$B$16,3,IF(AND(R1285&gt;='Read me'!$B$14,P1285&lt;='Read me'!$B$15),1,2))))</f>
        <v>1</v>
      </c>
    </row>
    <row r="1286" customFormat="false" ht="15" hidden="false" customHeight="false" outlineLevel="0" collapsed="false">
      <c r="A1286" s="11" t="s">
        <v>7908</v>
      </c>
      <c r="B1286" s="11" t="s">
        <v>42</v>
      </c>
      <c r="C1286" s="11" t="s">
        <v>296</v>
      </c>
      <c r="D1286" s="11" t="s">
        <v>297</v>
      </c>
      <c r="E1286" s="11" t="s">
        <v>476</v>
      </c>
      <c r="F1286" s="11" t="s">
        <v>7905</v>
      </c>
      <c r="G1286" s="11" t="s">
        <v>497</v>
      </c>
      <c r="H1286" s="11"/>
      <c r="I1286" s="11" t="s">
        <v>7909</v>
      </c>
      <c r="J1286" s="11" t="s">
        <v>7910</v>
      </c>
      <c r="K1286" s="11" t="s">
        <v>7911</v>
      </c>
      <c r="L1286" s="11" t="s">
        <v>7912</v>
      </c>
      <c r="M1286" s="11"/>
      <c r="N1286" s="14" t="n">
        <v>2</v>
      </c>
      <c r="O1286" s="14" t="n">
        <v>3</v>
      </c>
      <c r="P1286" s="14" t="n">
        <v>2</v>
      </c>
      <c r="Q1286" s="14"/>
      <c r="R1286" s="12" t="n">
        <f aca="false">IF(OR(N1286="",P1286=""),"",ROUND(N1286*O1286/P1286,1))</f>
        <v>3</v>
      </c>
      <c r="S1286" s="13" t="n">
        <f aca="false">IF(R1286="","",IF(Q1286="Y",1,IF(P1286&gt;='Read me'!$B$16,3,IF(AND(R1286&gt;='Read me'!$B$14,P1286&lt;='Read me'!$B$15),1,2))))</f>
        <v>2</v>
      </c>
    </row>
    <row r="1287" customFormat="false" ht="23.85" hidden="false" customHeight="false" outlineLevel="0" collapsed="false">
      <c r="A1287" s="11" t="s">
        <v>7913</v>
      </c>
      <c r="B1287" s="11" t="s">
        <v>42</v>
      </c>
      <c r="C1287" s="11" t="s">
        <v>296</v>
      </c>
      <c r="D1287" s="11" t="s">
        <v>297</v>
      </c>
      <c r="E1287" s="11" t="s">
        <v>476</v>
      </c>
      <c r="F1287" s="11" t="s">
        <v>7914</v>
      </c>
      <c r="G1287" s="11" t="s">
        <v>7915</v>
      </c>
      <c r="H1287" s="11"/>
      <c r="I1287" s="11" t="s">
        <v>7916</v>
      </c>
      <c r="J1287" s="11" t="s">
        <v>7917</v>
      </c>
      <c r="K1287" s="11" t="s">
        <v>3606</v>
      </c>
      <c r="L1287" s="11" t="s">
        <v>7654</v>
      </c>
      <c r="M1287" s="11"/>
      <c r="N1287" s="14" t="n">
        <v>2</v>
      </c>
      <c r="O1287" s="14" t="n">
        <v>3</v>
      </c>
      <c r="P1287" s="14" t="n">
        <v>1</v>
      </c>
      <c r="Q1287" s="14"/>
      <c r="R1287" s="12" t="n">
        <f aca="false">IF(OR(N1287="",P1287=""),"",ROUND(N1287*O1287/P1287,1))</f>
        <v>6</v>
      </c>
      <c r="S1287" s="13" t="n">
        <f aca="false">IF(R1287="","",IF(Q1287="Y",1,IF(P1287&gt;='Read me'!$B$16,3,IF(AND(R1287&gt;='Read me'!$B$14,P1287&lt;='Read me'!$B$15),1,2))))</f>
        <v>1</v>
      </c>
    </row>
    <row r="1288" customFormat="false" ht="35.05" hidden="false" customHeight="false" outlineLevel="0" collapsed="false">
      <c r="A1288" s="11" t="s">
        <v>7918</v>
      </c>
      <c r="B1288" s="11" t="s">
        <v>42</v>
      </c>
      <c r="C1288" s="11" t="s">
        <v>296</v>
      </c>
      <c r="D1288" s="11" t="s">
        <v>297</v>
      </c>
      <c r="E1288" s="11" t="s">
        <v>476</v>
      </c>
      <c r="F1288" s="11" t="s">
        <v>7919</v>
      </c>
      <c r="G1288" s="11" t="s">
        <v>7920</v>
      </c>
      <c r="H1288" s="11"/>
      <c r="I1288" s="11" t="s">
        <v>7921</v>
      </c>
      <c r="J1288" s="11" t="s">
        <v>7922</v>
      </c>
      <c r="K1288" s="11" t="s">
        <v>3606</v>
      </c>
      <c r="L1288" s="11" t="s">
        <v>7654</v>
      </c>
      <c r="M1288" s="11" t="s">
        <v>7923</v>
      </c>
      <c r="N1288" s="14" t="n">
        <v>2</v>
      </c>
      <c r="O1288" s="14" t="n">
        <v>3</v>
      </c>
      <c r="P1288" s="14" t="n">
        <v>1</v>
      </c>
      <c r="Q1288" s="14"/>
      <c r="R1288" s="12" t="n">
        <f aca="false">IF(OR(N1288="",P1288=""),"",ROUND(N1288*O1288/P1288,1))</f>
        <v>6</v>
      </c>
      <c r="S1288" s="13" t="n">
        <f aca="false">IF(R1288="","",IF(Q1288="Y",1,IF(P1288&gt;='Read me'!$B$16,3,IF(AND(R1288&gt;='Read me'!$B$14,P1288&lt;='Read me'!$B$15),1,2))))</f>
        <v>1</v>
      </c>
    </row>
    <row r="1289" customFormat="false" ht="23.85" hidden="false" customHeight="false" outlineLevel="0" collapsed="false">
      <c r="A1289" s="11" t="s">
        <v>7924</v>
      </c>
      <c r="B1289" s="11" t="s">
        <v>42</v>
      </c>
      <c r="C1289" s="11" t="s">
        <v>296</v>
      </c>
      <c r="D1289" s="11" t="s">
        <v>297</v>
      </c>
      <c r="E1289" s="11" t="s">
        <v>532</v>
      </c>
      <c r="F1289" s="11" t="s">
        <v>7925</v>
      </c>
      <c r="G1289" s="11" t="s">
        <v>3402</v>
      </c>
      <c r="H1289" s="11"/>
      <c r="I1289" s="11" t="s">
        <v>7926</v>
      </c>
      <c r="J1289" s="11" t="s">
        <v>7927</v>
      </c>
      <c r="K1289" s="11" t="s">
        <v>7928</v>
      </c>
      <c r="L1289" s="11" t="s">
        <v>7929</v>
      </c>
      <c r="M1289" s="11"/>
      <c r="N1289" s="14" t="n">
        <v>4</v>
      </c>
      <c r="O1289" s="14" t="n">
        <v>4</v>
      </c>
      <c r="P1289" s="14" t="n">
        <v>2</v>
      </c>
      <c r="Q1289" s="14"/>
      <c r="R1289" s="12" t="n">
        <f aca="false">IF(OR(N1289="",P1289=""),"",ROUND(N1289*O1289/P1289,1))</f>
        <v>8</v>
      </c>
      <c r="S1289" s="13" t="n">
        <f aca="false">IF(R1289="","",IF(Q1289="Y",1,IF(P1289&gt;='Read me'!$B$16,3,IF(AND(R1289&gt;='Read me'!$B$14,P1289&lt;='Read me'!$B$15),1,2))))</f>
        <v>1</v>
      </c>
    </row>
    <row r="1290" customFormat="false" ht="15" hidden="false" customHeight="false" outlineLevel="0" collapsed="false">
      <c r="A1290" s="11" t="s">
        <v>7930</v>
      </c>
      <c r="B1290" s="11" t="s">
        <v>42</v>
      </c>
      <c r="C1290" s="11" t="s">
        <v>296</v>
      </c>
      <c r="D1290" s="11" t="s">
        <v>297</v>
      </c>
      <c r="E1290" s="11" t="s">
        <v>532</v>
      </c>
      <c r="F1290" s="11" t="s">
        <v>7925</v>
      </c>
      <c r="G1290" s="11" t="s">
        <v>478</v>
      </c>
      <c r="H1290" s="11"/>
      <c r="I1290" s="11" t="s">
        <v>7931</v>
      </c>
      <c r="J1290" s="11" t="s">
        <v>7932</v>
      </c>
      <c r="K1290" s="11" t="s">
        <v>7933</v>
      </c>
      <c r="L1290" s="11" t="s">
        <v>7832</v>
      </c>
      <c r="M1290" s="11"/>
      <c r="N1290" s="14" t="n">
        <v>3</v>
      </c>
      <c r="O1290" s="14" t="n">
        <v>3</v>
      </c>
      <c r="P1290" s="14" t="n">
        <v>1</v>
      </c>
      <c r="Q1290" s="14"/>
      <c r="R1290" s="12" t="n">
        <f aca="false">IF(OR(N1290="",P1290=""),"",ROUND(N1290*O1290/P1290,1))</f>
        <v>9</v>
      </c>
      <c r="S1290" s="13" t="n">
        <f aca="false">IF(R1290="","",IF(Q1290="Y",1,IF(P1290&gt;='Read me'!$B$16,3,IF(AND(R1290&gt;='Read me'!$B$14,P1290&lt;='Read me'!$B$15),1,2))))</f>
        <v>1</v>
      </c>
    </row>
    <row r="1291" customFormat="false" ht="23.85" hidden="false" customHeight="false" outlineLevel="0" collapsed="false">
      <c r="A1291" s="11" t="s">
        <v>7934</v>
      </c>
      <c r="B1291" s="11" t="s">
        <v>42</v>
      </c>
      <c r="C1291" s="11" t="s">
        <v>296</v>
      </c>
      <c r="D1291" s="11" t="s">
        <v>297</v>
      </c>
      <c r="E1291" s="11" t="s">
        <v>532</v>
      </c>
      <c r="F1291" s="11" t="s">
        <v>7935</v>
      </c>
      <c r="G1291" s="11" t="s">
        <v>7936</v>
      </c>
      <c r="H1291" s="11"/>
      <c r="I1291" s="11" t="s">
        <v>7937</v>
      </c>
      <c r="J1291" s="11" t="s">
        <v>7938</v>
      </c>
      <c r="K1291" s="11" t="s">
        <v>4066</v>
      </c>
      <c r="L1291" s="11" t="s">
        <v>7939</v>
      </c>
      <c r="M1291" s="11"/>
      <c r="N1291" s="14" t="n">
        <v>1</v>
      </c>
      <c r="O1291" s="14" t="n">
        <v>2</v>
      </c>
      <c r="P1291" s="14" t="n">
        <v>1</v>
      </c>
      <c r="Q1291" s="14"/>
      <c r="R1291" s="12" t="n">
        <f aca="false">IF(OR(N1291="",P1291=""),"",ROUND(N1291*O1291/P1291,1))</f>
        <v>2</v>
      </c>
      <c r="S1291" s="13" t="n">
        <f aca="false">IF(R1291="","",IF(Q1291="Y",1,IF(P1291&gt;='Read me'!$B$16,3,IF(AND(R1291&gt;='Read me'!$B$14,P1291&lt;='Read me'!$B$15),1,2))))</f>
        <v>2</v>
      </c>
    </row>
    <row r="1292" customFormat="false" ht="23.85" hidden="false" customHeight="false" outlineLevel="0" collapsed="false">
      <c r="A1292" s="11" t="s">
        <v>7940</v>
      </c>
      <c r="B1292" s="11" t="s">
        <v>42</v>
      </c>
      <c r="C1292" s="11" t="s">
        <v>296</v>
      </c>
      <c r="D1292" s="11" t="s">
        <v>297</v>
      </c>
      <c r="E1292" s="11" t="s">
        <v>532</v>
      </c>
      <c r="F1292" s="11" t="s">
        <v>7941</v>
      </c>
      <c r="G1292" s="11" t="s">
        <v>3419</v>
      </c>
      <c r="H1292" s="11"/>
      <c r="I1292" s="11" t="s">
        <v>7942</v>
      </c>
      <c r="J1292" s="11" t="s">
        <v>7943</v>
      </c>
      <c r="K1292" s="11" t="s">
        <v>7944</v>
      </c>
      <c r="L1292" s="11" t="s">
        <v>7945</v>
      </c>
      <c r="M1292" s="11"/>
      <c r="N1292" s="14" t="n">
        <v>2</v>
      </c>
      <c r="O1292" s="14" t="n">
        <v>4</v>
      </c>
      <c r="P1292" s="14" t="n">
        <v>2</v>
      </c>
      <c r="Q1292" s="14"/>
      <c r="R1292" s="12" t="n">
        <f aca="false">IF(OR(N1292="",P1292=""),"",ROUND(N1292*O1292/P1292,1))</f>
        <v>4</v>
      </c>
      <c r="S1292" s="13" t="n">
        <f aca="false">IF(R1292="","",IF(Q1292="Y",1,IF(P1292&gt;='Read me'!$B$16,3,IF(AND(R1292&gt;='Read me'!$B$14,P1292&lt;='Read me'!$B$15),1,2))))</f>
        <v>2</v>
      </c>
    </row>
    <row r="1293" customFormat="false" ht="23.85" hidden="false" customHeight="false" outlineLevel="0" collapsed="false">
      <c r="A1293" s="11" t="s">
        <v>7946</v>
      </c>
      <c r="B1293" s="11" t="s">
        <v>42</v>
      </c>
      <c r="C1293" s="11" t="s">
        <v>296</v>
      </c>
      <c r="D1293" s="11" t="s">
        <v>297</v>
      </c>
      <c r="E1293" s="11" t="s">
        <v>532</v>
      </c>
      <c r="F1293" s="11" t="s">
        <v>7947</v>
      </c>
      <c r="G1293" s="11" t="s">
        <v>1634</v>
      </c>
      <c r="H1293" s="11"/>
      <c r="I1293" s="11" t="s">
        <v>7948</v>
      </c>
      <c r="J1293" s="11" t="s">
        <v>7949</v>
      </c>
      <c r="K1293" s="11" t="s">
        <v>717</v>
      </c>
      <c r="L1293" s="11" t="s">
        <v>7950</v>
      </c>
      <c r="M1293" s="11"/>
      <c r="N1293" s="14" t="n">
        <v>1</v>
      </c>
      <c r="O1293" s="14" t="n">
        <v>4</v>
      </c>
      <c r="P1293" s="14" t="n">
        <v>2</v>
      </c>
      <c r="Q1293" s="14"/>
      <c r="R1293" s="12" t="n">
        <f aca="false">IF(OR(N1293="",P1293=""),"",ROUND(N1293*O1293/P1293,1))</f>
        <v>2</v>
      </c>
      <c r="S1293" s="13" t="n">
        <f aca="false">IF(R1293="","",IF(Q1293="Y",1,IF(P1293&gt;='Read me'!$B$16,3,IF(AND(R1293&gt;='Read me'!$B$14,P1293&lt;='Read me'!$B$15),1,2))))</f>
        <v>2</v>
      </c>
    </row>
    <row r="1294" customFormat="false" ht="23.85" hidden="false" customHeight="false" outlineLevel="0" collapsed="false">
      <c r="A1294" s="11" t="s">
        <v>7951</v>
      </c>
      <c r="B1294" s="11" t="s">
        <v>42</v>
      </c>
      <c r="C1294" s="11" t="s">
        <v>296</v>
      </c>
      <c r="D1294" s="11" t="s">
        <v>297</v>
      </c>
      <c r="E1294" s="11" t="s">
        <v>532</v>
      </c>
      <c r="F1294" s="11" t="s">
        <v>7952</v>
      </c>
      <c r="G1294" s="11" t="s">
        <v>7953</v>
      </c>
      <c r="H1294" s="11"/>
      <c r="I1294" s="11" t="s">
        <v>7954</v>
      </c>
      <c r="J1294" s="11" t="s">
        <v>7955</v>
      </c>
      <c r="K1294" s="11" t="s">
        <v>1028</v>
      </c>
      <c r="L1294" s="11" t="s">
        <v>7956</v>
      </c>
      <c r="M1294" s="11"/>
      <c r="N1294" s="14" t="n">
        <v>1</v>
      </c>
      <c r="O1294" s="14" t="n">
        <v>2</v>
      </c>
      <c r="P1294" s="14" t="n">
        <v>3</v>
      </c>
      <c r="Q1294" s="14"/>
      <c r="R1294" s="12" t="n">
        <f aca="false">IF(OR(N1294="",P1294=""),"",ROUND(N1294*O1294/P1294,1))</f>
        <v>0.7</v>
      </c>
      <c r="S1294" s="13" t="n">
        <f aca="false">IF(R1294="","",IF(Q1294="Y",1,IF(P1294&gt;='Read me'!$B$16,3,IF(AND(R1294&gt;='Read me'!$B$14,P1294&lt;='Read me'!$B$15),1,2))))</f>
        <v>2</v>
      </c>
    </row>
    <row r="1295" customFormat="false" ht="23.85" hidden="false" customHeight="false" outlineLevel="0" collapsed="false">
      <c r="A1295" s="11" t="s">
        <v>7957</v>
      </c>
      <c r="B1295" s="11" t="s">
        <v>42</v>
      </c>
      <c r="C1295" s="11" t="s">
        <v>296</v>
      </c>
      <c r="D1295" s="11" t="s">
        <v>297</v>
      </c>
      <c r="E1295" s="11" t="s">
        <v>532</v>
      </c>
      <c r="F1295" s="11" t="s">
        <v>7925</v>
      </c>
      <c r="G1295" s="11" t="s">
        <v>1473</v>
      </c>
      <c r="H1295" s="11"/>
      <c r="I1295" s="11" t="s">
        <v>7958</v>
      </c>
      <c r="J1295" s="11" t="s">
        <v>7959</v>
      </c>
      <c r="K1295" s="11" t="s">
        <v>3432</v>
      </c>
      <c r="L1295" s="11" t="s">
        <v>7960</v>
      </c>
      <c r="M1295" s="11"/>
      <c r="N1295" s="14" t="n">
        <v>1</v>
      </c>
      <c r="O1295" s="14" t="n">
        <v>3</v>
      </c>
      <c r="P1295" s="14" t="n">
        <v>3</v>
      </c>
      <c r="Q1295" s="14"/>
      <c r="R1295" s="12" t="n">
        <f aca="false">IF(OR(N1295="",P1295=""),"",ROUND(N1295*O1295/P1295,1))</f>
        <v>1</v>
      </c>
      <c r="S1295" s="13" t="n">
        <f aca="false">IF(R1295="","",IF(Q1295="Y",1,IF(P1295&gt;='Read me'!$B$16,3,IF(AND(R1295&gt;='Read me'!$B$14,P1295&lt;='Read me'!$B$15),1,2))))</f>
        <v>2</v>
      </c>
    </row>
    <row r="1296" customFormat="false" ht="23.85" hidden="false" customHeight="false" outlineLevel="0" collapsed="false">
      <c r="A1296" s="11" t="s">
        <v>7961</v>
      </c>
      <c r="B1296" s="11" t="s">
        <v>42</v>
      </c>
      <c r="C1296" s="11" t="s">
        <v>296</v>
      </c>
      <c r="D1296" s="11" t="s">
        <v>297</v>
      </c>
      <c r="E1296" s="11" t="s">
        <v>532</v>
      </c>
      <c r="F1296" s="11" t="s">
        <v>7925</v>
      </c>
      <c r="G1296" s="11" t="s">
        <v>3402</v>
      </c>
      <c r="H1296" s="11" t="s">
        <v>686</v>
      </c>
      <c r="I1296" s="11" t="s">
        <v>7962</v>
      </c>
      <c r="J1296" s="11" t="s">
        <v>7963</v>
      </c>
      <c r="K1296" s="11" t="s">
        <v>3952</v>
      </c>
      <c r="L1296" s="11"/>
      <c r="M1296" s="11"/>
      <c r="N1296" s="14" t="n">
        <v>2</v>
      </c>
      <c r="O1296" s="14" t="n">
        <v>2</v>
      </c>
      <c r="P1296" s="14" t="n">
        <v>1</v>
      </c>
      <c r="Q1296" s="14"/>
      <c r="R1296" s="12" t="n">
        <f aca="false">IF(OR(N1296="",P1296=""),"",ROUND(N1296*O1296/P1296,1))</f>
        <v>4</v>
      </c>
      <c r="S1296" s="13" t="n">
        <f aca="false">IF(R1296="","",IF(Q1296="Y",1,IF(P1296&gt;='Read me'!$B$16,3,IF(AND(R1296&gt;='Read me'!$B$14,P1296&lt;='Read me'!$B$15),1,2))))</f>
        <v>2</v>
      </c>
    </row>
    <row r="1297" customFormat="false" ht="23.85" hidden="false" customHeight="false" outlineLevel="0" collapsed="false">
      <c r="A1297" s="11" t="s">
        <v>7964</v>
      </c>
      <c r="B1297" s="11" t="s">
        <v>42</v>
      </c>
      <c r="C1297" s="11" t="s">
        <v>296</v>
      </c>
      <c r="D1297" s="11" t="s">
        <v>297</v>
      </c>
      <c r="E1297" s="11" t="s">
        <v>751</v>
      </c>
      <c r="F1297" s="11" t="s">
        <v>1251</v>
      </c>
      <c r="G1297" s="11" t="s">
        <v>1252</v>
      </c>
      <c r="H1297" s="11"/>
      <c r="I1297" s="11" t="s">
        <v>1251</v>
      </c>
      <c r="J1297" s="11" t="s">
        <v>7965</v>
      </c>
      <c r="K1297" s="11" t="s">
        <v>1254</v>
      </c>
      <c r="L1297" s="11" t="s">
        <v>3967</v>
      </c>
      <c r="M1297" s="11" t="s">
        <v>1577</v>
      </c>
      <c r="N1297" s="14" t="n">
        <v>3</v>
      </c>
      <c r="O1297" s="14" t="n">
        <v>4</v>
      </c>
      <c r="P1297" s="14" t="n">
        <v>3</v>
      </c>
      <c r="Q1297" s="14"/>
      <c r="R1297" s="12" t="n">
        <f aca="false">IF(OR(N1297="",P1297=""),"",ROUND(N1297*O1297/P1297,1))</f>
        <v>4</v>
      </c>
      <c r="S1297" s="13" t="n">
        <f aca="false">IF(R1297="","",IF(Q1297="Y",1,IF(P1297&gt;='Read me'!$B$16,3,IF(AND(R1297&gt;='Read me'!$B$14,P1297&lt;='Read me'!$B$15),1,2))))</f>
        <v>2</v>
      </c>
    </row>
    <row r="1298" customFormat="false" ht="23.85" hidden="false" customHeight="false" outlineLevel="0" collapsed="false">
      <c r="A1298" s="11" t="s">
        <v>7966</v>
      </c>
      <c r="B1298" s="11" t="s">
        <v>42</v>
      </c>
      <c r="C1298" s="11" t="s">
        <v>296</v>
      </c>
      <c r="D1298" s="11" t="s">
        <v>297</v>
      </c>
      <c r="E1298" s="11" t="s">
        <v>751</v>
      </c>
      <c r="F1298" s="11" t="s">
        <v>1258</v>
      </c>
      <c r="G1298" s="11" t="s">
        <v>1259</v>
      </c>
      <c r="H1298" s="11"/>
      <c r="I1298" s="11" t="s">
        <v>5248</v>
      </c>
      <c r="J1298" s="11" t="s">
        <v>7967</v>
      </c>
      <c r="K1298" s="11" t="s">
        <v>1262</v>
      </c>
      <c r="L1298" s="11" t="s">
        <v>1263</v>
      </c>
      <c r="M1298" s="11" t="s">
        <v>1577</v>
      </c>
      <c r="N1298" s="14" t="n">
        <v>2</v>
      </c>
      <c r="O1298" s="14" t="n">
        <v>4</v>
      </c>
      <c r="P1298" s="14" t="n">
        <v>3</v>
      </c>
      <c r="Q1298" s="14"/>
      <c r="R1298" s="12" t="n">
        <f aca="false">IF(OR(N1298="",P1298=""),"",ROUND(N1298*O1298/P1298,1))</f>
        <v>2.7</v>
      </c>
      <c r="S1298" s="13" t="n">
        <f aca="false">IF(R1298="","",IF(Q1298="Y",1,IF(P1298&gt;='Read me'!$B$16,3,IF(AND(R1298&gt;='Read me'!$B$14,P1298&lt;='Read me'!$B$15),1,2))))</f>
        <v>2</v>
      </c>
    </row>
    <row r="1299" customFormat="false" ht="15" hidden="false" customHeight="false" outlineLevel="0" collapsed="false">
      <c r="A1299" s="11" t="s">
        <v>7968</v>
      </c>
      <c r="B1299" s="11" t="s">
        <v>42</v>
      </c>
      <c r="C1299" s="11" t="s">
        <v>296</v>
      </c>
      <c r="D1299" s="11" t="s">
        <v>297</v>
      </c>
      <c r="E1299" s="11" t="s">
        <v>751</v>
      </c>
      <c r="F1299" s="11" t="s">
        <v>7719</v>
      </c>
      <c r="G1299" s="11"/>
      <c r="H1299" s="11" t="s">
        <v>1284</v>
      </c>
      <c r="I1299" s="11" t="s">
        <v>754</v>
      </c>
      <c r="J1299" s="11" t="s">
        <v>7969</v>
      </c>
      <c r="K1299" s="11" t="s">
        <v>616</v>
      </c>
      <c r="L1299" s="11" t="s">
        <v>7602</v>
      </c>
      <c r="M1299" s="11"/>
      <c r="N1299" s="14" t="n">
        <v>1</v>
      </c>
      <c r="O1299" s="14" t="n">
        <v>2</v>
      </c>
      <c r="P1299" s="14" t="n">
        <v>3</v>
      </c>
      <c r="Q1299" s="14"/>
      <c r="R1299" s="12" t="n">
        <f aca="false">IF(OR(N1299="",P1299=""),"",ROUND(N1299*O1299/P1299,1))</f>
        <v>0.7</v>
      </c>
      <c r="S1299" s="13" t="n">
        <f aca="false">IF(R1299="","",IF(Q1299="Y",1,IF(P1299&gt;='Read me'!$B$16,3,IF(AND(R1299&gt;='Read me'!$B$14,P1299&lt;='Read me'!$B$15),1,2))))</f>
        <v>2</v>
      </c>
    </row>
    <row r="1300" customFormat="false" ht="15" hidden="false" customHeight="false" outlineLevel="0" collapsed="false">
      <c r="A1300" s="11" t="s">
        <v>7970</v>
      </c>
      <c r="B1300" s="11" t="s">
        <v>42</v>
      </c>
      <c r="C1300" s="11" t="s">
        <v>296</v>
      </c>
      <c r="D1300" s="11" t="s">
        <v>297</v>
      </c>
      <c r="E1300" s="11" t="s">
        <v>802</v>
      </c>
      <c r="F1300" s="11" t="s">
        <v>7971</v>
      </c>
      <c r="G1300" s="11" t="s">
        <v>7972</v>
      </c>
      <c r="H1300" s="11"/>
      <c r="I1300" s="11" t="s">
        <v>7973</v>
      </c>
      <c r="J1300" s="11" t="s">
        <v>7974</v>
      </c>
      <c r="K1300" s="11" t="s">
        <v>3713</v>
      </c>
      <c r="L1300" s="11" t="s">
        <v>7975</v>
      </c>
      <c r="M1300" s="11"/>
      <c r="N1300" s="14" t="n">
        <v>2</v>
      </c>
      <c r="O1300" s="14" t="n">
        <v>3</v>
      </c>
      <c r="P1300" s="14" t="n">
        <v>1</v>
      </c>
      <c r="Q1300" s="14"/>
      <c r="R1300" s="12" t="n">
        <f aca="false">IF(OR(N1300="",P1300=""),"",ROUND(N1300*O1300/P1300,1))</f>
        <v>6</v>
      </c>
      <c r="S1300" s="13" t="n">
        <f aca="false">IF(R1300="","",IF(Q1300="Y",1,IF(P1300&gt;='Read me'!$B$16,3,IF(AND(R1300&gt;='Read me'!$B$14,P1300&lt;='Read me'!$B$15),1,2))))</f>
        <v>1</v>
      </c>
    </row>
    <row r="1301" customFormat="false" ht="23.85" hidden="false" customHeight="false" outlineLevel="0" collapsed="false">
      <c r="A1301" s="11" t="s">
        <v>7976</v>
      </c>
      <c r="B1301" s="11" t="s">
        <v>42</v>
      </c>
      <c r="C1301" s="11" t="s">
        <v>296</v>
      </c>
      <c r="D1301" s="11" t="s">
        <v>297</v>
      </c>
      <c r="E1301" s="11" t="s">
        <v>802</v>
      </c>
      <c r="F1301" s="11" t="s">
        <v>7977</v>
      </c>
      <c r="G1301" s="11" t="s">
        <v>7978</v>
      </c>
      <c r="H1301" s="11"/>
      <c r="I1301" s="11" t="s">
        <v>7979</v>
      </c>
      <c r="J1301" s="11" t="s">
        <v>7980</v>
      </c>
      <c r="K1301" s="11" t="s">
        <v>7981</v>
      </c>
      <c r="L1301" s="11" t="s">
        <v>7982</v>
      </c>
      <c r="M1301" s="11"/>
      <c r="N1301" s="14" t="n">
        <v>2</v>
      </c>
      <c r="O1301" s="14" t="n">
        <v>4</v>
      </c>
      <c r="P1301" s="14" t="n">
        <v>1</v>
      </c>
      <c r="Q1301" s="14"/>
      <c r="R1301" s="12" t="n">
        <f aca="false">IF(OR(N1301="",P1301=""),"",ROUND(N1301*O1301/P1301,1))</f>
        <v>8</v>
      </c>
      <c r="S1301" s="13" t="n">
        <f aca="false">IF(R1301="","",IF(Q1301="Y",1,IF(P1301&gt;='Read me'!$B$16,3,IF(AND(R1301&gt;='Read me'!$B$14,P1301&lt;='Read me'!$B$15),1,2))))</f>
        <v>1</v>
      </c>
    </row>
    <row r="1302" customFormat="false" ht="23.85" hidden="false" customHeight="false" outlineLevel="0" collapsed="false">
      <c r="A1302" s="11" t="s">
        <v>7983</v>
      </c>
      <c r="B1302" s="11" t="s">
        <v>42</v>
      </c>
      <c r="C1302" s="11" t="s">
        <v>296</v>
      </c>
      <c r="D1302" s="11" t="s">
        <v>297</v>
      </c>
      <c r="E1302" s="11" t="s">
        <v>765</v>
      </c>
      <c r="F1302" s="11" t="s">
        <v>7984</v>
      </c>
      <c r="G1302" s="11" t="s">
        <v>3867</v>
      </c>
      <c r="H1302" s="11"/>
      <c r="I1302" s="11" t="s">
        <v>7985</v>
      </c>
      <c r="J1302" s="11" t="s">
        <v>7986</v>
      </c>
      <c r="K1302" s="11" t="s">
        <v>3870</v>
      </c>
      <c r="L1302" s="11" t="s">
        <v>7987</v>
      </c>
      <c r="M1302" s="11"/>
      <c r="N1302" s="14" t="n">
        <v>2</v>
      </c>
      <c r="O1302" s="14" t="n">
        <v>4</v>
      </c>
      <c r="P1302" s="14" t="n">
        <v>2</v>
      </c>
      <c r="Q1302" s="14"/>
      <c r="R1302" s="12" t="n">
        <f aca="false">IF(OR(N1302="",P1302=""),"",ROUND(N1302*O1302/P1302,1))</f>
        <v>4</v>
      </c>
      <c r="S1302" s="13" t="n">
        <f aca="false">IF(R1302="","",IF(Q1302="Y",1,IF(P1302&gt;='Read me'!$B$16,3,IF(AND(R1302&gt;='Read me'!$B$14,P1302&lt;='Read me'!$B$15),1,2))))</f>
        <v>2</v>
      </c>
    </row>
    <row r="1303" customFormat="false" ht="23.85" hidden="false" customHeight="false" outlineLevel="0" collapsed="false">
      <c r="A1303" s="11" t="s">
        <v>7988</v>
      </c>
      <c r="B1303" s="11" t="s">
        <v>42</v>
      </c>
      <c r="C1303" s="11" t="s">
        <v>296</v>
      </c>
      <c r="D1303" s="11" t="s">
        <v>297</v>
      </c>
      <c r="E1303" s="11" t="s">
        <v>765</v>
      </c>
      <c r="F1303" s="11" t="s">
        <v>7989</v>
      </c>
      <c r="G1303" s="11" t="s">
        <v>822</v>
      </c>
      <c r="H1303" s="11"/>
      <c r="I1303" s="11" t="s">
        <v>7990</v>
      </c>
      <c r="J1303" s="11" t="s">
        <v>7991</v>
      </c>
      <c r="K1303" s="11" t="s">
        <v>3345</v>
      </c>
      <c r="L1303" s="11" t="s">
        <v>7992</v>
      </c>
      <c r="M1303" s="11"/>
      <c r="N1303" s="14" t="n">
        <v>2</v>
      </c>
      <c r="O1303" s="14" t="n">
        <v>3</v>
      </c>
      <c r="P1303" s="14" t="n">
        <v>2</v>
      </c>
      <c r="Q1303" s="14"/>
      <c r="R1303" s="12" t="n">
        <f aca="false">IF(OR(N1303="",P1303=""),"",ROUND(N1303*O1303/P1303,1))</f>
        <v>3</v>
      </c>
      <c r="S1303" s="13" t="n">
        <f aca="false">IF(R1303="","",IF(Q1303="Y",1,IF(P1303&gt;='Read me'!$B$16,3,IF(AND(R1303&gt;='Read me'!$B$14,P1303&lt;='Read me'!$B$15),1,2))))</f>
        <v>2</v>
      </c>
    </row>
    <row r="1304" customFormat="false" ht="23.85" hidden="false" customHeight="false" outlineLevel="0" collapsed="false">
      <c r="A1304" s="11" t="s">
        <v>7993</v>
      </c>
      <c r="B1304" s="11" t="s">
        <v>42</v>
      </c>
      <c r="C1304" s="11" t="s">
        <v>296</v>
      </c>
      <c r="D1304" s="11" t="s">
        <v>297</v>
      </c>
      <c r="E1304" s="11" t="s">
        <v>1187</v>
      </c>
      <c r="F1304" s="11" t="s">
        <v>7994</v>
      </c>
      <c r="G1304" s="11" t="s">
        <v>7995</v>
      </c>
      <c r="H1304" s="11" t="s">
        <v>1700</v>
      </c>
      <c r="I1304" s="11" t="s">
        <v>512</v>
      </c>
      <c r="J1304" s="11" t="s">
        <v>7996</v>
      </c>
      <c r="K1304" s="11" t="s">
        <v>4472</v>
      </c>
      <c r="L1304" s="11" t="s">
        <v>7774</v>
      </c>
      <c r="M1304" s="11"/>
      <c r="N1304" s="14" t="n">
        <v>1</v>
      </c>
      <c r="O1304" s="14" t="n">
        <v>3</v>
      </c>
      <c r="P1304" s="14" t="n">
        <v>3</v>
      </c>
      <c r="Q1304" s="14"/>
      <c r="R1304" s="12" t="n">
        <f aca="false">IF(OR(N1304="",P1304=""),"",ROUND(N1304*O1304/P1304,1))</f>
        <v>1</v>
      </c>
      <c r="S1304" s="13" t="n">
        <f aca="false">IF(R1304="","",IF(Q1304="Y",1,IF(P1304&gt;='Read me'!$B$16,3,IF(AND(R1304&gt;='Read me'!$B$14,P1304&lt;='Read me'!$B$15),1,2))))</f>
        <v>2</v>
      </c>
    </row>
    <row r="1305" customFormat="false" ht="23.85" hidden="false" customHeight="false" outlineLevel="0" collapsed="false">
      <c r="A1305" s="11" t="s">
        <v>7997</v>
      </c>
      <c r="B1305" s="11" t="s">
        <v>42</v>
      </c>
      <c r="C1305" s="11" t="s">
        <v>296</v>
      </c>
      <c r="D1305" s="11" t="s">
        <v>297</v>
      </c>
      <c r="E1305" s="11" t="s">
        <v>1187</v>
      </c>
      <c r="F1305" s="11" t="s">
        <v>7998</v>
      </c>
      <c r="G1305" s="11" t="s">
        <v>3576</v>
      </c>
      <c r="H1305" s="11" t="s">
        <v>1700</v>
      </c>
      <c r="I1305" s="11" t="s">
        <v>512</v>
      </c>
      <c r="J1305" s="11" t="s">
        <v>7999</v>
      </c>
      <c r="K1305" s="11" t="s">
        <v>2368</v>
      </c>
      <c r="L1305" s="11" t="s">
        <v>8000</v>
      </c>
      <c r="M1305" s="11"/>
      <c r="N1305" s="14" t="n">
        <v>1</v>
      </c>
      <c r="O1305" s="14" t="n">
        <v>4</v>
      </c>
      <c r="P1305" s="14" t="n">
        <v>4</v>
      </c>
      <c r="Q1305" s="14"/>
      <c r="R1305" s="12" t="n">
        <f aca="false">IF(OR(N1305="",P1305=""),"",ROUND(N1305*O1305/P1305,1))</f>
        <v>1</v>
      </c>
      <c r="S1305" s="13" t="n">
        <f aca="false">IF(R1305="","",IF(Q1305="Y",1,IF(P1305&gt;='Read me'!$B$16,3,IF(AND(R1305&gt;='Read me'!$B$14,P1305&lt;='Read me'!$B$15),1,2))))</f>
        <v>3</v>
      </c>
    </row>
    <row r="1306" customFormat="false" ht="23.85" hidden="false" customHeight="false" outlineLevel="0" collapsed="false">
      <c r="A1306" s="11" t="s">
        <v>8001</v>
      </c>
      <c r="B1306" s="11" t="s">
        <v>42</v>
      </c>
      <c r="C1306" s="11" t="s">
        <v>296</v>
      </c>
      <c r="D1306" s="11" t="s">
        <v>297</v>
      </c>
      <c r="E1306" s="11" t="s">
        <v>1187</v>
      </c>
      <c r="F1306" s="11" t="s">
        <v>8002</v>
      </c>
      <c r="G1306" s="11" t="s">
        <v>8003</v>
      </c>
      <c r="H1306" s="11"/>
      <c r="I1306" s="11" t="s">
        <v>8004</v>
      </c>
      <c r="J1306" s="11" t="s">
        <v>8005</v>
      </c>
      <c r="K1306" s="11" t="s">
        <v>1028</v>
      </c>
      <c r="L1306" s="11" t="s">
        <v>8006</v>
      </c>
      <c r="M1306" s="11"/>
      <c r="N1306" s="14" t="n">
        <v>1</v>
      </c>
      <c r="O1306" s="14" t="n">
        <v>2</v>
      </c>
      <c r="P1306" s="14" t="n">
        <v>2</v>
      </c>
      <c r="Q1306" s="14"/>
      <c r="R1306" s="12" t="n">
        <f aca="false">IF(OR(N1306="",P1306=""),"",ROUND(N1306*O1306/P1306,1))</f>
        <v>1</v>
      </c>
      <c r="S1306" s="13" t="n">
        <f aca="false">IF(R1306="","",IF(Q1306="Y",1,IF(P1306&gt;='Read me'!$B$16,3,IF(AND(R1306&gt;='Read me'!$B$14,P1306&lt;='Read me'!$B$15),1,2))))</f>
        <v>2</v>
      </c>
    </row>
    <row r="1307" customFormat="false" ht="15" hidden="false" customHeight="false" outlineLevel="0" collapsed="false">
      <c r="A1307" s="11" t="s">
        <v>8007</v>
      </c>
      <c r="B1307" s="11" t="s">
        <v>42</v>
      </c>
      <c r="C1307" s="11" t="s">
        <v>296</v>
      </c>
      <c r="D1307" s="11" t="s">
        <v>297</v>
      </c>
      <c r="E1307" s="11" t="s">
        <v>1133</v>
      </c>
      <c r="F1307" s="11" t="s">
        <v>8008</v>
      </c>
      <c r="G1307" s="11" t="s">
        <v>1135</v>
      </c>
      <c r="H1307" s="11"/>
      <c r="I1307" s="11" t="s">
        <v>1136</v>
      </c>
      <c r="J1307" s="11" t="s">
        <v>4151</v>
      </c>
      <c r="K1307" s="11" t="s">
        <v>1138</v>
      </c>
      <c r="L1307" s="11" t="s">
        <v>3775</v>
      </c>
      <c r="M1307" s="11"/>
      <c r="N1307" s="14" t="n">
        <v>2</v>
      </c>
      <c r="O1307" s="14" t="n">
        <v>1</v>
      </c>
      <c r="P1307" s="14" t="n">
        <v>1</v>
      </c>
      <c r="Q1307" s="14"/>
      <c r="R1307" s="12" t="n">
        <f aca="false">IF(OR(N1307="",P1307=""),"",ROUND(N1307*O1307/P1307,1))</f>
        <v>2</v>
      </c>
      <c r="S1307" s="13" t="n">
        <f aca="false">IF(R1307="","",IF(Q1307="Y",1,IF(P1307&gt;='Read me'!$B$16,3,IF(AND(R1307&gt;='Read me'!$B$14,P1307&lt;='Read me'!$B$15),1,2))))</f>
        <v>2</v>
      </c>
    </row>
    <row r="1308" customFormat="false" ht="23.85" hidden="false" customHeight="false" outlineLevel="0" collapsed="false">
      <c r="A1308" s="11" t="s">
        <v>8009</v>
      </c>
      <c r="B1308" s="11" t="s">
        <v>42</v>
      </c>
      <c r="C1308" s="11" t="s">
        <v>299</v>
      </c>
      <c r="D1308" s="11" t="s">
        <v>300</v>
      </c>
      <c r="E1308" s="11" t="s">
        <v>476</v>
      </c>
      <c r="F1308" s="11" t="s">
        <v>8010</v>
      </c>
      <c r="G1308" s="11" t="s">
        <v>511</v>
      </c>
      <c r="H1308" s="11"/>
      <c r="I1308" s="11" t="s">
        <v>8011</v>
      </c>
      <c r="J1308" s="11" t="s">
        <v>8012</v>
      </c>
      <c r="K1308" s="11" t="s">
        <v>4482</v>
      </c>
      <c r="L1308" s="11" t="s">
        <v>1403</v>
      </c>
      <c r="M1308" s="11" t="s">
        <v>8013</v>
      </c>
      <c r="N1308" s="14" t="n">
        <v>4</v>
      </c>
      <c r="O1308" s="14" t="n">
        <v>4</v>
      </c>
      <c r="P1308" s="14" t="n">
        <v>1</v>
      </c>
      <c r="Q1308" s="14"/>
      <c r="R1308" s="12" t="n">
        <f aca="false">IF(OR(N1308="",P1308=""),"",ROUND(N1308*O1308/P1308,1))</f>
        <v>16</v>
      </c>
      <c r="S1308" s="13" t="n">
        <f aca="false">IF(R1308="","",IF(Q1308="Y",1,IF(P1308&gt;='Read me'!$B$16,3,IF(AND(R1308&gt;='Read me'!$B$14,P1308&lt;='Read me'!$B$15),1,2))))</f>
        <v>1</v>
      </c>
    </row>
    <row r="1309" customFormat="false" ht="35.05" hidden="false" customHeight="false" outlineLevel="0" collapsed="false">
      <c r="A1309" s="11" t="s">
        <v>8014</v>
      </c>
      <c r="B1309" s="11" t="s">
        <v>42</v>
      </c>
      <c r="C1309" s="11" t="s">
        <v>299</v>
      </c>
      <c r="D1309" s="11" t="s">
        <v>300</v>
      </c>
      <c r="E1309" s="11" t="s">
        <v>476</v>
      </c>
      <c r="F1309" s="11" t="s">
        <v>8015</v>
      </c>
      <c r="G1309" s="11" t="s">
        <v>8016</v>
      </c>
      <c r="H1309" s="11"/>
      <c r="I1309" s="11" t="s">
        <v>512</v>
      </c>
      <c r="J1309" s="11" t="s">
        <v>8017</v>
      </c>
      <c r="K1309" s="11" t="s">
        <v>4502</v>
      </c>
      <c r="L1309" s="11" t="s">
        <v>8018</v>
      </c>
      <c r="M1309" s="11" t="s">
        <v>3376</v>
      </c>
      <c r="N1309" s="14" t="n">
        <v>2</v>
      </c>
      <c r="O1309" s="14" t="n">
        <v>5</v>
      </c>
      <c r="P1309" s="14" t="n">
        <v>2</v>
      </c>
      <c r="Q1309" s="14"/>
      <c r="R1309" s="12" t="n">
        <f aca="false">IF(OR(N1309="",P1309=""),"",ROUND(N1309*O1309/P1309,1))</f>
        <v>5</v>
      </c>
      <c r="S1309" s="13" t="n">
        <f aca="false">IF(R1309="","",IF(Q1309="Y",1,IF(P1309&gt;='Read me'!$B$16,3,IF(AND(R1309&gt;='Read me'!$B$14,P1309&lt;='Read me'!$B$15),1,2))))</f>
        <v>2</v>
      </c>
    </row>
    <row r="1310" customFormat="false" ht="35.05" hidden="false" customHeight="false" outlineLevel="0" collapsed="false">
      <c r="A1310" s="11" t="s">
        <v>8019</v>
      </c>
      <c r="B1310" s="11" t="s">
        <v>42</v>
      </c>
      <c r="C1310" s="11" t="s">
        <v>299</v>
      </c>
      <c r="D1310" s="11" t="s">
        <v>300</v>
      </c>
      <c r="E1310" s="11" t="s">
        <v>476</v>
      </c>
      <c r="F1310" s="11" t="s">
        <v>7656</v>
      </c>
      <c r="G1310" s="11" t="s">
        <v>8020</v>
      </c>
      <c r="H1310" s="11"/>
      <c r="I1310" s="11" t="s">
        <v>512</v>
      </c>
      <c r="J1310" s="11" t="s">
        <v>8021</v>
      </c>
      <c r="K1310" s="11" t="s">
        <v>514</v>
      </c>
      <c r="L1310" s="11" t="s">
        <v>8022</v>
      </c>
      <c r="M1310" s="11" t="s">
        <v>3376</v>
      </c>
      <c r="N1310" s="14" t="n">
        <v>3</v>
      </c>
      <c r="O1310" s="14" t="n">
        <v>4</v>
      </c>
      <c r="P1310" s="14" t="n">
        <v>2</v>
      </c>
      <c r="Q1310" s="14"/>
      <c r="R1310" s="12" t="n">
        <f aca="false">IF(OR(N1310="",P1310=""),"",ROUND(N1310*O1310/P1310,1))</f>
        <v>6</v>
      </c>
      <c r="S1310" s="13" t="n">
        <f aca="false">IF(R1310="","",IF(Q1310="Y",1,IF(P1310&gt;='Read me'!$B$16,3,IF(AND(R1310&gt;='Read me'!$B$14,P1310&lt;='Read me'!$B$15),1,2))))</f>
        <v>1</v>
      </c>
    </row>
    <row r="1311" customFormat="false" ht="23.85" hidden="false" customHeight="false" outlineLevel="0" collapsed="false">
      <c r="A1311" s="11" t="s">
        <v>8023</v>
      </c>
      <c r="B1311" s="11" t="s">
        <v>42</v>
      </c>
      <c r="C1311" s="11" t="s">
        <v>299</v>
      </c>
      <c r="D1311" s="11" t="s">
        <v>300</v>
      </c>
      <c r="E1311" s="11" t="s">
        <v>532</v>
      </c>
      <c r="F1311" s="11" t="s">
        <v>8024</v>
      </c>
      <c r="G1311" s="11" t="s">
        <v>8025</v>
      </c>
      <c r="H1311" s="11"/>
      <c r="I1311" s="11" t="s">
        <v>8026</v>
      </c>
      <c r="J1311" s="11" t="s">
        <v>8027</v>
      </c>
      <c r="K1311" s="11" t="s">
        <v>8028</v>
      </c>
      <c r="L1311" s="11" t="s">
        <v>8029</v>
      </c>
      <c r="M1311" s="11" t="s">
        <v>8013</v>
      </c>
      <c r="N1311" s="14" t="n">
        <v>3</v>
      </c>
      <c r="O1311" s="14" t="n">
        <v>5</v>
      </c>
      <c r="P1311" s="14" t="n">
        <v>2</v>
      </c>
      <c r="Q1311" s="14"/>
      <c r="R1311" s="12" t="n">
        <f aca="false">IF(OR(N1311="",P1311=""),"",ROUND(N1311*O1311/P1311,1))</f>
        <v>7.5</v>
      </c>
      <c r="S1311" s="13" t="n">
        <f aca="false">IF(R1311="","",IF(Q1311="Y",1,IF(P1311&gt;='Read me'!$B$16,3,IF(AND(R1311&gt;='Read me'!$B$14,P1311&lt;='Read me'!$B$15),1,2))))</f>
        <v>1</v>
      </c>
    </row>
    <row r="1312" customFormat="false" ht="23.85" hidden="false" customHeight="false" outlineLevel="0" collapsed="false">
      <c r="A1312" s="11" t="s">
        <v>8030</v>
      </c>
      <c r="B1312" s="11" t="s">
        <v>42</v>
      </c>
      <c r="C1312" s="11" t="s">
        <v>299</v>
      </c>
      <c r="D1312" s="11" t="s">
        <v>300</v>
      </c>
      <c r="E1312" s="11" t="s">
        <v>532</v>
      </c>
      <c r="F1312" s="11" t="s">
        <v>8031</v>
      </c>
      <c r="G1312" s="11" t="s">
        <v>8032</v>
      </c>
      <c r="H1312" s="11"/>
      <c r="I1312" s="11" t="s">
        <v>8033</v>
      </c>
      <c r="J1312" s="11" t="s">
        <v>7838</v>
      </c>
      <c r="K1312" s="11" t="s">
        <v>762</v>
      </c>
      <c r="L1312" s="11" t="s">
        <v>8034</v>
      </c>
      <c r="M1312" s="11"/>
      <c r="N1312" s="14" t="n">
        <v>2</v>
      </c>
      <c r="O1312" s="14" t="n">
        <v>4</v>
      </c>
      <c r="P1312" s="14" t="n">
        <v>2</v>
      </c>
      <c r="Q1312" s="14"/>
      <c r="R1312" s="12" t="n">
        <f aca="false">IF(OR(N1312="",P1312=""),"",ROUND(N1312*O1312/P1312,1))</f>
        <v>4</v>
      </c>
      <c r="S1312" s="13" t="n">
        <f aca="false">IF(R1312="","",IF(Q1312="Y",1,IF(P1312&gt;='Read me'!$B$16,3,IF(AND(R1312&gt;='Read me'!$B$14,P1312&lt;='Read me'!$B$15),1,2))))</f>
        <v>2</v>
      </c>
    </row>
    <row r="1313" customFormat="false" ht="23.85" hidden="false" customHeight="false" outlineLevel="0" collapsed="false">
      <c r="A1313" s="11" t="s">
        <v>8035</v>
      </c>
      <c r="B1313" s="11" t="s">
        <v>42</v>
      </c>
      <c r="C1313" s="11" t="s">
        <v>299</v>
      </c>
      <c r="D1313" s="11" t="s">
        <v>300</v>
      </c>
      <c r="E1313" s="11" t="s">
        <v>532</v>
      </c>
      <c r="F1313" s="11" t="s">
        <v>8036</v>
      </c>
      <c r="G1313" s="11" t="s">
        <v>8037</v>
      </c>
      <c r="H1313" s="11" t="s">
        <v>2118</v>
      </c>
      <c r="I1313" s="11" t="s">
        <v>8038</v>
      </c>
      <c r="J1313" s="11" t="s">
        <v>8039</v>
      </c>
      <c r="K1313" s="11" t="s">
        <v>2121</v>
      </c>
      <c r="L1313" s="11" t="s">
        <v>4535</v>
      </c>
      <c r="M1313" s="11"/>
      <c r="N1313" s="14" t="n">
        <v>2</v>
      </c>
      <c r="O1313" s="14" t="n">
        <v>2</v>
      </c>
      <c r="P1313" s="14" t="n">
        <v>1</v>
      </c>
      <c r="Q1313" s="14"/>
      <c r="R1313" s="12" t="n">
        <f aca="false">IF(OR(N1313="",P1313=""),"",ROUND(N1313*O1313/P1313,1))</f>
        <v>4</v>
      </c>
      <c r="S1313" s="13" t="n">
        <f aca="false">IF(R1313="","",IF(Q1313="Y",1,IF(P1313&gt;='Read me'!$B$16,3,IF(AND(R1313&gt;='Read me'!$B$14,P1313&lt;='Read me'!$B$15),1,2))))</f>
        <v>2</v>
      </c>
    </row>
    <row r="1314" customFormat="false" ht="23.85" hidden="false" customHeight="false" outlineLevel="0" collapsed="false">
      <c r="A1314" s="11" t="s">
        <v>8040</v>
      </c>
      <c r="B1314" s="11" t="s">
        <v>42</v>
      </c>
      <c r="C1314" s="11" t="s">
        <v>299</v>
      </c>
      <c r="D1314" s="11" t="s">
        <v>300</v>
      </c>
      <c r="E1314" s="11" t="s">
        <v>532</v>
      </c>
      <c r="F1314" s="11" t="s">
        <v>8024</v>
      </c>
      <c r="G1314" s="11" t="s">
        <v>8025</v>
      </c>
      <c r="H1314" s="11" t="s">
        <v>8041</v>
      </c>
      <c r="I1314" s="11" t="s">
        <v>8042</v>
      </c>
      <c r="J1314" s="11" t="s">
        <v>8043</v>
      </c>
      <c r="K1314" s="11" t="s">
        <v>3672</v>
      </c>
      <c r="L1314" s="11" t="s">
        <v>8044</v>
      </c>
      <c r="M1314" s="11"/>
      <c r="N1314" s="14" t="n">
        <v>2</v>
      </c>
      <c r="O1314" s="14" t="n">
        <v>3</v>
      </c>
      <c r="P1314" s="14" t="n">
        <v>1</v>
      </c>
      <c r="Q1314" s="14"/>
      <c r="R1314" s="12" t="n">
        <f aca="false">IF(OR(N1314="",P1314=""),"",ROUND(N1314*O1314/P1314,1))</f>
        <v>6</v>
      </c>
      <c r="S1314" s="13" t="n">
        <f aca="false">IF(R1314="","",IF(Q1314="Y",1,IF(P1314&gt;='Read me'!$B$16,3,IF(AND(R1314&gt;='Read me'!$B$14,P1314&lt;='Read me'!$B$15),1,2))))</f>
        <v>1</v>
      </c>
    </row>
    <row r="1315" customFormat="false" ht="23.85" hidden="false" customHeight="false" outlineLevel="0" collapsed="false">
      <c r="A1315" s="11" t="s">
        <v>8045</v>
      </c>
      <c r="B1315" s="11" t="s">
        <v>42</v>
      </c>
      <c r="C1315" s="11" t="s">
        <v>299</v>
      </c>
      <c r="D1315" s="11" t="s">
        <v>300</v>
      </c>
      <c r="E1315" s="11" t="s">
        <v>532</v>
      </c>
      <c r="F1315" s="11" t="s">
        <v>8046</v>
      </c>
      <c r="G1315" s="11" t="s">
        <v>7668</v>
      </c>
      <c r="H1315" s="11" t="s">
        <v>6581</v>
      </c>
      <c r="I1315" s="11" t="s">
        <v>8047</v>
      </c>
      <c r="J1315" s="11" t="s">
        <v>8048</v>
      </c>
      <c r="K1315" s="11" t="s">
        <v>3746</v>
      </c>
      <c r="L1315" s="11" t="s">
        <v>8049</v>
      </c>
      <c r="M1315" s="11"/>
      <c r="N1315" s="14" t="n">
        <v>1</v>
      </c>
      <c r="O1315" s="14" t="n">
        <v>3</v>
      </c>
      <c r="P1315" s="14" t="n">
        <v>3</v>
      </c>
      <c r="Q1315" s="14"/>
      <c r="R1315" s="12" t="n">
        <f aca="false">IF(OR(N1315="",P1315=""),"",ROUND(N1315*O1315/P1315,1))</f>
        <v>1</v>
      </c>
      <c r="S1315" s="13" t="n">
        <f aca="false">IF(R1315="","",IF(Q1315="Y",1,IF(P1315&gt;='Read me'!$B$16,3,IF(AND(R1315&gt;='Read me'!$B$14,P1315&lt;='Read me'!$B$15),1,2))))</f>
        <v>2</v>
      </c>
    </row>
    <row r="1316" customFormat="false" ht="23.85" hidden="false" customHeight="false" outlineLevel="0" collapsed="false">
      <c r="A1316" s="11" t="s">
        <v>8050</v>
      </c>
      <c r="B1316" s="11" t="s">
        <v>42</v>
      </c>
      <c r="C1316" s="11" t="s">
        <v>299</v>
      </c>
      <c r="D1316" s="11" t="s">
        <v>300</v>
      </c>
      <c r="E1316" s="11" t="s">
        <v>751</v>
      </c>
      <c r="F1316" s="11" t="s">
        <v>8051</v>
      </c>
      <c r="G1316" s="11" t="s">
        <v>8052</v>
      </c>
      <c r="H1316" s="11"/>
      <c r="I1316" s="11" t="s">
        <v>8053</v>
      </c>
      <c r="J1316" s="11" t="s">
        <v>8054</v>
      </c>
      <c r="K1316" s="11" t="s">
        <v>5907</v>
      </c>
      <c r="L1316" s="11" t="s">
        <v>8055</v>
      </c>
      <c r="M1316" s="11"/>
      <c r="N1316" s="14" t="n">
        <v>2</v>
      </c>
      <c r="O1316" s="14" t="n">
        <v>3</v>
      </c>
      <c r="P1316" s="14" t="n">
        <v>2</v>
      </c>
      <c r="Q1316" s="14"/>
      <c r="R1316" s="12" t="n">
        <f aca="false">IF(OR(N1316="",P1316=""),"",ROUND(N1316*O1316/P1316,1))</f>
        <v>3</v>
      </c>
      <c r="S1316" s="13" t="n">
        <f aca="false">IF(R1316="","",IF(Q1316="Y",1,IF(P1316&gt;='Read me'!$B$16,3,IF(AND(R1316&gt;='Read me'!$B$14,P1316&lt;='Read me'!$B$15),1,2))))</f>
        <v>2</v>
      </c>
    </row>
    <row r="1317" customFormat="false" ht="23.85" hidden="false" customHeight="false" outlineLevel="0" collapsed="false">
      <c r="A1317" s="11" t="s">
        <v>8056</v>
      </c>
      <c r="B1317" s="11" t="s">
        <v>42</v>
      </c>
      <c r="C1317" s="11" t="s">
        <v>299</v>
      </c>
      <c r="D1317" s="11" t="s">
        <v>300</v>
      </c>
      <c r="E1317" s="11" t="s">
        <v>751</v>
      </c>
      <c r="F1317" s="11" t="s">
        <v>8057</v>
      </c>
      <c r="G1317" s="11" t="s">
        <v>4713</v>
      </c>
      <c r="H1317" s="11"/>
      <c r="I1317" s="11" t="s">
        <v>8058</v>
      </c>
      <c r="J1317" s="11" t="s">
        <v>8059</v>
      </c>
      <c r="K1317" s="11" t="s">
        <v>7595</v>
      </c>
      <c r="L1317" s="11" t="s">
        <v>8060</v>
      </c>
      <c r="M1317" s="11" t="s">
        <v>1577</v>
      </c>
      <c r="N1317" s="14" t="n">
        <v>3</v>
      </c>
      <c r="O1317" s="14" t="n">
        <v>4</v>
      </c>
      <c r="P1317" s="14" t="n">
        <v>3</v>
      </c>
      <c r="Q1317" s="14"/>
      <c r="R1317" s="12" t="n">
        <f aca="false">IF(OR(N1317="",P1317=""),"",ROUND(N1317*O1317/P1317,1))</f>
        <v>4</v>
      </c>
      <c r="S1317" s="13" t="n">
        <f aca="false">IF(R1317="","",IF(Q1317="Y",1,IF(P1317&gt;='Read me'!$B$16,3,IF(AND(R1317&gt;='Read me'!$B$14,P1317&lt;='Read me'!$B$15),1,2))))</f>
        <v>2</v>
      </c>
    </row>
    <row r="1318" customFormat="false" ht="23.85" hidden="false" customHeight="false" outlineLevel="0" collapsed="false">
      <c r="A1318" s="11" t="s">
        <v>8061</v>
      </c>
      <c r="B1318" s="11" t="s">
        <v>42</v>
      </c>
      <c r="C1318" s="11" t="s">
        <v>299</v>
      </c>
      <c r="D1318" s="11" t="s">
        <v>300</v>
      </c>
      <c r="E1318" s="11" t="s">
        <v>751</v>
      </c>
      <c r="F1318" s="11" t="s">
        <v>8062</v>
      </c>
      <c r="G1318" s="11" t="s">
        <v>8063</v>
      </c>
      <c r="H1318" s="11"/>
      <c r="I1318" s="11" t="s">
        <v>8064</v>
      </c>
      <c r="J1318" s="11" t="s">
        <v>8065</v>
      </c>
      <c r="K1318" s="11" t="s">
        <v>8066</v>
      </c>
      <c r="L1318" s="11" t="s">
        <v>8067</v>
      </c>
      <c r="M1318" s="11"/>
      <c r="N1318" s="14" t="n">
        <v>2</v>
      </c>
      <c r="O1318" s="14" t="n">
        <v>3</v>
      </c>
      <c r="P1318" s="14" t="n">
        <v>2</v>
      </c>
      <c r="Q1318" s="14"/>
      <c r="R1318" s="12" t="n">
        <f aca="false">IF(OR(N1318="",P1318=""),"",ROUND(N1318*O1318/P1318,1))</f>
        <v>3</v>
      </c>
      <c r="S1318" s="13" t="n">
        <f aca="false">IF(R1318="","",IF(Q1318="Y",1,IF(P1318&gt;='Read me'!$B$16,3,IF(AND(R1318&gt;='Read me'!$B$14,P1318&lt;='Read me'!$B$15),1,2))))</f>
        <v>2</v>
      </c>
    </row>
    <row r="1319" customFormat="false" ht="23.85" hidden="false" customHeight="false" outlineLevel="0" collapsed="false">
      <c r="A1319" s="11" t="s">
        <v>8068</v>
      </c>
      <c r="B1319" s="11" t="s">
        <v>42</v>
      </c>
      <c r="C1319" s="11" t="s">
        <v>299</v>
      </c>
      <c r="D1319" s="11" t="s">
        <v>300</v>
      </c>
      <c r="E1319" s="11" t="s">
        <v>765</v>
      </c>
      <c r="F1319" s="11" t="s">
        <v>8069</v>
      </c>
      <c r="G1319" s="11" t="s">
        <v>4450</v>
      </c>
      <c r="H1319" s="11"/>
      <c r="I1319" s="11" t="s">
        <v>8070</v>
      </c>
      <c r="J1319" s="11" t="s">
        <v>8071</v>
      </c>
      <c r="K1319" s="11" t="s">
        <v>1993</v>
      </c>
      <c r="L1319" s="11" t="s">
        <v>8072</v>
      </c>
      <c r="M1319" s="11"/>
      <c r="N1319" s="14" t="n">
        <v>1</v>
      </c>
      <c r="O1319" s="14" t="n">
        <v>2</v>
      </c>
      <c r="P1319" s="14" t="n">
        <v>2</v>
      </c>
      <c r="Q1319" s="14"/>
      <c r="R1319" s="12" t="n">
        <f aca="false">IF(OR(N1319="",P1319=""),"",ROUND(N1319*O1319/P1319,1))</f>
        <v>1</v>
      </c>
      <c r="S1319" s="13" t="n">
        <f aca="false">IF(R1319="","",IF(Q1319="Y",1,IF(P1319&gt;='Read me'!$B$16,3,IF(AND(R1319&gt;='Read me'!$B$14,P1319&lt;='Read me'!$B$15),1,2))))</f>
        <v>2</v>
      </c>
    </row>
    <row r="1320" customFormat="false" ht="23.85" hidden="false" customHeight="false" outlineLevel="0" collapsed="false">
      <c r="A1320" s="11" t="s">
        <v>8073</v>
      </c>
      <c r="B1320" s="11" t="s">
        <v>42</v>
      </c>
      <c r="C1320" s="11" t="s">
        <v>299</v>
      </c>
      <c r="D1320" s="11" t="s">
        <v>300</v>
      </c>
      <c r="E1320" s="11" t="s">
        <v>1187</v>
      </c>
      <c r="F1320" s="11" t="s">
        <v>8074</v>
      </c>
      <c r="G1320" s="11" t="s">
        <v>8075</v>
      </c>
      <c r="H1320" s="11" t="s">
        <v>8076</v>
      </c>
      <c r="I1320" s="11" t="s">
        <v>512</v>
      </c>
      <c r="J1320" s="11" t="s">
        <v>8077</v>
      </c>
      <c r="K1320" s="11" t="s">
        <v>2222</v>
      </c>
      <c r="L1320" s="11"/>
      <c r="M1320" s="11"/>
      <c r="N1320" s="14" t="n">
        <v>1</v>
      </c>
      <c r="O1320" s="14" t="n">
        <v>2</v>
      </c>
      <c r="P1320" s="14" t="n">
        <v>1</v>
      </c>
      <c r="Q1320" s="14"/>
      <c r="R1320" s="12" t="n">
        <f aca="false">IF(OR(N1320="",P1320=""),"",ROUND(N1320*O1320/P1320,1))</f>
        <v>2</v>
      </c>
      <c r="S1320" s="13" t="n">
        <f aca="false">IF(R1320="","",IF(Q1320="Y",1,IF(P1320&gt;='Read me'!$B$16,3,IF(AND(R1320&gt;='Read me'!$B$14,P1320&lt;='Read me'!$B$15),1,2))))</f>
        <v>2</v>
      </c>
    </row>
    <row r="1321" customFormat="false" ht="23.85" hidden="false" customHeight="false" outlineLevel="0" collapsed="false">
      <c r="A1321" s="11" t="s">
        <v>8078</v>
      </c>
      <c r="B1321" s="11" t="s">
        <v>42</v>
      </c>
      <c r="C1321" s="11" t="s">
        <v>299</v>
      </c>
      <c r="D1321" s="11" t="s">
        <v>300</v>
      </c>
      <c r="E1321" s="11" t="s">
        <v>1187</v>
      </c>
      <c r="F1321" s="11" t="s">
        <v>8079</v>
      </c>
      <c r="G1321" s="11" t="s">
        <v>8080</v>
      </c>
      <c r="H1321" s="11" t="s">
        <v>8081</v>
      </c>
      <c r="I1321" s="11" t="s">
        <v>8082</v>
      </c>
      <c r="J1321" s="11" t="s">
        <v>8083</v>
      </c>
      <c r="K1321" s="11" t="s">
        <v>2121</v>
      </c>
      <c r="L1321" s="11" t="s">
        <v>8084</v>
      </c>
      <c r="M1321" s="11" t="s">
        <v>8013</v>
      </c>
      <c r="N1321" s="14" t="n">
        <v>1</v>
      </c>
      <c r="O1321" s="14" t="n">
        <v>3</v>
      </c>
      <c r="P1321" s="14" t="n">
        <v>2</v>
      </c>
      <c r="Q1321" s="14"/>
      <c r="R1321" s="12" t="n">
        <f aca="false">IF(OR(N1321="",P1321=""),"",ROUND(N1321*O1321/P1321,1))</f>
        <v>1.5</v>
      </c>
      <c r="S1321" s="13" t="n">
        <f aca="false">IF(R1321="","",IF(Q1321="Y",1,IF(P1321&gt;='Read me'!$B$16,3,IF(AND(R1321&gt;='Read me'!$B$14,P1321&lt;='Read me'!$B$15),1,2))))</f>
        <v>2</v>
      </c>
    </row>
    <row r="1322" customFormat="false" ht="23.85" hidden="false" customHeight="false" outlineLevel="0" collapsed="false">
      <c r="A1322" s="11" t="s">
        <v>8085</v>
      </c>
      <c r="B1322" s="11" t="s">
        <v>42</v>
      </c>
      <c r="C1322" s="11" t="s">
        <v>299</v>
      </c>
      <c r="D1322" s="11" t="s">
        <v>300</v>
      </c>
      <c r="E1322" s="11" t="s">
        <v>1133</v>
      </c>
      <c r="F1322" s="11" t="s">
        <v>1147</v>
      </c>
      <c r="G1322" s="11" t="s">
        <v>1148</v>
      </c>
      <c r="H1322" s="11"/>
      <c r="I1322" s="11" t="s">
        <v>8086</v>
      </c>
      <c r="J1322" s="11" t="s">
        <v>4013</v>
      </c>
      <c r="K1322" s="11" t="s">
        <v>1151</v>
      </c>
      <c r="L1322" s="11" t="s">
        <v>8087</v>
      </c>
      <c r="M1322" s="11" t="s">
        <v>3592</v>
      </c>
      <c r="N1322" s="14" t="n">
        <v>1</v>
      </c>
      <c r="O1322" s="14" t="n">
        <v>3</v>
      </c>
      <c r="P1322" s="14" t="n">
        <v>3</v>
      </c>
      <c r="Q1322" s="14"/>
      <c r="R1322" s="12" t="n">
        <f aca="false">IF(OR(N1322="",P1322=""),"",ROUND(N1322*O1322/P1322,1))</f>
        <v>1</v>
      </c>
      <c r="S1322" s="13" t="n">
        <f aca="false">IF(R1322="","",IF(Q1322="Y",1,IF(P1322&gt;='Read me'!$B$16,3,IF(AND(R1322&gt;='Read me'!$B$14,P1322&lt;='Read me'!$B$15),1,2))))</f>
        <v>2</v>
      </c>
    </row>
    <row r="1323" customFormat="false" ht="23.85" hidden="false" customHeight="false" outlineLevel="0" collapsed="false">
      <c r="A1323" s="11" t="s">
        <v>8088</v>
      </c>
      <c r="B1323" s="11" t="s">
        <v>42</v>
      </c>
      <c r="C1323" s="11" t="s">
        <v>299</v>
      </c>
      <c r="D1323" s="11" t="s">
        <v>300</v>
      </c>
      <c r="E1323" s="11" t="s">
        <v>1372</v>
      </c>
      <c r="F1323" s="11" t="s">
        <v>8089</v>
      </c>
      <c r="G1323" s="11" t="s">
        <v>4596</v>
      </c>
      <c r="H1323" s="11"/>
      <c r="I1323" s="11" t="s">
        <v>8090</v>
      </c>
      <c r="J1323" s="11" t="s">
        <v>8091</v>
      </c>
      <c r="K1323" s="11" t="s">
        <v>2136</v>
      </c>
      <c r="L1323" s="11" t="s">
        <v>4115</v>
      </c>
      <c r="M1323" s="11"/>
      <c r="N1323" s="14" t="n">
        <v>1</v>
      </c>
      <c r="O1323" s="14" t="n">
        <v>2</v>
      </c>
      <c r="P1323" s="14" t="n">
        <v>1</v>
      </c>
      <c r="Q1323" s="14"/>
      <c r="R1323" s="12" t="n">
        <f aca="false">IF(OR(N1323="",P1323=""),"",ROUND(N1323*O1323/P1323,1))</f>
        <v>2</v>
      </c>
      <c r="S1323" s="13" t="n">
        <f aca="false">IF(R1323="","",IF(Q1323="Y",1,IF(P1323&gt;='Read me'!$B$16,3,IF(AND(R1323&gt;='Read me'!$B$14,P1323&lt;='Read me'!$B$15),1,2))))</f>
        <v>2</v>
      </c>
    </row>
    <row r="1324" customFormat="false" ht="23.85" hidden="false" customHeight="false" outlineLevel="0" collapsed="false">
      <c r="A1324" s="11" t="s">
        <v>8092</v>
      </c>
      <c r="B1324" s="11" t="s">
        <v>43</v>
      </c>
      <c r="C1324" s="11" t="s">
        <v>303</v>
      </c>
      <c r="D1324" s="11" t="s">
        <v>304</v>
      </c>
      <c r="E1324" s="11" t="s">
        <v>476</v>
      </c>
      <c r="F1324" s="11" t="s">
        <v>8093</v>
      </c>
      <c r="G1324" s="11"/>
      <c r="H1324" s="11"/>
      <c r="I1324" s="11" t="s">
        <v>8094</v>
      </c>
      <c r="J1324" s="11" t="s">
        <v>8095</v>
      </c>
      <c r="K1324" s="11" t="s">
        <v>8096</v>
      </c>
      <c r="L1324" s="11" t="s">
        <v>8097</v>
      </c>
      <c r="M1324" s="11" t="s">
        <v>8098</v>
      </c>
      <c r="N1324" s="14" t="n">
        <v>4</v>
      </c>
      <c r="O1324" s="14" t="n">
        <v>3</v>
      </c>
      <c r="P1324" s="14" t="n">
        <v>1</v>
      </c>
      <c r="Q1324" s="14"/>
      <c r="R1324" s="12" t="n">
        <f aca="false">IF(OR(N1324="",P1324=""),"",ROUND(N1324*O1324/P1324,1))</f>
        <v>12</v>
      </c>
      <c r="S1324" s="13" t="n">
        <f aca="false">IF(R1324="","",IF(Q1324="Y",1,IF(P1324&gt;='Read me'!$B$16,3,IF(AND(R1324&gt;='Read me'!$B$14,P1324&lt;='Read me'!$B$15),1,2))))</f>
        <v>1</v>
      </c>
    </row>
    <row r="1325" customFormat="false" ht="23.85" hidden="false" customHeight="false" outlineLevel="0" collapsed="false">
      <c r="A1325" s="11" t="s">
        <v>8099</v>
      </c>
      <c r="B1325" s="11" t="s">
        <v>43</v>
      </c>
      <c r="C1325" s="11" t="s">
        <v>303</v>
      </c>
      <c r="D1325" s="11" t="s">
        <v>304</v>
      </c>
      <c r="E1325" s="11" t="s">
        <v>476</v>
      </c>
      <c r="F1325" s="11" t="s">
        <v>8093</v>
      </c>
      <c r="G1325" s="11" t="s">
        <v>8100</v>
      </c>
      <c r="H1325" s="11"/>
      <c r="I1325" s="11" t="s">
        <v>8101</v>
      </c>
      <c r="J1325" s="11" t="s">
        <v>8102</v>
      </c>
      <c r="K1325" s="11" t="s">
        <v>890</v>
      </c>
      <c r="L1325" s="11" t="s">
        <v>8103</v>
      </c>
      <c r="M1325" s="11"/>
      <c r="N1325" s="14" t="n">
        <v>3</v>
      </c>
      <c r="O1325" s="14" t="n">
        <v>3</v>
      </c>
      <c r="P1325" s="14" t="n">
        <v>1</v>
      </c>
      <c r="Q1325" s="14"/>
      <c r="R1325" s="12" t="n">
        <f aca="false">IF(OR(N1325="",P1325=""),"",ROUND(N1325*O1325/P1325,1))</f>
        <v>9</v>
      </c>
      <c r="S1325" s="13" t="n">
        <f aca="false">IF(R1325="","",IF(Q1325="Y",1,IF(P1325&gt;='Read me'!$B$16,3,IF(AND(R1325&gt;='Read me'!$B$14,P1325&lt;='Read me'!$B$15),1,2))))</f>
        <v>1</v>
      </c>
    </row>
    <row r="1326" customFormat="false" ht="35.05" hidden="false" customHeight="false" outlineLevel="0" collapsed="false">
      <c r="A1326" s="11" t="s">
        <v>8104</v>
      </c>
      <c r="B1326" s="11" t="s">
        <v>43</v>
      </c>
      <c r="C1326" s="11" t="s">
        <v>303</v>
      </c>
      <c r="D1326" s="11" t="s">
        <v>304</v>
      </c>
      <c r="E1326" s="11" t="s">
        <v>476</v>
      </c>
      <c r="F1326" s="11" t="s">
        <v>8105</v>
      </c>
      <c r="G1326" s="11" t="s">
        <v>8106</v>
      </c>
      <c r="H1326" s="11"/>
      <c r="I1326" s="11" t="s">
        <v>512</v>
      </c>
      <c r="J1326" s="11" t="s">
        <v>8107</v>
      </c>
      <c r="K1326" s="11" t="s">
        <v>4502</v>
      </c>
      <c r="L1326" s="11" t="s">
        <v>8108</v>
      </c>
      <c r="M1326" s="11" t="s">
        <v>8109</v>
      </c>
      <c r="N1326" s="14" t="n">
        <v>3</v>
      </c>
      <c r="O1326" s="14" t="n">
        <v>4</v>
      </c>
      <c r="P1326" s="14" t="n">
        <v>2</v>
      </c>
      <c r="Q1326" s="14"/>
      <c r="R1326" s="12" t="n">
        <f aca="false">IF(OR(N1326="",P1326=""),"",ROUND(N1326*O1326/P1326,1))</f>
        <v>6</v>
      </c>
      <c r="S1326" s="13" t="n">
        <f aca="false">IF(R1326="","",IF(Q1326="Y",1,IF(P1326&gt;='Read me'!$B$16,3,IF(AND(R1326&gt;='Read me'!$B$14,P1326&lt;='Read me'!$B$15),1,2))))</f>
        <v>1</v>
      </c>
    </row>
    <row r="1327" customFormat="false" ht="46.25" hidden="false" customHeight="false" outlineLevel="0" collapsed="false">
      <c r="A1327" s="11" t="s">
        <v>8110</v>
      </c>
      <c r="B1327" s="11" t="s">
        <v>43</v>
      </c>
      <c r="C1327" s="11" t="s">
        <v>303</v>
      </c>
      <c r="D1327" s="11" t="s">
        <v>304</v>
      </c>
      <c r="E1327" s="11" t="s">
        <v>626</v>
      </c>
      <c r="F1327" s="11" t="s">
        <v>8111</v>
      </c>
      <c r="G1327" s="11" t="s">
        <v>8112</v>
      </c>
      <c r="H1327" s="11"/>
      <c r="I1327" s="11" t="s">
        <v>8113</v>
      </c>
      <c r="J1327" s="11" t="s">
        <v>8114</v>
      </c>
      <c r="K1327" s="11" t="s">
        <v>8115</v>
      </c>
      <c r="L1327" s="11" t="s">
        <v>8116</v>
      </c>
      <c r="M1327" s="11"/>
      <c r="N1327" s="14" t="n">
        <v>3</v>
      </c>
      <c r="O1327" s="14" t="n">
        <v>5</v>
      </c>
      <c r="P1327" s="14" t="n">
        <v>3</v>
      </c>
      <c r="Q1327" s="14"/>
      <c r="R1327" s="12" t="n">
        <f aca="false">IF(OR(N1327="",P1327=""),"",ROUND(N1327*O1327/P1327,1))</f>
        <v>5</v>
      </c>
      <c r="S1327" s="13" t="n">
        <f aca="false">IF(R1327="","",IF(Q1327="Y",1,IF(P1327&gt;='Read me'!$B$16,3,IF(AND(R1327&gt;='Read me'!$B$14,P1327&lt;='Read me'!$B$15),1,2))))</f>
        <v>2</v>
      </c>
    </row>
    <row r="1328" customFormat="false" ht="23.85" hidden="false" customHeight="false" outlineLevel="0" collapsed="false">
      <c r="A1328" s="11" t="s">
        <v>8117</v>
      </c>
      <c r="B1328" s="11" t="s">
        <v>43</v>
      </c>
      <c r="C1328" s="11" t="s">
        <v>303</v>
      </c>
      <c r="D1328" s="11" t="s">
        <v>304</v>
      </c>
      <c r="E1328" s="11" t="s">
        <v>626</v>
      </c>
      <c r="F1328" s="11" t="s">
        <v>8118</v>
      </c>
      <c r="G1328" s="11" t="s">
        <v>8119</v>
      </c>
      <c r="H1328" s="11"/>
      <c r="I1328" s="11" t="s">
        <v>8120</v>
      </c>
      <c r="J1328" s="11" t="s">
        <v>8121</v>
      </c>
      <c r="K1328" s="11" t="s">
        <v>8122</v>
      </c>
      <c r="L1328" s="11" t="s">
        <v>8123</v>
      </c>
      <c r="M1328" s="11"/>
      <c r="N1328" s="14" t="n">
        <v>3</v>
      </c>
      <c r="O1328" s="14" t="n">
        <v>4</v>
      </c>
      <c r="P1328" s="14" t="n">
        <v>4</v>
      </c>
      <c r="Q1328" s="14"/>
      <c r="R1328" s="12" t="n">
        <f aca="false">IF(OR(N1328="",P1328=""),"",ROUND(N1328*O1328/P1328,1))</f>
        <v>3</v>
      </c>
      <c r="S1328" s="13" t="n">
        <f aca="false">IF(R1328="","",IF(Q1328="Y",1,IF(P1328&gt;='Read me'!$B$16,3,IF(AND(R1328&gt;='Read me'!$B$14,P1328&lt;='Read me'!$B$15),1,2))))</f>
        <v>3</v>
      </c>
    </row>
    <row r="1329" customFormat="false" ht="23.85" hidden="false" customHeight="false" outlineLevel="0" collapsed="false">
      <c r="A1329" s="11" t="s">
        <v>8124</v>
      </c>
      <c r="B1329" s="11" t="s">
        <v>43</v>
      </c>
      <c r="C1329" s="11" t="s">
        <v>303</v>
      </c>
      <c r="D1329" s="11" t="s">
        <v>304</v>
      </c>
      <c r="E1329" s="11" t="s">
        <v>626</v>
      </c>
      <c r="F1329" s="11" t="s">
        <v>8125</v>
      </c>
      <c r="G1329" s="11" t="s">
        <v>8126</v>
      </c>
      <c r="H1329" s="11"/>
      <c r="I1329" s="11" t="s">
        <v>8127</v>
      </c>
      <c r="J1329" s="11" t="s">
        <v>8128</v>
      </c>
      <c r="K1329" s="11" t="s">
        <v>8129</v>
      </c>
      <c r="L1329" s="11" t="s">
        <v>8130</v>
      </c>
      <c r="M1329" s="11"/>
      <c r="N1329" s="14" t="n">
        <v>3</v>
      </c>
      <c r="O1329" s="14" t="n">
        <v>4</v>
      </c>
      <c r="P1329" s="14" t="n">
        <v>2</v>
      </c>
      <c r="Q1329" s="14"/>
      <c r="R1329" s="12" t="n">
        <f aca="false">IF(OR(N1329="",P1329=""),"",ROUND(N1329*O1329/P1329,1))</f>
        <v>6</v>
      </c>
      <c r="S1329" s="13" t="n">
        <f aca="false">IF(R1329="","",IF(Q1329="Y",1,IF(P1329&gt;='Read me'!$B$16,3,IF(AND(R1329&gt;='Read me'!$B$14,P1329&lt;='Read me'!$B$15),1,2))))</f>
        <v>1</v>
      </c>
    </row>
    <row r="1330" customFormat="false" ht="46.25" hidden="false" customHeight="false" outlineLevel="0" collapsed="false">
      <c r="A1330" s="11" t="s">
        <v>8131</v>
      </c>
      <c r="B1330" s="11" t="s">
        <v>43</v>
      </c>
      <c r="C1330" s="11" t="s">
        <v>303</v>
      </c>
      <c r="D1330" s="11" t="s">
        <v>304</v>
      </c>
      <c r="E1330" s="11" t="s">
        <v>751</v>
      </c>
      <c r="F1330" s="11" t="s">
        <v>8132</v>
      </c>
      <c r="G1330" s="11" t="s">
        <v>1252</v>
      </c>
      <c r="H1330" s="11"/>
      <c r="I1330" s="11" t="s">
        <v>8133</v>
      </c>
      <c r="J1330" s="11" t="s">
        <v>8134</v>
      </c>
      <c r="K1330" s="11" t="s">
        <v>8135</v>
      </c>
      <c r="L1330" s="11" t="s">
        <v>8136</v>
      </c>
      <c r="M1330" s="11" t="s">
        <v>8137</v>
      </c>
      <c r="N1330" s="14" t="n">
        <v>4</v>
      </c>
      <c r="O1330" s="14" t="n">
        <v>5</v>
      </c>
      <c r="P1330" s="14" t="n">
        <v>4</v>
      </c>
      <c r="Q1330" s="14"/>
      <c r="R1330" s="12" t="n">
        <f aca="false">IF(OR(N1330="",P1330=""),"",ROUND(N1330*O1330/P1330,1))</f>
        <v>5</v>
      </c>
      <c r="S1330" s="13" t="n">
        <f aca="false">IF(R1330="","",IF(Q1330="Y",1,IF(P1330&gt;='Read me'!$B$16,3,IF(AND(R1330&gt;='Read me'!$B$14,P1330&lt;='Read me'!$B$15),1,2))))</f>
        <v>3</v>
      </c>
    </row>
    <row r="1331" customFormat="false" ht="35.05" hidden="false" customHeight="false" outlineLevel="0" collapsed="false">
      <c r="A1331" s="11" t="s">
        <v>8138</v>
      </c>
      <c r="B1331" s="11" t="s">
        <v>43</v>
      </c>
      <c r="C1331" s="11" t="s">
        <v>303</v>
      </c>
      <c r="D1331" s="11" t="s">
        <v>304</v>
      </c>
      <c r="E1331" s="11" t="s">
        <v>751</v>
      </c>
      <c r="F1331" s="11" t="s">
        <v>8132</v>
      </c>
      <c r="G1331" s="11" t="s">
        <v>8139</v>
      </c>
      <c r="H1331" s="11"/>
      <c r="I1331" s="11" t="s">
        <v>8140</v>
      </c>
      <c r="J1331" s="11" t="s">
        <v>8141</v>
      </c>
      <c r="K1331" s="11" t="s">
        <v>8142</v>
      </c>
      <c r="L1331" s="11" t="s">
        <v>8143</v>
      </c>
      <c r="M1331" s="11"/>
      <c r="N1331" s="14" t="n">
        <v>3</v>
      </c>
      <c r="O1331" s="14" t="n">
        <v>3</v>
      </c>
      <c r="P1331" s="14" t="n">
        <v>2</v>
      </c>
      <c r="Q1331" s="14"/>
      <c r="R1331" s="12" t="n">
        <f aca="false">IF(OR(N1331="",P1331=""),"",ROUND(N1331*O1331/P1331,1))</f>
        <v>4.5</v>
      </c>
      <c r="S1331" s="13" t="n">
        <f aca="false">IF(R1331="","",IF(Q1331="Y",1,IF(P1331&gt;='Read me'!$B$16,3,IF(AND(R1331&gt;='Read me'!$B$14,P1331&lt;='Read me'!$B$15),1,2))))</f>
        <v>2</v>
      </c>
    </row>
    <row r="1332" customFormat="false" ht="46.25" hidden="false" customHeight="false" outlineLevel="0" collapsed="false">
      <c r="A1332" s="11" t="s">
        <v>8144</v>
      </c>
      <c r="B1332" s="11" t="s">
        <v>43</v>
      </c>
      <c r="C1332" s="11" t="s">
        <v>303</v>
      </c>
      <c r="D1332" s="11" t="s">
        <v>304</v>
      </c>
      <c r="E1332" s="11" t="s">
        <v>751</v>
      </c>
      <c r="F1332" s="11" t="s">
        <v>8145</v>
      </c>
      <c r="G1332" s="11" t="s">
        <v>8146</v>
      </c>
      <c r="H1332" s="11"/>
      <c r="I1332" s="11" t="s">
        <v>8147</v>
      </c>
      <c r="J1332" s="11" t="s">
        <v>8148</v>
      </c>
      <c r="K1332" s="11" t="s">
        <v>8142</v>
      </c>
      <c r="L1332" s="11" t="s">
        <v>8149</v>
      </c>
      <c r="M1332" s="11"/>
      <c r="N1332" s="14" t="n">
        <v>2</v>
      </c>
      <c r="O1332" s="14" t="n">
        <v>4</v>
      </c>
      <c r="P1332" s="14" t="n">
        <v>3</v>
      </c>
      <c r="Q1332" s="14"/>
      <c r="R1332" s="12" t="n">
        <f aca="false">IF(OR(N1332="",P1332=""),"",ROUND(N1332*O1332/P1332,1))</f>
        <v>2.7</v>
      </c>
      <c r="S1332" s="13" t="n">
        <f aca="false">IF(R1332="","",IF(Q1332="Y",1,IF(P1332&gt;='Read me'!$B$16,3,IF(AND(R1332&gt;='Read me'!$B$14,P1332&lt;='Read me'!$B$15),1,2))))</f>
        <v>2</v>
      </c>
    </row>
    <row r="1333" customFormat="false" ht="35.05" hidden="false" customHeight="false" outlineLevel="0" collapsed="false">
      <c r="A1333" s="11" t="s">
        <v>8150</v>
      </c>
      <c r="B1333" s="11" t="s">
        <v>43</v>
      </c>
      <c r="C1333" s="11" t="s">
        <v>303</v>
      </c>
      <c r="D1333" s="11" t="s">
        <v>304</v>
      </c>
      <c r="E1333" s="11" t="s">
        <v>751</v>
      </c>
      <c r="F1333" s="11" t="s">
        <v>8151</v>
      </c>
      <c r="G1333" s="11" t="s">
        <v>8152</v>
      </c>
      <c r="H1333" s="11"/>
      <c r="I1333" s="11" t="s">
        <v>8153</v>
      </c>
      <c r="J1333" s="11" t="s">
        <v>8154</v>
      </c>
      <c r="K1333" s="11" t="s">
        <v>8155</v>
      </c>
      <c r="L1333" s="11" t="s">
        <v>8156</v>
      </c>
      <c r="M1333" s="11"/>
      <c r="N1333" s="14" t="n">
        <v>2</v>
      </c>
      <c r="O1333" s="14" t="n">
        <v>3</v>
      </c>
      <c r="P1333" s="14" t="n">
        <v>3</v>
      </c>
      <c r="Q1333" s="14"/>
      <c r="R1333" s="12" t="n">
        <f aca="false">IF(OR(N1333="",P1333=""),"",ROUND(N1333*O1333/P1333,1))</f>
        <v>2</v>
      </c>
      <c r="S1333" s="13" t="n">
        <f aca="false">IF(R1333="","",IF(Q1333="Y",1,IF(P1333&gt;='Read me'!$B$16,3,IF(AND(R1333&gt;='Read me'!$B$14,P1333&lt;='Read me'!$B$15),1,2))))</f>
        <v>2</v>
      </c>
    </row>
    <row r="1334" customFormat="false" ht="23.85" hidden="false" customHeight="false" outlineLevel="0" collapsed="false">
      <c r="A1334" s="11" t="s">
        <v>8157</v>
      </c>
      <c r="B1334" s="11" t="s">
        <v>43</v>
      </c>
      <c r="C1334" s="11" t="s">
        <v>303</v>
      </c>
      <c r="D1334" s="11" t="s">
        <v>304</v>
      </c>
      <c r="E1334" s="11" t="s">
        <v>765</v>
      </c>
      <c r="F1334" s="11" t="s">
        <v>8158</v>
      </c>
      <c r="G1334" s="11" t="s">
        <v>8159</v>
      </c>
      <c r="H1334" s="11"/>
      <c r="I1334" s="11" t="s">
        <v>8160</v>
      </c>
      <c r="J1334" s="11" t="s">
        <v>8161</v>
      </c>
      <c r="K1334" s="11" t="s">
        <v>8162</v>
      </c>
      <c r="L1334" s="11" t="s">
        <v>8163</v>
      </c>
      <c r="M1334" s="11"/>
      <c r="N1334" s="14" t="n">
        <v>3</v>
      </c>
      <c r="O1334" s="14" t="n">
        <v>3</v>
      </c>
      <c r="P1334" s="14" t="n">
        <v>3</v>
      </c>
      <c r="Q1334" s="14"/>
      <c r="R1334" s="12" t="n">
        <f aca="false">IF(OR(N1334="",P1334=""),"",ROUND(N1334*O1334/P1334,1))</f>
        <v>3</v>
      </c>
      <c r="S1334" s="13" t="n">
        <f aca="false">IF(R1334="","",IF(Q1334="Y",1,IF(P1334&gt;='Read me'!$B$16,3,IF(AND(R1334&gt;='Read me'!$B$14,P1334&lt;='Read me'!$B$15),1,2))))</f>
        <v>2</v>
      </c>
    </row>
    <row r="1335" customFormat="false" ht="23.85" hidden="false" customHeight="false" outlineLevel="0" collapsed="false">
      <c r="A1335" s="11" t="s">
        <v>8164</v>
      </c>
      <c r="B1335" s="11" t="s">
        <v>43</v>
      </c>
      <c r="C1335" s="11" t="s">
        <v>303</v>
      </c>
      <c r="D1335" s="11" t="s">
        <v>304</v>
      </c>
      <c r="E1335" s="11" t="s">
        <v>765</v>
      </c>
      <c r="F1335" s="11" t="s">
        <v>8165</v>
      </c>
      <c r="G1335" s="11" t="s">
        <v>8166</v>
      </c>
      <c r="H1335" s="11" t="s">
        <v>8167</v>
      </c>
      <c r="I1335" s="11" t="s">
        <v>512</v>
      </c>
      <c r="J1335" s="11" t="s">
        <v>8168</v>
      </c>
      <c r="K1335" s="11" t="s">
        <v>8169</v>
      </c>
      <c r="L1335" s="11" t="s">
        <v>8170</v>
      </c>
      <c r="M1335" s="11"/>
      <c r="N1335" s="14" t="n">
        <v>2</v>
      </c>
      <c r="O1335" s="14" t="n">
        <v>4</v>
      </c>
      <c r="P1335" s="14" t="n">
        <v>3</v>
      </c>
      <c r="Q1335" s="14"/>
      <c r="R1335" s="12" t="n">
        <f aca="false">IF(OR(N1335="",P1335=""),"",ROUND(N1335*O1335/P1335,1))</f>
        <v>2.7</v>
      </c>
      <c r="S1335" s="13" t="n">
        <f aca="false">IF(R1335="","",IF(Q1335="Y",1,IF(P1335&gt;='Read me'!$B$16,3,IF(AND(R1335&gt;='Read me'!$B$14,P1335&lt;='Read me'!$B$15),1,2))))</f>
        <v>2</v>
      </c>
    </row>
    <row r="1336" customFormat="false" ht="35.05" hidden="false" customHeight="false" outlineLevel="0" collapsed="false">
      <c r="A1336" s="11" t="s">
        <v>8171</v>
      </c>
      <c r="B1336" s="11" t="s">
        <v>43</v>
      </c>
      <c r="C1336" s="11" t="s">
        <v>303</v>
      </c>
      <c r="D1336" s="11" t="s">
        <v>304</v>
      </c>
      <c r="E1336" s="11" t="s">
        <v>1187</v>
      </c>
      <c r="F1336" s="11" t="s">
        <v>8172</v>
      </c>
      <c r="G1336" s="11" t="s">
        <v>8173</v>
      </c>
      <c r="H1336" s="11" t="s">
        <v>8174</v>
      </c>
      <c r="I1336" s="11" t="s">
        <v>8175</v>
      </c>
      <c r="J1336" s="11" t="s">
        <v>8176</v>
      </c>
      <c r="K1336" s="11" t="s">
        <v>8177</v>
      </c>
      <c r="L1336" s="11" t="s">
        <v>8178</v>
      </c>
      <c r="M1336" s="11"/>
      <c r="N1336" s="14" t="n">
        <v>2</v>
      </c>
      <c r="O1336" s="14" t="n">
        <v>3</v>
      </c>
      <c r="P1336" s="14" t="n">
        <v>3</v>
      </c>
      <c r="Q1336" s="14"/>
      <c r="R1336" s="12" t="n">
        <f aca="false">IF(OR(N1336="",P1336=""),"",ROUND(N1336*O1336/P1336,1))</f>
        <v>2</v>
      </c>
      <c r="S1336" s="13" t="n">
        <f aca="false">IF(R1336="","",IF(Q1336="Y",1,IF(P1336&gt;='Read me'!$B$16,3,IF(AND(R1336&gt;='Read me'!$B$14,P1336&lt;='Read me'!$B$15),1,2))))</f>
        <v>2</v>
      </c>
    </row>
    <row r="1337" customFormat="false" ht="35.05" hidden="false" customHeight="false" outlineLevel="0" collapsed="false">
      <c r="A1337" s="11" t="s">
        <v>8179</v>
      </c>
      <c r="B1337" s="11" t="s">
        <v>43</v>
      </c>
      <c r="C1337" s="11" t="s">
        <v>303</v>
      </c>
      <c r="D1337" s="11" t="s">
        <v>304</v>
      </c>
      <c r="E1337" s="11" t="s">
        <v>1187</v>
      </c>
      <c r="F1337" s="11" t="s">
        <v>8132</v>
      </c>
      <c r="G1337" s="11"/>
      <c r="H1337" s="11" t="s">
        <v>1259</v>
      </c>
      <c r="I1337" s="11" t="s">
        <v>8180</v>
      </c>
      <c r="J1337" s="11" t="s">
        <v>8181</v>
      </c>
      <c r="K1337" s="11" t="s">
        <v>8182</v>
      </c>
      <c r="L1337" s="11" t="s">
        <v>8183</v>
      </c>
      <c r="M1337" s="11"/>
      <c r="N1337" s="14" t="n">
        <v>3</v>
      </c>
      <c r="O1337" s="14" t="n">
        <v>3</v>
      </c>
      <c r="P1337" s="14" t="n">
        <v>2</v>
      </c>
      <c r="Q1337" s="14"/>
      <c r="R1337" s="12" t="n">
        <f aca="false">IF(OR(N1337="",P1337=""),"",ROUND(N1337*O1337/P1337,1))</f>
        <v>4.5</v>
      </c>
      <c r="S1337" s="13" t="n">
        <f aca="false">IF(R1337="","",IF(Q1337="Y",1,IF(P1337&gt;='Read me'!$B$16,3,IF(AND(R1337&gt;='Read me'!$B$14,P1337&lt;='Read me'!$B$15),1,2))))</f>
        <v>2</v>
      </c>
    </row>
    <row r="1338" customFormat="false" ht="35.05" hidden="false" customHeight="false" outlineLevel="0" collapsed="false">
      <c r="A1338" s="11" t="s">
        <v>8184</v>
      </c>
      <c r="B1338" s="11" t="s">
        <v>43</v>
      </c>
      <c r="C1338" s="11" t="s">
        <v>303</v>
      </c>
      <c r="D1338" s="11" t="s">
        <v>304</v>
      </c>
      <c r="E1338" s="11" t="s">
        <v>1187</v>
      </c>
      <c r="F1338" s="11" t="s">
        <v>8158</v>
      </c>
      <c r="G1338" s="11" t="s">
        <v>8159</v>
      </c>
      <c r="H1338" s="11" t="s">
        <v>8185</v>
      </c>
      <c r="I1338" s="11" t="s">
        <v>8186</v>
      </c>
      <c r="J1338" s="11" t="s">
        <v>8187</v>
      </c>
      <c r="K1338" s="11" t="s">
        <v>1725</v>
      </c>
      <c r="L1338" s="11" t="s">
        <v>8188</v>
      </c>
      <c r="M1338" s="11"/>
      <c r="N1338" s="14" t="n">
        <v>2</v>
      </c>
      <c r="O1338" s="14" t="n">
        <v>4</v>
      </c>
      <c r="P1338" s="14" t="n">
        <v>4</v>
      </c>
      <c r="Q1338" s="14"/>
      <c r="R1338" s="12" t="n">
        <f aca="false">IF(OR(N1338="",P1338=""),"",ROUND(N1338*O1338/P1338,1))</f>
        <v>2</v>
      </c>
      <c r="S1338" s="13" t="n">
        <f aca="false">IF(R1338="","",IF(Q1338="Y",1,IF(P1338&gt;='Read me'!$B$16,3,IF(AND(R1338&gt;='Read me'!$B$14,P1338&lt;='Read me'!$B$15),1,2))))</f>
        <v>3</v>
      </c>
    </row>
    <row r="1339" customFormat="false" ht="35.05" hidden="false" customHeight="false" outlineLevel="0" collapsed="false">
      <c r="A1339" s="11" t="s">
        <v>8189</v>
      </c>
      <c r="B1339" s="11" t="s">
        <v>43</v>
      </c>
      <c r="C1339" s="11" t="s">
        <v>303</v>
      </c>
      <c r="D1339" s="11" t="s">
        <v>304</v>
      </c>
      <c r="E1339" s="11" t="s">
        <v>1187</v>
      </c>
      <c r="F1339" s="11" t="s">
        <v>8190</v>
      </c>
      <c r="G1339" s="11" t="s">
        <v>8191</v>
      </c>
      <c r="H1339" s="11" t="s">
        <v>8192</v>
      </c>
      <c r="I1339" s="11" t="s">
        <v>8193</v>
      </c>
      <c r="J1339" s="11" t="s">
        <v>8194</v>
      </c>
      <c r="K1339" s="11" t="s">
        <v>675</v>
      </c>
      <c r="L1339" s="11" t="s">
        <v>8195</v>
      </c>
      <c r="M1339" s="11"/>
      <c r="N1339" s="14" t="n">
        <v>2</v>
      </c>
      <c r="O1339" s="14" t="n">
        <v>4</v>
      </c>
      <c r="P1339" s="14" t="n">
        <v>4</v>
      </c>
      <c r="Q1339" s="14"/>
      <c r="R1339" s="12" t="n">
        <f aca="false">IF(OR(N1339="",P1339=""),"",ROUND(N1339*O1339/P1339,1))</f>
        <v>2</v>
      </c>
      <c r="S1339" s="13" t="n">
        <f aca="false">IF(R1339="","",IF(Q1339="Y",1,IF(P1339&gt;='Read me'!$B$16,3,IF(AND(R1339&gt;='Read me'!$B$14,P1339&lt;='Read me'!$B$15),1,2))))</f>
        <v>3</v>
      </c>
    </row>
    <row r="1340" customFormat="false" ht="23.85" hidden="false" customHeight="false" outlineLevel="0" collapsed="false">
      <c r="A1340" s="11" t="s">
        <v>8196</v>
      </c>
      <c r="B1340" s="11" t="s">
        <v>43</v>
      </c>
      <c r="C1340" s="11" t="s">
        <v>303</v>
      </c>
      <c r="D1340" s="11" t="s">
        <v>304</v>
      </c>
      <c r="E1340" s="11" t="s">
        <v>1187</v>
      </c>
      <c r="F1340" s="11" t="s">
        <v>8197</v>
      </c>
      <c r="G1340" s="11"/>
      <c r="H1340" s="11" t="s">
        <v>5469</v>
      </c>
      <c r="I1340" s="11" t="s">
        <v>8198</v>
      </c>
      <c r="J1340" s="11" t="s">
        <v>8199</v>
      </c>
      <c r="K1340" s="11" t="s">
        <v>2768</v>
      </c>
      <c r="L1340" s="11" t="s">
        <v>8200</v>
      </c>
      <c r="M1340" s="11" t="s">
        <v>8201</v>
      </c>
      <c r="N1340" s="14" t="n">
        <v>1</v>
      </c>
      <c r="O1340" s="14" t="n">
        <v>4</v>
      </c>
      <c r="P1340" s="14" t="n">
        <v>5</v>
      </c>
      <c r="Q1340" s="14"/>
      <c r="R1340" s="12" t="n">
        <f aca="false">IF(OR(N1340="",P1340=""),"",ROUND(N1340*O1340/P1340,1))</f>
        <v>0.8</v>
      </c>
      <c r="S1340" s="13" t="n">
        <f aca="false">IF(R1340="","",IF(Q1340="Y",1,IF(P1340&gt;='Read me'!$B$16,3,IF(AND(R1340&gt;='Read me'!$B$14,P1340&lt;='Read me'!$B$15),1,2))))</f>
        <v>3</v>
      </c>
    </row>
    <row r="1341" customFormat="false" ht="23.85" hidden="false" customHeight="false" outlineLevel="0" collapsed="false">
      <c r="A1341" s="11" t="s">
        <v>8202</v>
      </c>
      <c r="B1341" s="11" t="s">
        <v>43</v>
      </c>
      <c r="C1341" s="11" t="s">
        <v>303</v>
      </c>
      <c r="D1341" s="11" t="s">
        <v>304</v>
      </c>
      <c r="E1341" s="11" t="s">
        <v>1187</v>
      </c>
      <c r="F1341" s="11" t="s">
        <v>8132</v>
      </c>
      <c r="G1341" s="11"/>
      <c r="H1341" s="11" t="s">
        <v>8203</v>
      </c>
      <c r="I1341" s="11" t="s">
        <v>8204</v>
      </c>
      <c r="J1341" s="11" t="s">
        <v>8205</v>
      </c>
      <c r="K1341" s="11" t="s">
        <v>675</v>
      </c>
      <c r="L1341" s="11" t="s">
        <v>8206</v>
      </c>
      <c r="M1341" s="11"/>
      <c r="N1341" s="14" t="n">
        <v>2</v>
      </c>
      <c r="O1341" s="14" t="n">
        <v>3</v>
      </c>
      <c r="P1341" s="14" t="n">
        <v>4</v>
      </c>
      <c r="Q1341" s="14"/>
      <c r="R1341" s="12" t="n">
        <f aca="false">IF(OR(N1341="",P1341=""),"",ROUND(N1341*O1341/P1341,1))</f>
        <v>1.5</v>
      </c>
      <c r="S1341" s="13" t="n">
        <f aca="false">IF(R1341="","",IF(Q1341="Y",1,IF(P1341&gt;='Read me'!$B$16,3,IF(AND(R1341&gt;='Read me'!$B$14,P1341&lt;='Read me'!$B$15),1,2))))</f>
        <v>3</v>
      </c>
    </row>
    <row r="1342" customFormat="false" ht="35.05" hidden="false" customHeight="false" outlineLevel="0" collapsed="false">
      <c r="A1342" s="11" t="s">
        <v>8207</v>
      </c>
      <c r="B1342" s="11" t="s">
        <v>43</v>
      </c>
      <c r="C1342" s="11" t="s">
        <v>303</v>
      </c>
      <c r="D1342" s="11" t="s">
        <v>304</v>
      </c>
      <c r="E1342" s="11" t="s">
        <v>1187</v>
      </c>
      <c r="F1342" s="11" t="s">
        <v>8132</v>
      </c>
      <c r="G1342" s="11"/>
      <c r="H1342" s="11" t="s">
        <v>612</v>
      </c>
      <c r="I1342" s="11" t="s">
        <v>8208</v>
      </c>
      <c r="J1342" s="11" t="s">
        <v>8209</v>
      </c>
      <c r="K1342" s="11" t="s">
        <v>1363</v>
      </c>
      <c r="L1342" s="11" t="s">
        <v>8210</v>
      </c>
      <c r="M1342" s="11"/>
      <c r="N1342" s="14" t="n">
        <v>1</v>
      </c>
      <c r="O1342" s="14" t="n">
        <v>3</v>
      </c>
      <c r="P1342" s="14" t="n">
        <v>3</v>
      </c>
      <c r="Q1342" s="14"/>
      <c r="R1342" s="12" t="n">
        <f aca="false">IF(OR(N1342="",P1342=""),"",ROUND(N1342*O1342/P1342,1))</f>
        <v>1</v>
      </c>
      <c r="S1342" s="13" t="n">
        <f aca="false">IF(R1342="","",IF(Q1342="Y",1,IF(P1342&gt;='Read me'!$B$16,3,IF(AND(R1342&gt;='Read me'!$B$14,P1342&lt;='Read me'!$B$15),1,2))))</f>
        <v>2</v>
      </c>
    </row>
    <row r="1343" customFormat="false" ht="23.85" hidden="false" customHeight="false" outlineLevel="0" collapsed="false">
      <c r="A1343" s="11" t="s">
        <v>8211</v>
      </c>
      <c r="B1343" s="11" t="s">
        <v>43</v>
      </c>
      <c r="C1343" s="11" t="s">
        <v>303</v>
      </c>
      <c r="D1343" s="11" t="s">
        <v>304</v>
      </c>
      <c r="E1343" s="11" t="s">
        <v>1133</v>
      </c>
      <c r="F1343" s="11" t="s">
        <v>8212</v>
      </c>
      <c r="G1343" s="11" t="s">
        <v>8213</v>
      </c>
      <c r="H1343" s="11"/>
      <c r="I1343" s="11" t="s">
        <v>512</v>
      </c>
      <c r="J1343" s="11" t="s">
        <v>8214</v>
      </c>
      <c r="K1343" s="11" t="s">
        <v>8215</v>
      </c>
      <c r="L1343" s="11" t="s">
        <v>8216</v>
      </c>
      <c r="M1343" s="11"/>
      <c r="N1343" s="14" t="n">
        <v>3</v>
      </c>
      <c r="O1343" s="14" t="n">
        <v>4</v>
      </c>
      <c r="P1343" s="14" t="n">
        <v>2</v>
      </c>
      <c r="Q1343" s="14"/>
      <c r="R1343" s="12" t="n">
        <f aca="false">IF(OR(N1343="",P1343=""),"",ROUND(N1343*O1343/P1343,1))</f>
        <v>6</v>
      </c>
      <c r="S1343" s="13" t="n">
        <f aca="false">IF(R1343="","",IF(Q1343="Y",1,IF(P1343&gt;='Read me'!$B$16,3,IF(AND(R1343&gt;='Read me'!$B$14,P1343&lt;='Read me'!$B$15),1,2))))</f>
        <v>1</v>
      </c>
    </row>
    <row r="1344" customFormat="false" ht="35.05" hidden="false" customHeight="false" outlineLevel="0" collapsed="false">
      <c r="A1344" s="11" t="s">
        <v>8217</v>
      </c>
      <c r="B1344" s="11" t="s">
        <v>43</v>
      </c>
      <c r="C1344" s="11" t="s">
        <v>303</v>
      </c>
      <c r="D1344" s="11" t="s">
        <v>304</v>
      </c>
      <c r="E1344" s="11" t="s">
        <v>1372</v>
      </c>
      <c r="F1344" s="11" t="s">
        <v>8172</v>
      </c>
      <c r="G1344" s="11" t="s">
        <v>8173</v>
      </c>
      <c r="H1344" s="11"/>
      <c r="I1344" s="11" t="s">
        <v>8218</v>
      </c>
      <c r="J1344" s="11" t="s">
        <v>8219</v>
      </c>
      <c r="K1344" s="11" t="s">
        <v>8220</v>
      </c>
      <c r="L1344" s="11" t="s">
        <v>8221</v>
      </c>
      <c r="M1344" s="11" t="s">
        <v>8222</v>
      </c>
      <c r="N1344" s="14" t="n">
        <v>3</v>
      </c>
      <c r="O1344" s="14" t="n">
        <v>3</v>
      </c>
      <c r="P1344" s="14" t="n">
        <v>3</v>
      </c>
      <c r="Q1344" s="14"/>
      <c r="R1344" s="12" t="n">
        <f aca="false">IF(OR(N1344="",P1344=""),"",ROUND(N1344*O1344/P1344,1))</f>
        <v>3</v>
      </c>
      <c r="S1344" s="13" t="n">
        <f aca="false">IF(R1344="","",IF(Q1344="Y",1,IF(P1344&gt;='Read me'!$B$16,3,IF(AND(R1344&gt;='Read me'!$B$14,P1344&lt;='Read me'!$B$15),1,2))))</f>
        <v>2</v>
      </c>
    </row>
    <row r="1345" customFormat="false" ht="23.85" hidden="false" customHeight="false" outlineLevel="0" collapsed="false">
      <c r="A1345" s="11" t="s">
        <v>8223</v>
      </c>
      <c r="B1345" s="11" t="s">
        <v>43</v>
      </c>
      <c r="C1345" s="11" t="s">
        <v>303</v>
      </c>
      <c r="D1345" s="11" t="s">
        <v>304</v>
      </c>
      <c r="E1345" s="11" t="s">
        <v>1372</v>
      </c>
      <c r="F1345" s="11" t="s">
        <v>8224</v>
      </c>
      <c r="G1345" s="11"/>
      <c r="H1345" s="11" t="s">
        <v>8225</v>
      </c>
      <c r="I1345" s="11" t="s">
        <v>8226</v>
      </c>
      <c r="J1345" s="11" t="s">
        <v>8227</v>
      </c>
      <c r="K1345" s="11" t="s">
        <v>1377</v>
      </c>
      <c r="L1345" s="11" t="s">
        <v>8228</v>
      </c>
      <c r="M1345" s="11" t="s">
        <v>8229</v>
      </c>
      <c r="N1345" s="14" t="n">
        <v>2</v>
      </c>
      <c r="O1345" s="14" t="n">
        <v>3</v>
      </c>
      <c r="P1345" s="14" t="n">
        <v>2</v>
      </c>
      <c r="Q1345" s="14"/>
      <c r="R1345" s="12" t="n">
        <f aca="false">IF(OR(N1345="",P1345=""),"",ROUND(N1345*O1345/P1345,1))</f>
        <v>3</v>
      </c>
      <c r="S1345" s="13" t="n">
        <f aca="false">IF(R1345="","",IF(Q1345="Y",1,IF(P1345&gt;='Read me'!$B$16,3,IF(AND(R1345&gt;='Read me'!$B$14,P1345&lt;='Read me'!$B$15),1,2))))</f>
        <v>2</v>
      </c>
    </row>
    <row r="1346" customFormat="false" ht="23.85" hidden="false" customHeight="false" outlineLevel="0" collapsed="false">
      <c r="A1346" s="11" t="s">
        <v>8230</v>
      </c>
      <c r="B1346" s="11" t="s">
        <v>43</v>
      </c>
      <c r="C1346" s="11" t="s">
        <v>307</v>
      </c>
      <c r="D1346" s="11" t="s">
        <v>308</v>
      </c>
      <c r="E1346" s="11" t="s">
        <v>476</v>
      </c>
      <c r="F1346" s="11" t="s">
        <v>8231</v>
      </c>
      <c r="G1346" s="11"/>
      <c r="H1346" s="11"/>
      <c r="I1346" s="11" t="s">
        <v>8232</v>
      </c>
      <c r="J1346" s="11" t="s">
        <v>8233</v>
      </c>
      <c r="K1346" s="11" t="s">
        <v>8096</v>
      </c>
      <c r="L1346" s="11" t="s">
        <v>8234</v>
      </c>
      <c r="M1346" s="11" t="s">
        <v>8098</v>
      </c>
      <c r="N1346" s="14" t="n">
        <v>3</v>
      </c>
      <c r="O1346" s="14" t="n">
        <v>3</v>
      </c>
      <c r="P1346" s="14" t="n">
        <v>1</v>
      </c>
      <c r="Q1346" s="14"/>
      <c r="R1346" s="12" t="n">
        <f aca="false">IF(OR(N1346="",P1346=""),"",ROUND(N1346*O1346/P1346,1))</f>
        <v>9</v>
      </c>
      <c r="S1346" s="13" t="n">
        <f aca="false">IF(R1346="","",IF(Q1346="Y",1,IF(P1346&gt;='Read me'!$B$16,3,IF(AND(R1346&gt;='Read me'!$B$14,P1346&lt;='Read me'!$B$15),1,2))))</f>
        <v>1</v>
      </c>
    </row>
    <row r="1347" customFormat="false" ht="35.05" hidden="false" customHeight="false" outlineLevel="0" collapsed="false">
      <c r="A1347" s="11" t="s">
        <v>8235</v>
      </c>
      <c r="B1347" s="11" t="s">
        <v>43</v>
      </c>
      <c r="C1347" s="11" t="s">
        <v>307</v>
      </c>
      <c r="D1347" s="11" t="s">
        <v>308</v>
      </c>
      <c r="E1347" s="11" t="s">
        <v>476</v>
      </c>
      <c r="F1347" s="11" t="s">
        <v>8236</v>
      </c>
      <c r="G1347" s="11" t="s">
        <v>8237</v>
      </c>
      <c r="H1347" s="11"/>
      <c r="I1347" s="11" t="s">
        <v>512</v>
      </c>
      <c r="J1347" s="11" t="s">
        <v>8238</v>
      </c>
      <c r="K1347" s="11" t="s">
        <v>4502</v>
      </c>
      <c r="L1347" s="11" t="s">
        <v>8239</v>
      </c>
      <c r="M1347" s="11" t="s">
        <v>8109</v>
      </c>
      <c r="N1347" s="14" t="n">
        <v>2</v>
      </c>
      <c r="O1347" s="14" t="n">
        <v>3</v>
      </c>
      <c r="P1347" s="14" t="n">
        <v>2</v>
      </c>
      <c r="Q1347" s="14"/>
      <c r="R1347" s="12" t="n">
        <f aca="false">IF(OR(N1347="",P1347=""),"",ROUND(N1347*O1347/P1347,1))</f>
        <v>3</v>
      </c>
      <c r="S1347" s="13" t="n">
        <f aca="false">IF(R1347="","",IF(Q1347="Y",1,IF(P1347&gt;='Read me'!$B$16,3,IF(AND(R1347&gt;='Read me'!$B$14,P1347&lt;='Read me'!$B$15),1,2))))</f>
        <v>2</v>
      </c>
    </row>
    <row r="1348" customFormat="false" ht="35.05" hidden="false" customHeight="false" outlineLevel="0" collapsed="false">
      <c r="A1348" s="11" t="s">
        <v>8240</v>
      </c>
      <c r="B1348" s="11" t="s">
        <v>43</v>
      </c>
      <c r="C1348" s="11" t="s">
        <v>307</v>
      </c>
      <c r="D1348" s="11" t="s">
        <v>308</v>
      </c>
      <c r="E1348" s="11" t="s">
        <v>626</v>
      </c>
      <c r="F1348" s="11" t="s">
        <v>8241</v>
      </c>
      <c r="G1348" s="11" t="s">
        <v>8242</v>
      </c>
      <c r="H1348" s="11"/>
      <c r="I1348" s="11" t="s">
        <v>8243</v>
      </c>
      <c r="J1348" s="11" t="s">
        <v>8244</v>
      </c>
      <c r="K1348" s="11" t="s">
        <v>8245</v>
      </c>
      <c r="L1348" s="11" t="s">
        <v>8246</v>
      </c>
      <c r="M1348" s="11"/>
      <c r="N1348" s="14" t="n">
        <v>3</v>
      </c>
      <c r="O1348" s="14" t="n">
        <v>4</v>
      </c>
      <c r="P1348" s="14" t="n">
        <v>2</v>
      </c>
      <c r="Q1348" s="14"/>
      <c r="R1348" s="12" t="n">
        <f aca="false">IF(OR(N1348="",P1348=""),"",ROUND(N1348*O1348/P1348,1))</f>
        <v>6</v>
      </c>
      <c r="S1348" s="13" t="n">
        <f aca="false">IF(R1348="","",IF(Q1348="Y",1,IF(P1348&gt;='Read me'!$B$16,3,IF(AND(R1348&gt;='Read me'!$B$14,P1348&lt;='Read me'!$B$15),1,2))))</f>
        <v>1</v>
      </c>
    </row>
    <row r="1349" customFormat="false" ht="23.85" hidden="false" customHeight="false" outlineLevel="0" collapsed="false">
      <c r="A1349" s="11" t="s">
        <v>8247</v>
      </c>
      <c r="B1349" s="11" t="s">
        <v>43</v>
      </c>
      <c r="C1349" s="11" t="s">
        <v>307</v>
      </c>
      <c r="D1349" s="11" t="s">
        <v>308</v>
      </c>
      <c r="E1349" s="11" t="s">
        <v>626</v>
      </c>
      <c r="F1349" s="11" t="s">
        <v>8248</v>
      </c>
      <c r="G1349" s="11" t="s">
        <v>8249</v>
      </c>
      <c r="H1349" s="11"/>
      <c r="I1349" s="11" t="s">
        <v>8250</v>
      </c>
      <c r="J1349" s="11" t="s">
        <v>8251</v>
      </c>
      <c r="K1349" s="11" t="s">
        <v>8252</v>
      </c>
      <c r="L1349" s="11" t="s">
        <v>8253</v>
      </c>
      <c r="M1349" s="11"/>
      <c r="N1349" s="14" t="n">
        <v>2</v>
      </c>
      <c r="O1349" s="14" t="n">
        <v>4</v>
      </c>
      <c r="P1349" s="14" t="n">
        <v>3</v>
      </c>
      <c r="Q1349" s="14"/>
      <c r="R1349" s="12" t="n">
        <f aca="false">IF(OR(N1349="",P1349=""),"",ROUND(N1349*O1349/P1349,1))</f>
        <v>2.7</v>
      </c>
      <c r="S1349" s="13" t="n">
        <f aca="false">IF(R1349="","",IF(Q1349="Y",1,IF(P1349&gt;='Read me'!$B$16,3,IF(AND(R1349&gt;='Read me'!$B$14,P1349&lt;='Read me'!$B$15),1,2))))</f>
        <v>2</v>
      </c>
    </row>
    <row r="1350" customFormat="false" ht="35.05" hidden="false" customHeight="false" outlineLevel="0" collapsed="false">
      <c r="A1350" s="11" t="s">
        <v>8254</v>
      </c>
      <c r="B1350" s="11" t="s">
        <v>43</v>
      </c>
      <c r="C1350" s="11" t="s">
        <v>307</v>
      </c>
      <c r="D1350" s="11" t="s">
        <v>308</v>
      </c>
      <c r="E1350" s="11" t="s">
        <v>626</v>
      </c>
      <c r="F1350" s="11" t="s">
        <v>8255</v>
      </c>
      <c r="G1350" s="11" t="s">
        <v>8256</v>
      </c>
      <c r="H1350" s="11"/>
      <c r="I1350" s="11" t="s">
        <v>8257</v>
      </c>
      <c r="J1350" s="11" t="s">
        <v>8258</v>
      </c>
      <c r="K1350" s="11" t="s">
        <v>1028</v>
      </c>
      <c r="L1350" s="11" t="s">
        <v>8259</v>
      </c>
      <c r="M1350" s="11"/>
      <c r="N1350" s="14" t="n">
        <v>2</v>
      </c>
      <c r="O1350" s="14" t="n">
        <v>3</v>
      </c>
      <c r="P1350" s="14" t="n">
        <v>2</v>
      </c>
      <c r="Q1350" s="14"/>
      <c r="R1350" s="12" t="n">
        <f aca="false">IF(OR(N1350="",P1350=""),"",ROUND(N1350*O1350/P1350,1))</f>
        <v>3</v>
      </c>
      <c r="S1350" s="13" t="n">
        <f aca="false">IF(R1350="","",IF(Q1350="Y",1,IF(P1350&gt;='Read me'!$B$16,3,IF(AND(R1350&gt;='Read me'!$B$14,P1350&lt;='Read me'!$B$15),1,2))))</f>
        <v>2</v>
      </c>
    </row>
    <row r="1351" customFormat="false" ht="46.25" hidden="false" customHeight="false" outlineLevel="0" collapsed="false">
      <c r="A1351" s="11" t="s">
        <v>8260</v>
      </c>
      <c r="B1351" s="11" t="s">
        <v>43</v>
      </c>
      <c r="C1351" s="11" t="s">
        <v>307</v>
      </c>
      <c r="D1351" s="11" t="s">
        <v>308</v>
      </c>
      <c r="E1351" s="11" t="s">
        <v>751</v>
      </c>
      <c r="F1351" s="11" t="s">
        <v>8261</v>
      </c>
      <c r="G1351" s="11" t="s">
        <v>1252</v>
      </c>
      <c r="H1351" s="11"/>
      <c r="I1351" s="11" t="s">
        <v>8262</v>
      </c>
      <c r="J1351" s="11" t="s">
        <v>8263</v>
      </c>
      <c r="K1351" s="11" t="s">
        <v>8135</v>
      </c>
      <c r="L1351" s="11" t="s">
        <v>8264</v>
      </c>
      <c r="M1351" s="11" t="s">
        <v>1577</v>
      </c>
      <c r="N1351" s="14" t="n">
        <v>3</v>
      </c>
      <c r="O1351" s="14" t="n">
        <v>4</v>
      </c>
      <c r="P1351" s="14" t="n">
        <v>4</v>
      </c>
      <c r="Q1351" s="14"/>
      <c r="R1351" s="12" t="n">
        <f aca="false">IF(OR(N1351="",P1351=""),"",ROUND(N1351*O1351/P1351,1))</f>
        <v>3</v>
      </c>
      <c r="S1351" s="13" t="n">
        <f aca="false">IF(R1351="","",IF(Q1351="Y",1,IF(P1351&gt;='Read me'!$B$16,3,IF(AND(R1351&gt;='Read me'!$B$14,P1351&lt;='Read me'!$B$15),1,2))))</f>
        <v>3</v>
      </c>
    </row>
    <row r="1352" customFormat="false" ht="35.05" hidden="false" customHeight="false" outlineLevel="0" collapsed="false">
      <c r="A1352" s="11" t="s">
        <v>8265</v>
      </c>
      <c r="B1352" s="11" t="s">
        <v>43</v>
      </c>
      <c r="C1352" s="11" t="s">
        <v>307</v>
      </c>
      <c r="D1352" s="11" t="s">
        <v>308</v>
      </c>
      <c r="E1352" s="11" t="s">
        <v>751</v>
      </c>
      <c r="F1352" s="11" t="s">
        <v>8266</v>
      </c>
      <c r="G1352" s="11" t="s">
        <v>8267</v>
      </c>
      <c r="H1352" s="11"/>
      <c r="I1352" s="11" t="s">
        <v>8268</v>
      </c>
      <c r="J1352" s="11" t="s">
        <v>8269</v>
      </c>
      <c r="K1352" s="11" t="s">
        <v>8142</v>
      </c>
      <c r="L1352" s="11" t="s">
        <v>8270</v>
      </c>
      <c r="M1352" s="11"/>
      <c r="N1352" s="14" t="n">
        <v>2</v>
      </c>
      <c r="O1352" s="14" t="n">
        <v>3</v>
      </c>
      <c r="P1352" s="14" t="n">
        <v>3</v>
      </c>
      <c r="Q1352" s="14"/>
      <c r="R1352" s="12" t="n">
        <f aca="false">IF(OR(N1352="",P1352=""),"",ROUND(N1352*O1352/P1352,1))</f>
        <v>2</v>
      </c>
      <c r="S1352" s="13" t="n">
        <f aca="false">IF(R1352="","",IF(Q1352="Y",1,IF(P1352&gt;='Read me'!$B$16,3,IF(AND(R1352&gt;='Read me'!$B$14,P1352&lt;='Read me'!$B$15),1,2))))</f>
        <v>2</v>
      </c>
    </row>
    <row r="1353" customFormat="false" ht="23.85" hidden="false" customHeight="false" outlineLevel="0" collapsed="false">
      <c r="A1353" s="11" t="s">
        <v>8271</v>
      </c>
      <c r="B1353" s="11" t="s">
        <v>43</v>
      </c>
      <c r="C1353" s="11" t="s">
        <v>307</v>
      </c>
      <c r="D1353" s="11" t="s">
        <v>308</v>
      </c>
      <c r="E1353" s="11" t="s">
        <v>765</v>
      </c>
      <c r="F1353" s="11" t="s">
        <v>8272</v>
      </c>
      <c r="G1353" s="11" t="s">
        <v>8159</v>
      </c>
      <c r="H1353" s="11"/>
      <c r="I1353" s="11" t="s">
        <v>8273</v>
      </c>
      <c r="J1353" s="11" t="s">
        <v>8274</v>
      </c>
      <c r="K1353" s="11" t="s">
        <v>8162</v>
      </c>
      <c r="L1353" s="11" t="s">
        <v>8275</v>
      </c>
      <c r="M1353" s="11"/>
      <c r="N1353" s="14" t="n">
        <v>2</v>
      </c>
      <c r="O1353" s="14" t="n">
        <v>3</v>
      </c>
      <c r="P1353" s="14" t="n">
        <v>2</v>
      </c>
      <c r="Q1353" s="14"/>
      <c r="R1353" s="12" t="n">
        <f aca="false">IF(OR(N1353="",P1353=""),"",ROUND(N1353*O1353/P1353,1))</f>
        <v>3</v>
      </c>
      <c r="S1353" s="13" t="n">
        <f aca="false">IF(R1353="","",IF(Q1353="Y",1,IF(P1353&gt;='Read me'!$B$16,3,IF(AND(R1353&gt;='Read me'!$B$14,P1353&lt;='Read me'!$B$15),1,2))))</f>
        <v>2</v>
      </c>
    </row>
    <row r="1354" customFormat="false" ht="23.85" hidden="false" customHeight="false" outlineLevel="0" collapsed="false">
      <c r="A1354" s="11" t="s">
        <v>8276</v>
      </c>
      <c r="B1354" s="11" t="s">
        <v>43</v>
      </c>
      <c r="C1354" s="11" t="s">
        <v>307</v>
      </c>
      <c r="D1354" s="11" t="s">
        <v>308</v>
      </c>
      <c r="E1354" s="11" t="s">
        <v>1187</v>
      </c>
      <c r="F1354" s="11" t="s">
        <v>8277</v>
      </c>
      <c r="G1354" s="11" t="s">
        <v>8173</v>
      </c>
      <c r="H1354" s="11" t="s">
        <v>8174</v>
      </c>
      <c r="I1354" s="11" t="s">
        <v>8278</v>
      </c>
      <c r="J1354" s="11" t="s">
        <v>8279</v>
      </c>
      <c r="K1354" s="11" t="s">
        <v>8177</v>
      </c>
      <c r="L1354" s="11" t="s">
        <v>8280</v>
      </c>
      <c r="M1354" s="11"/>
      <c r="N1354" s="14" t="n">
        <v>1</v>
      </c>
      <c r="O1354" s="14" t="n">
        <v>3</v>
      </c>
      <c r="P1354" s="14" t="n">
        <v>3</v>
      </c>
      <c r="Q1354" s="14"/>
      <c r="R1354" s="12" t="n">
        <f aca="false">IF(OR(N1354="",P1354=""),"",ROUND(N1354*O1354/P1354,1))</f>
        <v>1</v>
      </c>
      <c r="S1354" s="13" t="n">
        <f aca="false">IF(R1354="","",IF(Q1354="Y",1,IF(P1354&gt;='Read me'!$B$16,3,IF(AND(R1354&gt;='Read me'!$B$14,P1354&lt;='Read me'!$B$15),1,2))))</f>
        <v>2</v>
      </c>
    </row>
    <row r="1355" customFormat="false" ht="23.85" hidden="false" customHeight="false" outlineLevel="0" collapsed="false">
      <c r="A1355" s="11" t="s">
        <v>8281</v>
      </c>
      <c r="B1355" s="11" t="s">
        <v>43</v>
      </c>
      <c r="C1355" s="11" t="s">
        <v>307</v>
      </c>
      <c r="D1355" s="11" t="s">
        <v>308</v>
      </c>
      <c r="E1355" s="11" t="s">
        <v>1187</v>
      </c>
      <c r="F1355" s="11" t="s">
        <v>8261</v>
      </c>
      <c r="G1355" s="11"/>
      <c r="H1355" s="11" t="s">
        <v>1259</v>
      </c>
      <c r="I1355" s="11" t="s">
        <v>8282</v>
      </c>
      <c r="J1355" s="11" t="s">
        <v>8283</v>
      </c>
      <c r="K1355" s="11" t="s">
        <v>8182</v>
      </c>
      <c r="L1355" s="11" t="s">
        <v>3497</v>
      </c>
      <c r="M1355" s="11"/>
      <c r="N1355" s="14" t="n">
        <v>2</v>
      </c>
      <c r="O1355" s="14" t="n">
        <v>3</v>
      </c>
      <c r="P1355" s="14" t="n">
        <v>2</v>
      </c>
      <c r="Q1355" s="14"/>
      <c r="R1355" s="12" t="n">
        <f aca="false">IF(OR(N1355="",P1355=""),"",ROUND(N1355*O1355/P1355,1))</f>
        <v>3</v>
      </c>
      <c r="S1355" s="13" t="n">
        <f aca="false">IF(R1355="","",IF(Q1355="Y",1,IF(P1355&gt;='Read me'!$B$16,3,IF(AND(R1355&gt;='Read me'!$B$14,P1355&lt;='Read me'!$B$15),1,2))))</f>
        <v>2</v>
      </c>
    </row>
    <row r="1356" customFormat="false" ht="23.85" hidden="false" customHeight="false" outlineLevel="0" collapsed="false">
      <c r="A1356" s="11" t="s">
        <v>8284</v>
      </c>
      <c r="B1356" s="11" t="s">
        <v>43</v>
      </c>
      <c r="C1356" s="11" t="s">
        <v>307</v>
      </c>
      <c r="D1356" s="11" t="s">
        <v>308</v>
      </c>
      <c r="E1356" s="11" t="s">
        <v>1187</v>
      </c>
      <c r="F1356" s="11" t="s">
        <v>8272</v>
      </c>
      <c r="G1356" s="11" t="s">
        <v>8159</v>
      </c>
      <c r="H1356" s="11" t="s">
        <v>8185</v>
      </c>
      <c r="I1356" s="11" t="s">
        <v>8285</v>
      </c>
      <c r="J1356" s="11" t="s">
        <v>8286</v>
      </c>
      <c r="K1356" s="11" t="s">
        <v>1725</v>
      </c>
      <c r="L1356" s="11" t="s">
        <v>8287</v>
      </c>
      <c r="M1356" s="11"/>
      <c r="N1356" s="14" t="n">
        <v>1</v>
      </c>
      <c r="O1356" s="14" t="n">
        <v>3</v>
      </c>
      <c r="P1356" s="14" t="n">
        <v>4</v>
      </c>
      <c r="Q1356" s="14"/>
      <c r="R1356" s="12" t="n">
        <f aca="false">IF(OR(N1356="",P1356=""),"",ROUND(N1356*O1356/P1356,1))</f>
        <v>0.8</v>
      </c>
      <c r="S1356" s="13" t="n">
        <f aca="false">IF(R1356="","",IF(Q1356="Y",1,IF(P1356&gt;='Read me'!$B$16,3,IF(AND(R1356&gt;='Read me'!$B$14,P1356&lt;='Read me'!$B$15),1,2))))</f>
        <v>3</v>
      </c>
    </row>
    <row r="1357" customFormat="false" ht="23.85" hidden="false" customHeight="false" outlineLevel="0" collapsed="false">
      <c r="A1357" s="11" t="s">
        <v>8288</v>
      </c>
      <c r="B1357" s="11" t="s">
        <v>43</v>
      </c>
      <c r="C1357" s="11" t="s">
        <v>307</v>
      </c>
      <c r="D1357" s="11" t="s">
        <v>308</v>
      </c>
      <c r="E1357" s="11" t="s">
        <v>1187</v>
      </c>
      <c r="F1357" s="11" t="s">
        <v>8190</v>
      </c>
      <c r="G1357" s="11" t="s">
        <v>8191</v>
      </c>
      <c r="H1357" s="11" t="s">
        <v>8192</v>
      </c>
      <c r="I1357" s="11" t="s">
        <v>8289</v>
      </c>
      <c r="J1357" s="11" t="s">
        <v>8290</v>
      </c>
      <c r="K1357" s="11" t="s">
        <v>675</v>
      </c>
      <c r="L1357" s="11" t="s">
        <v>8291</v>
      </c>
      <c r="M1357" s="11"/>
      <c r="N1357" s="14" t="n">
        <v>1</v>
      </c>
      <c r="O1357" s="14" t="n">
        <v>4</v>
      </c>
      <c r="P1357" s="14" t="n">
        <v>4</v>
      </c>
      <c r="Q1357" s="14"/>
      <c r="R1357" s="12" t="n">
        <f aca="false">IF(OR(N1357="",P1357=""),"",ROUND(N1357*O1357/P1357,1))</f>
        <v>1</v>
      </c>
      <c r="S1357" s="13" t="n">
        <f aca="false">IF(R1357="","",IF(Q1357="Y",1,IF(P1357&gt;='Read me'!$B$16,3,IF(AND(R1357&gt;='Read me'!$B$14,P1357&lt;='Read me'!$B$15),1,2))))</f>
        <v>3</v>
      </c>
    </row>
    <row r="1358" customFormat="false" ht="23.85" hidden="false" customHeight="false" outlineLevel="0" collapsed="false">
      <c r="A1358" s="11" t="s">
        <v>8292</v>
      </c>
      <c r="B1358" s="11" t="s">
        <v>43</v>
      </c>
      <c r="C1358" s="11" t="s">
        <v>307</v>
      </c>
      <c r="D1358" s="11" t="s">
        <v>308</v>
      </c>
      <c r="E1358" s="11" t="s">
        <v>1187</v>
      </c>
      <c r="F1358" s="11" t="s">
        <v>8197</v>
      </c>
      <c r="G1358" s="11"/>
      <c r="H1358" s="11" t="s">
        <v>5469</v>
      </c>
      <c r="I1358" s="11" t="s">
        <v>8293</v>
      </c>
      <c r="J1358" s="11" t="s">
        <v>8294</v>
      </c>
      <c r="K1358" s="11" t="s">
        <v>2768</v>
      </c>
      <c r="L1358" s="11" t="s">
        <v>8295</v>
      </c>
      <c r="M1358" s="11" t="s">
        <v>8201</v>
      </c>
      <c r="N1358" s="14" t="n">
        <v>1</v>
      </c>
      <c r="O1358" s="14" t="n">
        <v>4</v>
      </c>
      <c r="P1358" s="14" t="n">
        <v>5</v>
      </c>
      <c r="Q1358" s="14"/>
      <c r="R1358" s="12" t="n">
        <f aca="false">IF(OR(N1358="",P1358=""),"",ROUND(N1358*O1358/P1358,1))</f>
        <v>0.8</v>
      </c>
      <c r="S1358" s="13" t="n">
        <f aca="false">IF(R1358="","",IF(Q1358="Y",1,IF(P1358&gt;='Read me'!$B$16,3,IF(AND(R1358&gt;='Read me'!$B$14,P1358&lt;='Read me'!$B$15),1,2))))</f>
        <v>3</v>
      </c>
    </row>
    <row r="1359" customFormat="false" ht="35.05" hidden="false" customHeight="false" outlineLevel="0" collapsed="false">
      <c r="A1359" s="11" t="s">
        <v>8296</v>
      </c>
      <c r="B1359" s="11" t="s">
        <v>43</v>
      </c>
      <c r="C1359" s="11" t="s">
        <v>307</v>
      </c>
      <c r="D1359" s="11" t="s">
        <v>308</v>
      </c>
      <c r="E1359" s="11" t="s">
        <v>1372</v>
      </c>
      <c r="F1359" s="11" t="s">
        <v>8277</v>
      </c>
      <c r="G1359" s="11" t="s">
        <v>8173</v>
      </c>
      <c r="H1359" s="11"/>
      <c r="I1359" s="11" t="s">
        <v>8297</v>
      </c>
      <c r="J1359" s="11" t="s">
        <v>8298</v>
      </c>
      <c r="K1359" s="11" t="s">
        <v>8220</v>
      </c>
      <c r="L1359" s="11" t="s">
        <v>8299</v>
      </c>
      <c r="M1359" s="11" t="s">
        <v>8222</v>
      </c>
      <c r="N1359" s="14" t="n">
        <v>2</v>
      </c>
      <c r="O1359" s="14" t="n">
        <v>3</v>
      </c>
      <c r="P1359" s="14" t="n">
        <v>3</v>
      </c>
      <c r="Q1359" s="14"/>
      <c r="R1359" s="12" t="n">
        <f aca="false">IF(OR(N1359="",P1359=""),"",ROUND(N1359*O1359/P1359,1))</f>
        <v>2</v>
      </c>
      <c r="S1359" s="13" t="n">
        <f aca="false">IF(R1359="","",IF(Q1359="Y",1,IF(P1359&gt;='Read me'!$B$16,3,IF(AND(R1359&gt;='Read me'!$B$14,P1359&lt;='Read me'!$B$15),1,2))))</f>
        <v>2</v>
      </c>
    </row>
    <row r="1360" customFormat="false" ht="23.85" hidden="false" customHeight="false" outlineLevel="0" collapsed="false">
      <c r="A1360" s="11" t="s">
        <v>8300</v>
      </c>
      <c r="B1360" s="11" t="s">
        <v>43</v>
      </c>
      <c r="C1360" s="11" t="s">
        <v>310</v>
      </c>
      <c r="D1360" s="11" t="s">
        <v>311</v>
      </c>
      <c r="E1360" s="11" t="s">
        <v>476</v>
      </c>
      <c r="F1360" s="11" t="s">
        <v>8301</v>
      </c>
      <c r="G1360" s="11" t="s">
        <v>491</v>
      </c>
      <c r="H1360" s="11"/>
      <c r="I1360" s="11" t="s">
        <v>8302</v>
      </c>
      <c r="J1360" s="11" t="s">
        <v>8303</v>
      </c>
      <c r="K1360" s="11" t="s">
        <v>8304</v>
      </c>
      <c r="L1360" s="11" t="s">
        <v>8305</v>
      </c>
      <c r="M1360" s="11"/>
      <c r="N1360" s="14" t="n">
        <v>4</v>
      </c>
      <c r="O1360" s="14" t="n">
        <v>4</v>
      </c>
      <c r="P1360" s="14" t="n">
        <v>1</v>
      </c>
      <c r="Q1360" s="14"/>
      <c r="R1360" s="12" t="n">
        <f aca="false">IF(OR(N1360="",P1360=""),"",ROUND(N1360*O1360/P1360,1))</f>
        <v>16</v>
      </c>
      <c r="S1360" s="13" t="n">
        <f aca="false">IF(R1360="","",IF(Q1360="Y",1,IF(P1360&gt;='Read me'!$B$16,3,IF(AND(R1360&gt;='Read me'!$B$14,P1360&lt;='Read me'!$B$15),1,2))))</f>
        <v>1</v>
      </c>
    </row>
    <row r="1361" customFormat="false" ht="23.85" hidden="false" customHeight="false" outlineLevel="0" collapsed="false">
      <c r="A1361" s="11" t="s">
        <v>8306</v>
      </c>
      <c r="B1361" s="11" t="s">
        <v>43</v>
      </c>
      <c r="C1361" s="11" t="s">
        <v>310</v>
      </c>
      <c r="D1361" s="11" t="s">
        <v>311</v>
      </c>
      <c r="E1361" s="11" t="s">
        <v>626</v>
      </c>
      <c r="F1361" s="11" t="s">
        <v>8307</v>
      </c>
      <c r="G1361" s="11" t="s">
        <v>8308</v>
      </c>
      <c r="H1361" s="11"/>
      <c r="I1361" s="11" t="s">
        <v>8309</v>
      </c>
      <c r="J1361" s="11" t="s">
        <v>8310</v>
      </c>
      <c r="K1361" s="11" t="s">
        <v>5836</v>
      </c>
      <c r="L1361" s="11" t="s">
        <v>8311</v>
      </c>
      <c r="M1361" s="11"/>
      <c r="N1361" s="14" t="n">
        <v>2</v>
      </c>
      <c r="O1361" s="14" t="n">
        <v>3</v>
      </c>
      <c r="P1361" s="14" t="n">
        <v>2</v>
      </c>
      <c r="Q1361" s="14"/>
      <c r="R1361" s="12" t="n">
        <f aca="false">IF(OR(N1361="",P1361=""),"",ROUND(N1361*O1361/P1361,1))</f>
        <v>3</v>
      </c>
      <c r="S1361" s="13" t="n">
        <f aca="false">IF(R1361="","",IF(Q1361="Y",1,IF(P1361&gt;='Read me'!$B$16,3,IF(AND(R1361&gt;='Read me'!$B$14,P1361&lt;='Read me'!$B$15),1,2))))</f>
        <v>2</v>
      </c>
    </row>
    <row r="1362" customFormat="false" ht="23.85" hidden="false" customHeight="false" outlineLevel="0" collapsed="false">
      <c r="A1362" s="11" t="s">
        <v>8312</v>
      </c>
      <c r="B1362" s="11" t="s">
        <v>43</v>
      </c>
      <c r="C1362" s="11" t="s">
        <v>310</v>
      </c>
      <c r="D1362" s="11" t="s">
        <v>311</v>
      </c>
      <c r="E1362" s="11" t="s">
        <v>1187</v>
      </c>
      <c r="F1362" s="11" t="s">
        <v>8313</v>
      </c>
      <c r="G1362" s="11"/>
      <c r="H1362" s="11" t="s">
        <v>8314</v>
      </c>
      <c r="I1362" s="11" t="s">
        <v>8315</v>
      </c>
      <c r="J1362" s="11" t="s">
        <v>8316</v>
      </c>
      <c r="K1362" s="11" t="s">
        <v>2768</v>
      </c>
      <c r="L1362" s="11" t="s">
        <v>8317</v>
      </c>
      <c r="M1362" s="11"/>
      <c r="N1362" s="14" t="n">
        <v>3</v>
      </c>
      <c r="O1362" s="14" t="n">
        <v>3</v>
      </c>
      <c r="P1362" s="14" t="n">
        <v>3</v>
      </c>
      <c r="Q1362" s="14"/>
      <c r="R1362" s="12" t="n">
        <f aca="false">IF(OR(N1362="",P1362=""),"",ROUND(N1362*O1362/P1362,1))</f>
        <v>3</v>
      </c>
      <c r="S1362" s="13" t="n">
        <f aca="false">IF(R1362="","",IF(Q1362="Y",1,IF(P1362&gt;='Read me'!$B$16,3,IF(AND(R1362&gt;='Read me'!$B$14,P1362&lt;='Read me'!$B$15),1,2))))</f>
        <v>2</v>
      </c>
    </row>
    <row r="1363" customFormat="false" ht="35.05" hidden="false" customHeight="false" outlineLevel="0" collapsed="false">
      <c r="A1363" s="11" t="s">
        <v>8318</v>
      </c>
      <c r="B1363" s="11" t="s">
        <v>43</v>
      </c>
      <c r="C1363" s="11" t="s">
        <v>310</v>
      </c>
      <c r="D1363" s="11" t="s">
        <v>311</v>
      </c>
      <c r="E1363" s="11" t="s">
        <v>1187</v>
      </c>
      <c r="F1363" s="11" t="s">
        <v>8313</v>
      </c>
      <c r="G1363" s="11" t="s">
        <v>8319</v>
      </c>
      <c r="H1363" s="11" t="s">
        <v>8320</v>
      </c>
      <c r="I1363" s="11" t="s">
        <v>8321</v>
      </c>
      <c r="J1363" s="11" t="s">
        <v>8322</v>
      </c>
      <c r="K1363" s="11" t="s">
        <v>2768</v>
      </c>
      <c r="L1363" s="11" t="s">
        <v>8323</v>
      </c>
      <c r="M1363" s="11"/>
      <c r="N1363" s="14" t="n">
        <v>3</v>
      </c>
      <c r="O1363" s="14" t="n">
        <v>3</v>
      </c>
      <c r="P1363" s="14" t="n">
        <v>3</v>
      </c>
      <c r="Q1363" s="14"/>
      <c r="R1363" s="12" t="n">
        <f aca="false">IF(OR(N1363="",P1363=""),"",ROUND(N1363*O1363/P1363,1))</f>
        <v>3</v>
      </c>
      <c r="S1363" s="13" t="n">
        <f aca="false">IF(R1363="","",IF(Q1363="Y",1,IF(P1363&gt;='Read me'!$B$16,3,IF(AND(R1363&gt;='Read me'!$B$14,P1363&lt;='Read me'!$B$15),1,2))))</f>
        <v>2</v>
      </c>
    </row>
    <row r="1364" customFormat="false" ht="23.85" hidden="false" customHeight="false" outlineLevel="0" collapsed="false">
      <c r="A1364" s="11" t="s">
        <v>8324</v>
      </c>
      <c r="B1364" s="11" t="s">
        <v>43</v>
      </c>
      <c r="C1364" s="11" t="s">
        <v>310</v>
      </c>
      <c r="D1364" s="11" t="s">
        <v>311</v>
      </c>
      <c r="E1364" s="11" t="s">
        <v>1187</v>
      </c>
      <c r="F1364" s="11" t="s">
        <v>8325</v>
      </c>
      <c r="G1364" s="11"/>
      <c r="H1364" s="11" t="s">
        <v>6094</v>
      </c>
      <c r="I1364" s="11" t="s">
        <v>6095</v>
      </c>
      <c r="J1364" s="11" t="s">
        <v>8326</v>
      </c>
      <c r="K1364" s="11" t="s">
        <v>2000</v>
      </c>
      <c r="L1364" s="11" t="s">
        <v>8327</v>
      </c>
      <c r="M1364" s="11"/>
      <c r="N1364" s="14" t="n">
        <v>3</v>
      </c>
      <c r="O1364" s="14" t="n">
        <v>2</v>
      </c>
      <c r="P1364" s="14" t="n">
        <v>2</v>
      </c>
      <c r="Q1364" s="14"/>
      <c r="R1364" s="12" t="n">
        <f aca="false">IF(OR(N1364="",P1364=""),"",ROUND(N1364*O1364/P1364,1))</f>
        <v>3</v>
      </c>
      <c r="S1364" s="13" t="n">
        <f aca="false">IF(R1364="","",IF(Q1364="Y",1,IF(P1364&gt;='Read me'!$B$16,3,IF(AND(R1364&gt;='Read me'!$B$14,P1364&lt;='Read me'!$B$15),1,2))))</f>
        <v>2</v>
      </c>
    </row>
    <row r="1365" customFormat="false" ht="23.85" hidden="false" customHeight="false" outlineLevel="0" collapsed="false">
      <c r="A1365" s="11" t="s">
        <v>8328</v>
      </c>
      <c r="B1365" s="11" t="s">
        <v>43</v>
      </c>
      <c r="C1365" s="11" t="s">
        <v>310</v>
      </c>
      <c r="D1365" s="11" t="s">
        <v>311</v>
      </c>
      <c r="E1365" s="11" t="s">
        <v>1372</v>
      </c>
      <c r="F1365" s="11" t="s">
        <v>8329</v>
      </c>
      <c r="G1365" s="11"/>
      <c r="H1365" s="11"/>
      <c r="I1365" s="11" t="s">
        <v>8330</v>
      </c>
      <c r="J1365" s="11" t="s">
        <v>8331</v>
      </c>
      <c r="K1365" s="11" t="s">
        <v>1377</v>
      </c>
      <c r="L1365" s="11" t="s">
        <v>3497</v>
      </c>
      <c r="M1365" s="11"/>
      <c r="N1365" s="14" t="n">
        <v>5</v>
      </c>
      <c r="O1365" s="14" t="n">
        <v>4</v>
      </c>
      <c r="P1365" s="14" t="n">
        <v>1</v>
      </c>
      <c r="Q1365" s="14"/>
      <c r="R1365" s="12" t="n">
        <f aca="false">IF(OR(N1365="",P1365=""),"",ROUND(N1365*O1365/P1365,1))</f>
        <v>20</v>
      </c>
      <c r="S1365" s="13" t="n">
        <f aca="false">IF(R1365="","",IF(Q1365="Y",1,IF(P1365&gt;='Read me'!$B$16,3,IF(AND(R1365&gt;='Read me'!$B$14,P1365&lt;='Read me'!$B$15),1,2))))</f>
        <v>1</v>
      </c>
    </row>
    <row r="1366" customFormat="false" ht="35.05" hidden="false" customHeight="false" outlineLevel="0" collapsed="false">
      <c r="A1366" s="11" t="s">
        <v>8332</v>
      </c>
      <c r="B1366" s="11" t="s">
        <v>43</v>
      </c>
      <c r="C1366" s="11" t="s">
        <v>310</v>
      </c>
      <c r="D1366" s="11" t="s">
        <v>311</v>
      </c>
      <c r="E1366" s="11" t="s">
        <v>1372</v>
      </c>
      <c r="F1366" s="11" t="s">
        <v>8333</v>
      </c>
      <c r="G1366" s="11" t="s">
        <v>8126</v>
      </c>
      <c r="H1366" s="11"/>
      <c r="I1366" s="11" t="s">
        <v>8334</v>
      </c>
      <c r="J1366" s="11" t="s">
        <v>8335</v>
      </c>
      <c r="K1366" s="11" t="s">
        <v>5836</v>
      </c>
      <c r="L1366" s="11" t="s">
        <v>8336</v>
      </c>
      <c r="M1366" s="11"/>
      <c r="N1366" s="14" t="n">
        <v>5</v>
      </c>
      <c r="O1366" s="14" t="n">
        <v>4</v>
      </c>
      <c r="P1366" s="14" t="n">
        <v>2</v>
      </c>
      <c r="Q1366" s="14"/>
      <c r="R1366" s="12" t="n">
        <f aca="false">IF(OR(N1366="",P1366=""),"",ROUND(N1366*O1366/P1366,1))</f>
        <v>10</v>
      </c>
      <c r="S1366" s="13" t="n">
        <f aca="false">IF(R1366="","",IF(Q1366="Y",1,IF(P1366&gt;='Read me'!$B$16,3,IF(AND(R1366&gt;='Read me'!$B$14,P1366&lt;='Read me'!$B$15),1,2))))</f>
        <v>1</v>
      </c>
    </row>
    <row r="1367" customFormat="false" ht="35.05" hidden="false" customHeight="false" outlineLevel="0" collapsed="false">
      <c r="A1367" s="11" t="s">
        <v>8337</v>
      </c>
      <c r="B1367" s="11" t="s">
        <v>43</v>
      </c>
      <c r="C1367" s="11" t="s">
        <v>310</v>
      </c>
      <c r="D1367" s="11" t="s">
        <v>311</v>
      </c>
      <c r="E1367" s="11" t="s">
        <v>1372</v>
      </c>
      <c r="F1367" s="11" t="s">
        <v>8338</v>
      </c>
      <c r="G1367" s="11" t="s">
        <v>8339</v>
      </c>
      <c r="H1367" s="11"/>
      <c r="I1367" s="11" t="s">
        <v>8340</v>
      </c>
      <c r="J1367" s="11" t="s">
        <v>8341</v>
      </c>
      <c r="K1367" s="11" t="s">
        <v>890</v>
      </c>
      <c r="L1367" s="11" t="s">
        <v>8342</v>
      </c>
      <c r="M1367" s="11" t="s">
        <v>8343</v>
      </c>
      <c r="N1367" s="14" t="n">
        <v>4</v>
      </c>
      <c r="O1367" s="14" t="n">
        <v>3</v>
      </c>
      <c r="P1367" s="14" t="n">
        <v>2</v>
      </c>
      <c r="Q1367" s="14"/>
      <c r="R1367" s="12" t="n">
        <f aca="false">IF(OR(N1367="",P1367=""),"",ROUND(N1367*O1367/P1367,1))</f>
        <v>6</v>
      </c>
      <c r="S1367" s="13" t="n">
        <f aca="false">IF(R1367="","",IF(Q1367="Y",1,IF(P1367&gt;='Read me'!$B$16,3,IF(AND(R1367&gt;='Read me'!$B$14,P1367&lt;='Read me'!$B$15),1,2))))</f>
        <v>1</v>
      </c>
    </row>
    <row r="1368" customFormat="false" ht="23.85" hidden="false" customHeight="false" outlineLevel="0" collapsed="false">
      <c r="A1368" s="11" t="s">
        <v>8344</v>
      </c>
      <c r="B1368" s="11" t="s">
        <v>43</v>
      </c>
      <c r="C1368" s="11" t="s">
        <v>310</v>
      </c>
      <c r="D1368" s="11" t="s">
        <v>311</v>
      </c>
      <c r="E1368" s="11" t="s">
        <v>1372</v>
      </c>
      <c r="F1368" s="11" t="s">
        <v>8345</v>
      </c>
      <c r="G1368" s="11" t="s">
        <v>8346</v>
      </c>
      <c r="H1368" s="11"/>
      <c r="I1368" s="11" t="s">
        <v>8347</v>
      </c>
      <c r="J1368" s="11" t="s">
        <v>8348</v>
      </c>
      <c r="K1368" s="11" t="s">
        <v>1356</v>
      </c>
      <c r="L1368" s="11" t="s">
        <v>8349</v>
      </c>
      <c r="M1368" s="11"/>
      <c r="N1368" s="14" t="n">
        <v>4</v>
      </c>
      <c r="O1368" s="14" t="n">
        <v>3</v>
      </c>
      <c r="P1368" s="14" t="n">
        <v>1</v>
      </c>
      <c r="Q1368" s="14"/>
      <c r="R1368" s="12" t="n">
        <f aca="false">IF(OR(N1368="",P1368=""),"",ROUND(N1368*O1368/P1368,1))</f>
        <v>12</v>
      </c>
      <c r="S1368" s="13" t="n">
        <f aca="false">IF(R1368="","",IF(Q1368="Y",1,IF(P1368&gt;='Read me'!$B$16,3,IF(AND(R1368&gt;='Read me'!$B$14,P1368&lt;='Read me'!$B$15),1,2))))</f>
        <v>1</v>
      </c>
    </row>
    <row r="1369" customFormat="false" ht="23.85" hidden="false" customHeight="false" outlineLevel="0" collapsed="false">
      <c r="A1369" s="11" t="s">
        <v>8350</v>
      </c>
      <c r="B1369" s="11" t="s">
        <v>43</v>
      </c>
      <c r="C1369" s="11" t="s">
        <v>310</v>
      </c>
      <c r="D1369" s="11" t="s">
        <v>311</v>
      </c>
      <c r="E1369" s="11" t="s">
        <v>1372</v>
      </c>
      <c r="F1369" s="11" t="s">
        <v>8351</v>
      </c>
      <c r="G1369" s="11"/>
      <c r="H1369" s="11"/>
      <c r="I1369" s="11" t="s">
        <v>8352</v>
      </c>
      <c r="J1369" s="11" t="s">
        <v>8353</v>
      </c>
      <c r="K1369" s="11" t="s">
        <v>8354</v>
      </c>
      <c r="L1369" s="11" t="s">
        <v>8355</v>
      </c>
      <c r="M1369" s="11"/>
      <c r="N1369" s="14" t="n">
        <v>3</v>
      </c>
      <c r="O1369" s="14" t="n">
        <v>2</v>
      </c>
      <c r="P1369" s="14" t="n">
        <v>1</v>
      </c>
      <c r="Q1369" s="14"/>
      <c r="R1369" s="12" t="n">
        <f aca="false">IF(OR(N1369="",P1369=""),"",ROUND(N1369*O1369/P1369,1))</f>
        <v>6</v>
      </c>
      <c r="S1369" s="13" t="n">
        <f aca="false">IF(R1369="","",IF(Q1369="Y",1,IF(P1369&gt;='Read me'!$B$16,3,IF(AND(R1369&gt;='Read me'!$B$14,P1369&lt;='Read me'!$B$15),1,2))))</f>
        <v>1</v>
      </c>
    </row>
    <row r="1370" customFormat="false" ht="23.85" hidden="false" customHeight="false" outlineLevel="0" collapsed="false">
      <c r="A1370" s="11" t="s">
        <v>8356</v>
      </c>
      <c r="B1370" s="11" t="s">
        <v>43</v>
      </c>
      <c r="C1370" s="11" t="s">
        <v>310</v>
      </c>
      <c r="D1370" s="11" t="s">
        <v>311</v>
      </c>
      <c r="E1370" s="11" t="s">
        <v>1372</v>
      </c>
      <c r="F1370" s="11" t="s">
        <v>8357</v>
      </c>
      <c r="G1370" s="11" t="s">
        <v>2133</v>
      </c>
      <c r="H1370" s="11"/>
      <c r="I1370" s="11" t="s">
        <v>8358</v>
      </c>
      <c r="J1370" s="11" t="s">
        <v>8359</v>
      </c>
      <c r="K1370" s="11" t="s">
        <v>8360</v>
      </c>
      <c r="L1370" s="11" t="s">
        <v>8349</v>
      </c>
      <c r="M1370" s="11"/>
      <c r="N1370" s="14" t="n">
        <v>3</v>
      </c>
      <c r="O1370" s="14" t="n">
        <v>2</v>
      </c>
      <c r="P1370" s="14" t="n">
        <v>1</v>
      </c>
      <c r="Q1370" s="14"/>
      <c r="R1370" s="12" t="n">
        <f aca="false">IF(OR(N1370="",P1370=""),"",ROUND(N1370*O1370/P1370,1))</f>
        <v>6</v>
      </c>
      <c r="S1370" s="13" t="n">
        <f aca="false">IF(R1370="","",IF(Q1370="Y",1,IF(P1370&gt;='Read me'!$B$16,3,IF(AND(R1370&gt;='Read me'!$B$14,P1370&lt;='Read me'!$B$15),1,2))))</f>
        <v>1</v>
      </c>
    </row>
    <row r="1371" customFormat="false" ht="23.85" hidden="false" customHeight="false" outlineLevel="0" collapsed="false">
      <c r="A1371" s="11" t="s">
        <v>8361</v>
      </c>
      <c r="B1371" s="11" t="s">
        <v>43</v>
      </c>
      <c r="C1371" s="11" t="s">
        <v>310</v>
      </c>
      <c r="D1371" s="11" t="s">
        <v>311</v>
      </c>
      <c r="E1371" s="11" t="s">
        <v>1372</v>
      </c>
      <c r="F1371" s="11" t="s">
        <v>8362</v>
      </c>
      <c r="G1371" s="11" t="s">
        <v>8363</v>
      </c>
      <c r="H1371" s="11"/>
      <c r="I1371" s="11" t="s">
        <v>8364</v>
      </c>
      <c r="J1371" s="11" t="s">
        <v>8365</v>
      </c>
      <c r="K1371" s="11" t="s">
        <v>8366</v>
      </c>
      <c r="L1371" s="11" t="s">
        <v>1410</v>
      </c>
      <c r="M1371" s="11"/>
      <c r="N1371" s="14" t="n">
        <v>2</v>
      </c>
      <c r="O1371" s="14" t="n">
        <v>2</v>
      </c>
      <c r="P1371" s="14" t="n">
        <v>1</v>
      </c>
      <c r="Q1371" s="14"/>
      <c r="R1371" s="12" t="n">
        <f aca="false">IF(OR(N1371="",P1371=""),"",ROUND(N1371*O1371/P1371,1))</f>
        <v>4</v>
      </c>
      <c r="S1371" s="13" t="n">
        <f aca="false">IF(R1371="","",IF(Q1371="Y",1,IF(P1371&gt;='Read me'!$B$16,3,IF(AND(R1371&gt;='Read me'!$B$14,P1371&lt;='Read me'!$B$15),1,2))))</f>
        <v>2</v>
      </c>
    </row>
    <row r="1372" customFormat="false" ht="23.85" hidden="false" customHeight="false" outlineLevel="0" collapsed="false">
      <c r="A1372" s="11" t="s">
        <v>8367</v>
      </c>
      <c r="B1372" s="11" t="s">
        <v>43</v>
      </c>
      <c r="C1372" s="11" t="s">
        <v>310</v>
      </c>
      <c r="D1372" s="11" t="s">
        <v>311</v>
      </c>
      <c r="E1372" s="11" t="s">
        <v>1372</v>
      </c>
      <c r="F1372" s="11" t="s">
        <v>8368</v>
      </c>
      <c r="G1372" s="11" t="s">
        <v>7408</v>
      </c>
      <c r="H1372" s="11"/>
      <c r="I1372" s="11" t="s">
        <v>8369</v>
      </c>
      <c r="J1372" s="11" t="s">
        <v>8370</v>
      </c>
      <c r="K1372" s="11" t="s">
        <v>7107</v>
      </c>
      <c r="L1372" s="11" t="s">
        <v>1410</v>
      </c>
      <c r="M1372" s="11"/>
      <c r="N1372" s="14" t="n">
        <v>2</v>
      </c>
      <c r="O1372" s="14" t="n">
        <v>2</v>
      </c>
      <c r="P1372" s="14" t="n">
        <v>1</v>
      </c>
      <c r="Q1372" s="14"/>
      <c r="R1372" s="12" t="n">
        <f aca="false">IF(OR(N1372="",P1372=""),"",ROUND(N1372*O1372/P1372,1))</f>
        <v>4</v>
      </c>
      <c r="S1372" s="13" t="n">
        <f aca="false">IF(R1372="","",IF(Q1372="Y",1,IF(P1372&gt;='Read me'!$B$16,3,IF(AND(R1372&gt;='Read me'!$B$14,P1372&lt;='Read me'!$B$15),1,2))))</f>
        <v>2</v>
      </c>
    </row>
    <row r="1373" customFormat="false" ht="23.85" hidden="false" customHeight="false" outlineLevel="0" collapsed="false">
      <c r="A1373" s="11" t="s">
        <v>8371</v>
      </c>
      <c r="B1373" s="11" t="s">
        <v>43</v>
      </c>
      <c r="C1373" s="11" t="s">
        <v>310</v>
      </c>
      <c r="D1373" s="11" t="s">
        <v>311</v>
      </c>
      <c r="E1373" s="11" t="s">
        <v>1372</v>
      </c>
      <c r="F1373" s="11" t="s">
        <v>8372</v>
      </c>
      <c r="G1373" s="11"/>
      <c r="H1373" s="11"/>
      <c r="I1373" s="11" t="s">
        <v>512</v>
      </c>
      <c r="J1373" s="11" t="s">
        <v>8373</v>
      </c>
      <c r="K1373" s="11" t="s">
        <v>8374</v>
      </c>
      <c r="L1373" s="11" t="s">
        <v>8375</v>
      </c>
      <c r="M1373" s="11"/>
      <c r="N1373" s="14" t="n">
        <v>3</v>
      </c>
      <c r="O1373" s="14" t="n">
        <v>3</v>
      </c>
      <c r="P1373" s="14" t="n">
        <v>1</v>
      </c>
      <c r="Q1373" s="14"/>
      <c r="R1373" s="12" t="n">
        <f aca="false">IF(OR(N1373="",P1373=""),"",ROUND(N1373*O1373/P1373,1))</f>
        <v>9</v>
      </c>
      <c r="S1373" s="13" t="n">
        <f aca="false">IF(R1373="","",IF(Q1373="Y",1,IF(P1373&gt;='Read me'!$B$16,3,IF(AND(R1373&gt;='Read me'!$B$14,P1373&lt;='Read me'!$B$15),1,2))))</f>
        <v>1</v>
      </c>
    </row>
    <row r="1374" customFormat="false" ht="35.05" hidden="false" customHeight="false" outlineLevel="0" collapsed="false">
      <c r="A1374" s="11" t="s">
        <v>8376</v>
      </c>
      <c r="B1374" s="11" t="s">
        <v>43</v>
      </c>
      <c r="C1374" s="11" t="s">
        <v>310</v>
      </c>
      <c r="D1374" s="11" t="s">
        <v>311</v>
      </c>
      <c r="E1374" s="11" t="s">
        <v>1372</v>
      </c>
      <c r="F1374" s="11" t="s">
        <v>8377</v>
      </c>
      <c r="G1374" s="11" t="s">
        <v>8378</v>
      </c>
      <c r="H1374" s="11"/>
      <c r="I1374" s="11" t="s">
        <v>8379</v>
      </c>
      <c r="J1374" s="11" t="s">
        <v>8380</v>
      </c>
      <c r="K1374" s="11" t="s">
        <v>3572</v>
      </c>
      <c r="L1374" s="11" t="s">
        <v>8381</v>
      </c>
      <c r="M1374" s="11"/>
      <c r="N1374" s="14" t="n">
        <v>2</v>
      </c>
      <c r="O1374" s="14" t="n">
        <v>4</v>
      </c>
      <c r="P1374" s="14" t="n">
        <v>4</v>
      </c>
      <c r="Q1374" s="14"/>
      <c r="R1374" s="12" t="n">
        <f aca="false">IF(OR(N1374="",P1374=""),"",ROUND(N1374*O1374/P1374,1))</f>
        <v>2</v>
      </c>
      <c r="S1374" s="13" t="n">
        <f aca="false">IF(R1374="","",IF(Q1374="Y",1,IF(P1374&gt;='Read me'!$B$16,3,IF(AND(R1374&gt;='Read me'!$B$14,P1374&lt;='Read me'!$B$15),1,2))))</f>
        <v>3</v>
      </c>
    </row>
    <row r="1375" customFormat="false" ht="23.85" hidden="false" customHeight="false" outlineLevel="0" collapsed="false">
      <c r="A1375" s="11" t="s">
        <v>8382</v>
      </c>
      <c r="B1375" s="11" t="s">
        <v>43</v>
      </c>
      <c r="C1375" s="11" t="s">
        <v>310</v>
      </c>
      <c r="D1375" s="11" t="s">
        <v>311</v>
      </c>
      <c r="E1375" s="11" t="s">
        <v>1372</v>
      </c>
      <c r="F1375" s="11" t="s">
        <v>8383</v>
      </c>
      <c r="G1375" s="11" t="s">
        <v>8384</v>
      </c>
      <c r="H1375" s="11"/>
      <c r="I1375" s="11" t="s">
        <v>8385</v>
      </c>
      <c r="J1375" s="11" t="s">
        <v>8386</v>
      </c>
      <c r="K1375" s="11" t="s">
        <v>916</v>
      </c>
      <c r="L1375" s="11" t="s">
        <v>8387</v>
      </c>
      <c r="M1375" s="11"/>
      <c r="N1375" s="14" t="n">
        <v>1</v>
      </c>
      <c r="O1375" s="14" t="n">
        <v>3</v>
      </c>
      <c r="P1375" s="14" t="n">
        <v>5</v>
      </c>
      <c r="Q1375" s="14"/>
      <c r="R1375" s="12" t="n">
        <f aca="false">IF(OR(N1375="",P1375=""),"",ROUND(N1375*O1375/P1375,1))</f>
        <v>0.6</v>
      </c>
      <c r="S1375" s="13" t="n">
        <f aca="false">IF(R1375="","",IF(Q1375="Y",1,IF(P1375&gt;='Read me'!$B$16,3,IF(AND(R1375&gt;='Read me'!$B$14,P1375&lt;='Read me'!$B$15),1,2))))</f>
        <v>3</v>
      </c>
    </row>
    <row r="1376" customFormat="false" ht="23.85" hidden="false" customHeight="false" outlineLevel="0" collapsed="false">
      <c r="A1376" s="11" t="s">
        <v>8388</v>
      </c>
      <c r="B1376" s="11" t="s">
        <v>43</v>
      </c>
      <c r="C1376" s="11" t="s">
        <v>310</v>
      </c>
      <c r="D1376" s="11" t="s">
        <v>311</v>
      </c>
      <c r="E1376" s="11" t="s">
        <v>1372</v>
      </c>
      <c r="F1376" s="11" t="s">
        <v>8389</v>
      </c>
      <c r="G1376" s="11"/>
      <c r="H1376" s="11"/>
      <c r="I1376" s="11" t="s">
        <v>8390</v>
      </c>
      <c r="J1376" s="11" t="s">
        <v>8391</v>
      </c>
      <c r="K1376" s="11" t="s">
        <v>1028</v>
      </c>
      <c r="L1376" s="11" t="s">
        <v>8392</v>
      </c>
      <c r="M1376" s="11" t="s">
        <v>8393</v>
      </c>
      <c r="N1376" s="14" t="n">
        <v>1</v>
      </c>
      <c r="O1376" s="14" t="n">
        <v>2</v>
      </c>
      <c r="P1376" s="14" t="n">
        <v>3</v>
      </c>
      <c r="Q1376" s="14"/>
      <c r="R1376" s="12" t="n">
        <f aca="false">IF(OR(N1376="",P1376=""),"",ROUND(N1376*O1376/P1376,1))</f>
        <v>0.7</v>
      </c>
      <c r="S1376" s="13" t="n">
        <f aca="false">IF(R1376="","",IF(Q1376="Y",1,IF(P1376&gt;='Read me'!$B$16,3,IF(AND(R1376&gt;='Read me'!$B$14,P1376&lt;='Read me'!$B$15),1,2))))</f>
        <v>2</v>
      </c>
    </row>
    <row r="1377" customFormat="false" ht="35.05" hidden="false" customHeight="false" outlineLevel="0" collapsed="false">
      <c r="A1377" s="11" t="s">
        <v>8394</v>
      </c>
      <c r="B1377" s="11" t="s">
        <v>43</v>
      </c>
      <c r="C1377" s="11" t="s">
        <v>314</v>
      </c>
      <c r="D1377" s="11" t="s">
        <v>315</v>
      </c>
      <c r="E1377" s="11" t="s">
        <v>751</v>
      </c>
      <c r="F1377" s="11" t="s">
        <v>8395</v>
      </c>
      <c r="G1377" s="11" t="s">
        <v>8396</v>
      </c>
      <c r="H1377" s="11"/>
      <c r="I1377" s="11" t="s">
        <v>8397</v>
      </c>
      <c r="J1377" s="11" t="s">
        <v>8398</v>
      </c>
      <c r="K1377" s="11" t="s">
        <v>792</v>
      </c>
      <c r="L1377" s="11" t="s">
        <v>8399</v>
      </c>
      <c r="M1377" s="11" t="s">
        <v>1577</v>
      </c>
      <c r="N1377" s="14" t="n">
        <v>2</v>
      </c>
      <c r="O1377" s="14" t="n">
        <v>3</v>
      </c>
      <c r="P1377" s="14" t="n">
        <v>2</v>
      </c>
      <c r="Q1377" s="14"/>
      <c r="R1377" s="12" t="n">
        <f aca="false">IF(OR(N1377="",P1377=""),"",ROUND(N1377*O1377/P1377,1))</f>
        <v>3</v>
      </c>
      <c r="S1377" s="13" t="n">
        <f aca="false">IF(R1377="","",IF(Q1377="Y",1,IF(P1377&gt;='Read me'!$B$16,3,IF(AND(R1377&gt;='Read me'!$B$14,P1377&lt;='Read me'!$B$15),1,2))))</f>
        <v>2</v>
      </c>
    </row>
    <row r="1378" customFormat="false" ht="35.05" hidden="false" customHeight="false" outlineLevel="0" collapsed="false">
      <c r="A1378" s="11" t="s">
        <v>8400</v>
      </c>
      <c r="B1378" s="11" t="s">
        <v>43</v>
      </c>
      <c r="C1378" s="11" t="s">
        <v>314</v>
      </c>
      <c r="D1378" s="11" t="s">
        <v>315</v>
      </c>
      <c r="E1378" s="11" t="s">
        <v>765</v>
      </c>
      <c r="F1378" s="11" t="s">
        <v>5828</v>
      </c>
      <c r="G1378" s="11" t="s">
        <v>8396</v>
      </c>
      <c r="H1378" s="11"/>
      <c r="I1378" s="11" t="s">
        <v>512</v>
      </c>
      <c r="J1378" s="11" t="s">
        <v>8401</v>
      </c>
      <c r="K1378" s="11" t="s">
        <v>8402</v>
      </c>
      <c r="L1378" s="11" t="s">
        <v>8403</v>
      </c>
      <c r="M1378" s="11" t="s">
        <v>8109</v>
      </c>
      <c r="N1378" s="14" t="n">
        <v>4</v>
      </c>
      <c r="O1378" s="14" t="n">
        <v>5</v>
      </c>
      <c r="P1378" s="14" t="n">
        <v>2</v>
      </c>
      <c r="Q1378" s="14"/>
      <c r="R1378" s="12" t="n">
        <f aca="false">IF(OR(N1378="",P1378=""),"",ROUND(N1378*O1378/P1378,1))</f>
        <v>10</v>
      </c>
      <c r="S1378" s="13" t="n">
        <f aca="false">IF(R1378="","",IF(Q1378="Y",1,IF(P1378&gt;='Read me'!$B$16,3,IF(AND(R1378&gt;='Read me'!$B$14,P1378&lt;='Read me'!$B$15),1,2))))</f>
        <v>1</v>
      </c>
    </row>
    <row r="1379" customFormat="false" ht="35.05" hidden="false" customHeight="false" outlineLevel="0" collapsed="false">
      <c r="A1379" s="11" t="s">
        <v>8404</v>
      </c>
      <c r="B1379" s="11" t="s">
        <v>43</v>
      </c>
      <c r="C1379" s="11" t="s">
        <v>314</v>
      </c>
      <c r="D1379" s="11" t="s">
        <v>315</v>
      </c>
      <c r="E1379" s="11" t="s">
        <v>765</v>
      </c>
      <c r="F1379" s="11" t="s">
        <v>8405</v>
      </c>
      <c r="G1379" s="11" t="s">
        <v>8406</v>
      </c>
      <c r="H1379" s="11"/>
      <c r="I1379" s="11" t="s">
        <v>512</v>
      </c>
      <c r="J1379" s="11" t="s">
        <v>8407</v>
      </c>
      <c r="K1379" s="11" t="s">
        <v>8374</v>
      </c>
      <c r="L1379" s="11" t="s">
        <v>8408</v>
      </c>
      <c r="M1379" s="11"/>
      <c r="N1379" s="14" t="n">
        <v>3</v>
      </c>
      <c r="O1379" s="14" t="n">
        <v>4</v>
      </c>
      <c r="P1379" s="14" t="n">
        <v>2</v>
      </c>
      <c r="Q1379" s="14"/>
      <c r="R1379" s="12" t="n">
        <f aca="false">IF(OR(N1379="",P1379=""),"",ROUND(N1379*O1379/P1379,1))</f>
        <v>6</v>
      </c>
      <c r="S1379" s="13" t="n">
        <f aca="false">IF(R1379="","",IF(Q1379="Y",1,IF(P1379&gt;='Read me'!$B$16,3,IF(AND(R1379&gt;='Read me'!$B$14,P1379&lt;='Read me'!$B$15),1,2))))</f>
        <v>1</v>
      </c>
    </row>
    <row r="1380" customFormat="false" ht="23.85" hidden="false" customHeight="false" outlineLevel="0" collapsed="false">
      <c r="A1380" s="11" t="s">
        <v>8409</v>
      </c>
      <c r="B1380" s="11" t="s">
        <v>43</v>
      </c>
      <c r="C1380" s="11" t="s">
        <v>314</v>
      </c>
      <c r="D1380" s="11" t="s">
        <v>315</v>
      </c>
      <c r="E1380" s="11" t="s">
        <v>765</v>
      </c>
      <c r="F1380" s="11" t="s">
        <v>8410</v>
      </c>
      <c r="G1380" s="11" t="s">
        <v>8411</v>
      </c>
      <c r="H1380" s="11" t="s">
        <v>8412</v>
      </c>
      <c r="I1380" s="11" t="s">
        <v>512</v>
      </c>
      <c r="J1380" s="11" t="s">
        <v>8413</v>
      </c>
      <c r="K1380" s="11" t="s">
        <v>8414</v>
      </c>
      <c r="L1380" s="11" t="s">
        <v>8415</v>
      </c>
      <c r="M1380" s="11"/>
      <c r="N1380" s="14" t="n">
        <v>2</v>
      </c>
      <c r="O1380" s="14" t="n">
        <v>4</v>
      </c>
      <c r="P1380" s="14" t="n">
        <v>2</v>
      </c>
      <c r="Q1380" s="14"/>
      <c r="R1380" s="12" t="n">
        <f aca="false">IF(OR(N1380="",P1380=""),"",ROUND(N1380*O1380/P1380,1))</f>
        <v>4</v>
      </c>
      <c r="S1380" s="13" t="n">
        <f aca="false">IF(R1380="","",IF(Q1380="Y",1,IF(P1380&gt;='Read me'!$B$16,3,IF(AND(R1380&gt;='Read me'!$B$14,P1380&lt;='Read me'!$B$15),1,2))))</f>
        <v>2</v>
      </c>
    </row>
    <row r="1381" customFormat="false" ht="23.85" hidden="false" customHeight="false" outlineLevel="0" collapsed="false">
      <c r="A1381" s="11" t="s">
        <v>8416</v>
      </c>
      <c r="B1381" s="11" t="s">
        <v>43</v>
      </c>
      <c r="C1381" s="11" t="s">
        <v>314</v>
      </c>
      <c r="D1381" s="11" t="s">
        <v>315</v>
      </c>
      <c r="E1381" s="11" t="s">
        <v>765</v>
      </c>
      <c r="F1381" s="11" t="s">
        <v>8417</v>
      </c>
      <c r="G1381" s="11"/>
      <c r="H1381" s="11" t="s">
        <v>8418</v>
      </c>
      <c r="I1381" s="11" t="s">
        <v>512</v>
      </c>
      <c r="J1381" s="11" t="s">
        <v>8419</v>
      </c>
      <c r="K1381" s="11" t="s">
        <v>8169</v>
      </c>
      <c r="L1381" s="11" t="s">
        <v>8170</v>
      </c>
      <c r="M1381" s="11"/>
      <c r="N1381" s="14" t="n">
        <v>2</v>
      </c>
      <c r="O1381" s="14" t="n">
        <v>4</v>
      </c>
      <c r="P1381" s="14" t="n">
        <v>3</v>
      </c>
      <c r="Q1381" s="14"/>
      <c r="R1381" s="12" t="n">
        <f aca="false">IF(OR(N1381="",P1381=""),"",ROUND(N1381*O1381/P1381,1))</f>
        <v>2.7</v>
      </c>
      <c r="S1381" s="13" t="n">
        <f aca="false">IF(R1381="","",IF(Q1381="Y",1,IF(P1381&gt;='Read me'!$B$16,3,IF(AND(R1381&gt;='Read me'!$B$14,P1381&lt;='Read me'!$B$15),1,2))))</f>
        <v>2</v>
      </c>
    </row>
    <row r="1382" customFormat="false" ht="23.85" hidden="false" customHeight="false" outlineLevel="0" collapsed="false">
      <c r="A1382" s="11" t="s">
        <v>8420</v>
      </c>
      <c r="B1382" s="11" t="s">
        <v>43</v>
      </c>
      <c r="C1382" s="11" t="s">
        <v>314</v>
      </c>
      <c r="D1382" s="11" t="s">
        <v>315</v>
      </c>
      <c r="E1382" s="11" t="s">
        <v>1187</v>
      </c>
      <c r="F1382" s="11" t="s">
        <v>8421</v>
      </c>
      <c r="G1382" s="11"/>
      <c r="H1382" s="11" t="s">
        <v>5934</v>
      </c>
      <c r="I1382" s="11" t="s">
        <v>8422</v>
      </c>
      <c r="J1382" s="11" t="s">
        <v>8423</v>
      </c>
      <c r="K1382" s="11" t="s">
        <v>2768</v>
      </c>
      <c r="L1382" s="11" t="s">
        <v>8424</v>
      </c>
      <c r="M1382" s="11"/>
      <c r="N1382" s="14" t="n">
        <v>2</v>
      </c>
      <c r="O1382" s="14" t="n">
        <v>4</v>
      </c>
      <c r="P1382" s="14" t="n">
        <v>3</v>
      </c>
      <c r="Q1382" s="14"/>
      <c r="R1382" s="12" t="n">
        <f aca="false">IF(OR(N1382="",P1382=""),"",ROUND(N1382*O1382/P1382,1))</f>
        <v>2.7</v>
      </c>
      <c r="S1382" s="13" t="n">
        <f aca="false">IF(R1382="","",IF(Q1382="Y",1,IF(P1382&gt;='Read me'!$B$16,3,IF(AND(R1382&gt;='Read me'!$B$14,P1382&lt;='Read me'!$B$15),1,2))))</f>
        <v>2</v>
      </c>
    </row>
    <row r="1383" customFormat="false" ht="35.05" hidden="false" customHeight="false" outlineLevel="0" collapsed="false">
      <c r="A1383" s="11" t="s">
        <v>8425</v>
      </c>
      <c r="B1383" s="11" t="s">
        <v>43</v>
      </c>
      <c r="C1383" s="11" t="s">
        <v>314</v>
      </c>
      <c r="D1383" s="11" t="s">
        <v>315</v>
      </c>
      <c r="E1383" s="11" t="s">
        <v>1187</v>
      </c>
      <c r="F1383" s="11" t="s">
        <v>8426</v>
      </c>
      <c r="G1383" s="11"/>
      <c r="H1383" s="11" t="s">
        <v>8427</v>
      </c>
      <c r="I1383" s="11" t="s">
        <v>8428</v>
      </c>
      <c r="J1383" s="11" t="s">
        <v>8429</v>
      </c>
      <c r="K1383" s="11" t="s">
        <v>3572</v>
      </c>
      <c r="L1383" s="11" t="s">
        <v>8430</v>
      </c>
      <c r="M1383" s="11" t="s">
        <v>8201</v>
      </c>
      <c r="N1383" s="14" t="n">
        <v>3</v>
      </c>
      <c r="O1383" s="14" t="n">
        <v>4</v>
      </c>
      <c r="P1383" s="14" t="n">
        <v>5</v>
      </c>
      <c r="Q1383" s="14"/>
      <c r="R1383" s="12" t="n">
        <f aca="false">IF(OR(N1383="",P1383=""),"",ROUND(N1383*O1383/P1383,1))</f>
        <v>2.4</v>
      </c>
      <c r="S1383" s="13" t="n">
        <f aca="false">IF(R1383="","",IF(Q1383="Y",1,IF(P1383&gt;='Read me'!$B$16,3,IF(AND(R1383&gt;='Read me'!$B$14,P1383&lt;='Read me'!$B$15),1,2))))</f>
        <v>3</v>
      </c>
    </row>
    <row r="1384" customFormat="false" ht="23.85" hidden="false" customHeight="false" outlineLevel="0" collapsed="false">
      <c r="A1384" s="11" t="s">
        <v>8431</v>
      </c>
      <c r="B1384" s="11" t="s">
        <v>43</v>
      </c>
      <c r="C1384" s="11" t="s">
        <v>314</v>
      </c>
      <c r="D1384" s="11" t="s">
        <v>315</v>
      </c>
      <c r="E1384" s="11" t="s">
        <v>1187</v>
      </c>
      <c r="F1384" s="11" t="s">
        <v>8432</v>
      </c>
      <c r="G1384" s="11" t="s">
        <v>8433</v>
      </c>
      <c r="H1384" s="11" t="s">
        <v>8434</v>
      </c>
      <c r="I1384" s="11" t="s">
        <v>8435</v>
      </c>
      <c r="J1384" s="11" t="s">
        <v>8436</v>
      </c>
      <c r="K1384" s="11" t="s">
        <v>8437</v>
      </c>
      <c r="L1384" s="11" t="s">
        <v>8438</v>
      </c>
      <c r="M1384" s="11"/>
      <c r="N1384" s="14" t="n">
        <v>2</v>
      </c>
      <c r="O1384" s="14" t="n">
        <v>4</v>
      </c>
      <c r="P1384" s="14" t="n">
        <v>3</v>
      </c>
      <c r="Q1384" s="14"/>
      <c r="R1384" s="12" t="n">
        <f aca="false">IF(OR(N1384="",P1384=""),"",ROUND(N1384*O1384/P1384,1))</f>
        <v>2.7</v>
      </c>
      <c r="S1384" s="13" t="n">
        <f aca="false">IF(R1384="","",IF(Q1384="Y",1,IF(P1384&gt;='Read me'!$B$16,3,IF(AND(R1384&gt;='Read me'!$B$14,P1384&lt;='Read me'!$B$15),1,2))))</f>
        <v>2</v>
      </c>
    </row>
    <row r="1385" customFormat="false" ht="23.85" hidden="false" customHeight="false" outlineLevel="0" collapsed="false">
      <c r="A1385" s="11" t="s">
        <v>8439</v>
      </c>
      <c r="B1385" s="11" t="s">
        <v>43</v>
      </c>
      <c r="C1385" s="11" t="s">
        <v>314</v>
      </c>
      <c r="D1385" s="11" t="s">
        <v>315</v>
      </c>
      <c r="E1385" s="11" t="s">
        <v>1187</v>
      </c>
      <c r="F1385" s="11" t="s">
        <v>8440</v>
      </c>
      <c r="G1385" s="11" t="s">
        <v>1148</v>
      </c>
      <c r="H1385" s="11" t="s">
        <v>5934</v>
      </c>
      <c r="I1385" s="11" t="s">
        <v>8441</v>
      </c>
      <c r="J1385" s="11" t="s">
        <v>8442</v>
      </c>
      <c r="K1385" s="11" t="s">
        <v>1151</v>
      </c>
      <c r="L1385" s="11" t="s">
        <v>8443</v>
      </c>
      <c r="M1385" s="11" t="s">
        <v>1153</v>
      </c>
      <c r="N1385" s="14" t="n">
        <v>1</v>
      </c>
      <c r="O1385" s="14" t="n">
        <v>3</v>
      </c>
      <c r="P1385" s="14" t="n">
        <v>4</v>
      </c>
      <c r="Q1385" s="14"/>
      <c r="R1385" s="12" t="n">
        <f aca="false">IF(OR(N1385="",P1385=""),"",ROUND(N1385*O1385/P1385,1))</f>
        <v>0.8</v>
      </c>
      <c r="S1385" s="13" t="n">
        <f aca="false">IF(R1385="","",IF(Q1385="Y",1,IF(P1385&gt;='Read me'!$B$16,3,IF(AND(R1385&gt;='Read me'!$B$14,P1385&lt;='Read me'!$B$15),1,2))))</f>
        <v>3</v>
      </c>
    </row>
    <row r="1386" customFormat="false" ht="23.85" hidden="false" customHeight="false" outlineLevel="0" collapsed="false">
      <c r="A1386" s="11" t="s">
        <v>8444</v>
      </c>
      <c r="B1386" s="11" t="s">
        <v>43</v>
      </c>
      <c r="C1386" s="11" t="s">
        <v>314</v>
      </c>
      <c r="D1386" s="11" t="s">
        <v>315</v>
      </c>
      <c r="E1386" s="11" t="s">
        <v>1372</v>
      </c>
      <c r="F1386" s="11" t="s">
        <v>8445</v>
      </c>
      <c r="G1386" s="11"/>
      <c r="H1386" s="11"/>
      <c r="I1386" s="11" t="s">
        <v>8446</v>
      </c>
      <c r="J1386" s="11" t="s">
        <v>8447</v>
      </c>
      <c r="K1386" s="11" t="s">
        <v>8448</v>
      </c>
      <c r="L1386" s="11" t="s">
        <v>8449</v>
      </c>
      <c r="M1386" s="11" t="s">
        <v>8450</v>
      </c>
      <c r="N1386" s="14" t="n">
        <v>4</v>
      </c>
      <c r="O1386" s="14" t="n">
        <v>4</v>
      </c>
      <c r="P1386" s="14" t="n">
        <v>2</v>
      </c>
      <c r="Q1386" s="14"/>
      <c r="R1386" s="12" t="n">
        <f aca="false">IF(OR(N1386="",P1386=""),"",ROUND(N1386*O1386/P1386,1))</f>
        <v>8</v>
      </c>
      <c r="S1386" s="13" t="n">
        <f aca="false">IF(R1386="","",IF(Q1386="Y",1,IF(P1386&gt;='Read me'!$B$16,3,IF(AND(R1386&gt;='Read me'!$B$14,P1386&lt;='Read me'!$B$15),1,2))))</f>
        <v>1</v>
      </c>
    </row>
    <row r="1387" customFormat="false" ht="23.85" hidden="false" customHeight="false" outlineLevel="0" collapsed="false">
      <c r="A1387" s="11" t="s">
        <v>8451</v>
      </c>
      <c r="B1387" s="11" t="s">
        <v>43</v>
      </c>
      <c r="C1387" s="11" t="s">
        <v>314</v>
      </c>
      <c r="D1387" s="11" t="s">
        <v>315</v>
      </c>
      <c r="E1387" s="11" t="s">
        <v>1372</v>
      </c>
      <c r="F1387" s="11" t="s">
        <v>8452</v>
      </c>
      <c r="G1387" s="11"/>
      <c r="H1387" s="11"/>
      <c r="I1387" s="11" t="s">
        <v>8453</v>
      </c>
      <c r="J1387" s="11" t="s">
        <v>8454</v>
      </c>
      <c r="K1387" s="11" t="s">
        <v>7353</v>
      </c>
      <c r="L1387" s="11" t="s">
        <v>8455</v>
      </c>
      <c r="M1387" s="11"/>
      <c r="N1387" s="14" t="n">
        <v>3</v>
      </c>
      <c r="O1387" s="14" t="n">
        <v>4</v>
      </c>
      <c r="P1387" s="14" t="n">
        <v>2</v>
      </c>
      <c r="Q1387" s="14"/>
      <c r="R1387" s="12" t="n">
        <f aca="false">IF(OR(N1387="",P1387=""),"",ROUND(N1387*O1387/P1387,1))</f>
        <v>6</v>
      </c>
      <c r="S1387" s="13" t="n">
        <f aca="false">IF(R1387="","",IF(Q1387="Y",1,IF(P1387&gt;='Read me'!$B$16,3,IF(AND(R1387&gt;='Read me'!$B$14,P1387&lt;='Read me'!$B$15),1,2))))</f>
        <v>1</v>
      </c>
    </row>
    <row r="1388" customFormat="false" ht="23.85" hidden="false" customHeight="false" outlineLevel="0" collapsed="false">
      <c r="A1388" s="11" t="s">
        <v>8456</v>
      </c>
      <c r="B1388" s="11" t="s">
        <v>43</v>
      </c>
      <c r="C1388" s="11" t="s">
        <v>314</v>
      </c>
      <c r="D1388" s="11" t="s">
        <v>315</v>
      </c>
      <c r="E1388" s="11" t="s">
        <v>1372</v>
      </c>
      <c r="F1388" s="11" t="s">
        <v>8457</v>
      </c>
      <c r="G1388" s="11" t="s">
        <v>8458</v>
      </c>
      <c r="H1388" s="11"/>
      <c r="I1388" s="11" t="s">
        <v>8459</v>
      </c>
      <c r="J1388" s="11" t="s">
        <v>8460</v>
      </c>
      <c r="K1388" s="11" t="s">
        <v>1402</v>
      </c>
      <c r="L1388" s="11" t="s">
        <v>8461</v>
      </c>
      <c r="M1388" s="11"/>
      <c r="N1388" s="14" t="n">
        <v>3</v>
      </c>
      <c r="O1388" s="14" t="n">
        <v>3</v>
      </c>
      <c r="P1388" s="14" t="n">
        <v>1</v>
      </c>
      <c r="Q1388" s="14"/>
      <c r="R1388" s="12" t="n">
        <f aca="false">IF(OR(N1388="",P1388=""),"",ROUND(N1388*O1388/P1388,1))</f>
        <v>9</v>
      </c>
      <c r="S1388" s="13" t="n">
        <f aca="false">IF(R1388="","",IF(Q1388="Y",1,IF(P1388&gt;='Read me'!$B$16,3,IF(AND(R1388&gt;='Read me'!$B$14,P1388&lt;='Read me'!$B$15),1,2))))</f>
        <v>1</v>
      </c>
    </row>
    <row r="1389" customFormat="false" ht="23.85" hidden="false" customHeight="false" outlineLevel="0" collapsed="false">
      <c r="A1389" s="11" t="s">
        <v>8462</v>
      </c>
      <c r="B1389" s="11" t="s">
        <v>43</v>
      </c>
      <c r="C1389" s="11" t="s">
        <v>314</v>
      </c>
      <c r="D1389" s="11" t="s">
        <v>315</v>
      </c>
      <c r="E1389" s="11" t="s">
        <v>1372</v>
      </c>
      <c r="F1389" s="11" t="s">
        <v>8463</v>
      </c>
      <c r="G1389" s="11" t="s">
        <v>8464</v>
      </c>
      <c r="H1389" s="11"/>
      <c r="I1389" s="11" t="s">
        <v>8465</v>
      </c>
      <c r="J1389" s="11" t="s">
        <v>8466</v>
      </c>
      <c r="K1389" s="11" t="s">
        <v>8467</v>
      </c>
      <c r="L1389" s="11" t="s">
        <v>8468</v>
      </c>
      <c r="M1389" s="11" t="s">
        <v>8469</v>
      </c>
      <c r="N1389" s="14" t="n">
        <v>3</v>
      </c>
      <c r="O1389" s="14" t="n">
        <v>4</v>
      </c>
      <c r="P1389" s="14" t="n">
        <v>2</v>
      </c>
      <c r="Q1389" s="14"/>
      <c r="R1389" s="12" t="n">
        <f aca="false">IF(OR(N1389="",P1389=""),"",ROUND(N1389*O1389/P1389,1))</f>
        <v>6</v>
      </c>
      <c r="S1389" s="13" t="n">
        <f aca="false">IF(R1389="","",IF(Q1389="Y",1,IF(P1389&gt;='Read me'!$B$16,3,IF(AND(R1389&gt;='Read me'!$B$14,P1389&lt;='Read me'!$B$15),1,2))))</f>
        <v>1</v>
      </c>
    </row>
    <row r="1390" customFormat="false" ht="23.85" hidden="false" customHeight="false" outlineLevel="0" collapsed="false">
      <c r="A1390" s="11" t="s">
        <v>8470</v>
      </c>
      <c r="B1390" s="11" t="s">
        <v>43</v>
      </c>
      <c r="C1390" s="11" t="s">
        <v>314</v>
      </c>
      <c r="D1390" s="11" t="s">
        <v>315</v>
      </c>
      <c r="E1390" s="11" t="s">
        <v>1372</v>
      </c>
      <c r="F1390" s="11" t="s">
        <v>8471</v>
      </c>
      <c r="G1390" s="11" t="s">
        <v>8472</v>
      </c>
      <c r="H1390" s="11"/>
      <c r="I1390" s="11" t="s">
        <v>8473</v>
      </c>
      <c r="J1390" s="11" t="s">
        <v>8474</v>
      </c>
      <c r="K1390" s="11" t="s">
        <v>8475</v>
      </c>
      <c r="L1390" s="11" t="s">
        <v>8461</v>
      </c>
      <c r="M1390" s="11"/>
      <c r="N1390" s="14" t="n">
        <v>2</v>
      </c>
      <c r="O1390" s="14" t="n">
        <v>3</v>
      </c>
      <c r="P1390" s="14" t="n">
        <v>1</v>
      </c>
      <c r="Q1390" s="14"/>
      <c r="R1390" s="12" t="n">
        <f aca="false">IF(OR(N1390="",P1390=""),"",ROUND(N1390*O1390/P1390,1))</f>
        <v>6</v>
      </c>
      <c r="S1390" s="13" t="n">
        <f aca="false">IF(R1390="","",IF(Q1390="Y",1,IF(P1390&gt;='Read me'!$B$16,3,IF(AND(R1390&gt;='Read me'!$B$14,P1390&lt;='Read me'!$B$15),1,2))))</f>
        <v>1</v>
      </c>
    </row>
    <row r="1391" customFormat="false" ht="23.85" hidden="false" customHeight="false" outlineLevel="0" collapsed="false">
      <c r="A1391" s="11" t="s">
        <v>8476</v>
      </c>
      <c r="B1391" s="11" t="s">
        <v>43</v>
      </c>
      <c r="C1391" s="11" t="s">
        <v>317</v>
      </c>
      <c r="D1391" s="11" t="s">
        <v>318</v>
      </c>
      <c r="E1391" s="11" t="s">
        <v>626</v>
      </c>
      <c r="F1391" s="11" t="s">
        <v>8477</v>
      </c>
      <c r="G1391" s="11"/>
      <c r="H1391" s="11"/>
      <c r="I1391" s="11" t="s">
        <v>8478</v>
      </c>
      <c r="J1391" s="11" t="s">
        <v>8479</v>
      </c>
      <c r="K1391" s="11" t="s">
        <v>5836</v>
      </c>
      <c r="L1391" s="11" t="s">
        <v>8480</v>
      </c>
      <c r="M1391" s="11"/>
      <c r="N1391" s="14" t="n">
        <v>2</v>
      </c>
      <c r="O1391" s="14" t="n">
        <v>3</v>
      </c>
      <c r="P1391" s="14" t="n">
        <v>2</v>
      </c>
      <c r="Q1391" s="14"/>
      <c r="R1391" s="12" t="n">
        <f aca="false">IF(OR(N1391="",P1391=""),"",ROUND(N1391*O1391/P1391,1))</f>
        <v>3</v>
      </c>
      <c r="S1391" s="13" t="n">
        <f aca="false">IF(R1391="","",IF(Q1391="Y",1,IF(P1391&gt;='Read me'!$B$16,3,IF(AND(R1391&gt;='Read me'!$B$14,P1391&lt;='Read me'!$B$15),1,2))))</f>
        <v>2</v>
      </c>
    </row>
    <row r="1392" customFormat="false" ht="23.85" hidden="false" customHeight="false" outlineLevel="0" collapsed="false">
      <c r="A1392" s="11" t="s">
        <v>8481</v>
      </c>
      <c r="B1392" s="11" t="s">
        <v>43</v>
      </c>
      <c r="C1392" s="11" t="s">
        <v>317</v>
      </c>
      <c r="D1392" s="11" t="s">
        <v>318</v>
      </c>
      <c r="E1392" s="11" t="s">
        <v>751</v>
      </c>
      <c r="F1392" s="11" t="s">
        <v>8482</v>
      </c>
      <c r="G1392" s="11" t="s">
        <v>8483</v>
      </c>
      <c r="H1392" s="11"/>
      <c r="I1392" s="11" t="s">
        <v>8484</v>
      </c>
      <c r="J1392" s="11" t="s">
        <v>8485</v>
      </c>
      <c r="K1392" s="11" t="s">
        <v>4777</v>
      </c>
      <c r="L1392" s="11" t="s">
        <v>8486</v>
      </c>
      <c r="M1392" s="11" t="s">
        <v>1577</v>
      </c>
      <c r="N1392" s="14" t="n">
        <v>3</v>
      </c>
      <c r="O1392" s="14" t="n">
        <v>3</v>
      </c>
      <c r="P1392" s="14" t="n">
        <v>3</v>
      </c>
      <c r="Q1392" s="14"/>
      <c r="R1392" s="12" t="n">
        <f aca="false">IF(OR(N1392="",P1392=""),"",ROUND(N1392*O1392/P1392,1))</f>
        <v>3</v>
      </c>
      <c r="S1392" s="13" t="n">
        <f aca="false">IF(R1392="","",IF(Q1392="Y",1,IF(P1392&gt;='Read me'!$B$16,3,IF(AND(R1392&gt;='Read me'!$B$14,P1392&lt;='Read me'!$B$15),1,2))))</f>
        <v>2</v>
      </c>
    </row>
    <row r="1393" customFormat="false" ht="35.05" hidden="false" customHeight="false" outlineLevel="0" collapsed="false">
      <c r="A1393" s="11" t="s">
        <v>8487</v>
      </c>
      <c r="B1393" s="11" t="s">
        <v>43</v>
      </c>
      <c r="C1393" s="11" t="s">
        <v>317</v>
      </c>
      <c r="D1393" s="11" t="s">
        <v>318</v>
      </c>
      <c r="E1393" s="11" t="s">
        <v>751</v>
      </c>
      <c r="F1393" s="11" t="s">
        <v>8488</v>
      </c>
      <c r="G1393" s="11" t="s">
        <v>8489</v>
      </c>
      <c r="H1393" s="11"/>
      <c r="I1393" s="11" t="s">
        <v>8490</v>
      </c>
      <c r="J1393" s="11" t="s">
        <v>8491</v>
      </c>
      <c r="K1393" s="11" t="s">
        <v>8492</v>
      </c>
      <c r="L1393" s="11" t="s">
        <v>8493</v>
      </c>
      <c r="M1393" s="11" t="s">
        <v>1577</v>
      </c>
      <c r="N1393" s="14" t="n">
        <v>2</v>
      </c>
      <c r="O1393" s="14" t="n">
        <v>3</v>
      </c>
      <c r="P1393" s="14" t="n">
        <v>4</v>
      </c>
      <c r="Q1393" s="14"/>
      <c r="R1393" s="12" t="n">
        <f aca="false">IF(OR(N1393="",P1393=""),"",ROUND(N1393*O1393/P1393,1))</f>
        <v>1.5</v>
      </c>
      <c r="S1393" s="13" t="n">
        <f aca="false">IF(R1393="","",IF(Q1393="Y",1,IF(P1393&gt;='Read me'!$B$16,3,IF(AND(R1393&gt;='Read me'!$B$14,P1393&lt;='Read me'!$B$15),1,2))))</f>
        <v>3</v>
      </c>
    </row>
    <row r="1394" customFormat="false" ht="23.85" hidden="false" customHeight="false" outlineLevel="0" collapsed="false">
      <c r="A1394" s="11" t="s">
        <v>8494</v>
      </c>
      <c r="B1394" s="11" t="s">
        <v>43</v>
      </c>
      <c r="C1394" s="11" t="s">
        <v>317</v>
      </c>
      <c r="D1394" s="11" t="s">
        <v>318</v>
      </c>
      <c r="E1394" s="11" t="s">
        <v>751</v>
      </c>
      <c r="F1394" s="11" t="s">
        <v>8495</v>
      </c>
      <c r="G1394" s="11" t="s">
        <v>8496</v>
      </c>
      <c r="H1394" s="11"/>
      <c r="I1394" s="11" t="s">
        <v>8497</v>
      </c>
      <c r="J1394" s="11" t="s">
        <v>8498</v>
      </c>
      <c r="K1394" s="11" t="s">
        <v>8499</v>
      </c>
      <c r="L1394" s="11" t="s">
        <v>8500</v>
      </c>
      <c r="M1394" s="11" t="s">
        <v>1577</v>
      </c>
      <c r="N1394" s="14" t="n">
        <v>2</v>
      </c>
      <c r="O1394" s="14" t="n">
        <v>3</v>
      </c>
      <c r="P1394" s="14" t="n">
        <v>3</v>
      </c>
      <c r="Q1394" s="14"/>
      <c r="R1394" s="12" t="n">
        <f aca="false">IF(OR(N1394="",P1394=""),"",ROUND(N1394*O1394/P1394,1))</f>
        <v>2</v>
      </c>
      <c r="S1394" s="13" t="n">
        <f aca="false">IF(R1394="","",IF(Q1394="Y",1,IF(P1394&gt;='Read me'!$B$16,3,IF(AND(R1394&gt;='Read me'!$B$14,P1394&lt;='Read me'!$B$15),1,2))))</f>
        <v>2</v>
      </c>
    </row>
    <row r="1395" customFormat="false" ht="35.05" hidden="false" customHeight="false" outlineLevel="0" collapsed="false">
      <c r="A1395" s="11" t="s">
        <v>8501</v>
      </c>
      <c r="B1395" s="11" t="s">
        <v>43</v>
      </c>
      <c r="C1395" s="11" t="s">
        <v>317</v>
      </c>
      <c r="D1395" s="11" t="s">
        <v>318</v>
      </c>
      <c r="E1395" s="11" t="s">
        <v>1187</v>
      </c>
      <c r="F1395" s="11" t="s">
        <v>8482</v>
      </c>
      <c r="G1395" s="11"/>
      <c r="H1395" s="11" t="s">
        <v>1284</v>
      </c>
      <c r="I1395" s="11" t="s">
        <v>8502</v>
      </c>
      <c r="J1395" s="11" t="s">
        <v>8503</v>
      </c>
      <c r="K1395" s="11" t="s">
        <v>4793</v>
      </c>
      <c r="L1395" s="11" t="s">
        <v>8504</v>
      </c>
      <c r="M1395" s="11"/>
      <c r="N1395" s="14" t="n">
        <v>1</v>
      </c>
      <c r="O1395" s="14" t="n">
        <v>2</v>
      </c>
      <c r="P1395" s="14" t="n">
        <v>3</v>
      </c>
      <c r="Q1395" s="14"/>
      <c r="R1395" s="12" t="n">
        <f aca="false">IF(OR(N1395="",P1395=""),"",ROUND(N1395*O1395/P1395,1))</f>
        <v>0.7</v>
      </c>
      <c r="S1395" s="13" t="n">
        <f aca="false">IF(R1395="","",IF(Q1395="Y",1,IF(P1395&gt;='Read me'!$B$16,3,IF(AND(R1395&gt;='Read me'!$B$14,P1395&lt;='Read me'!$B$15),1,2))))</f>
        <v>2</v>
      </c>
    </row>
    <row r="1396" customFormat="false" ht="23.85" hidden="false" customHeight="false" outlineLevel="0" collapsed="false">
      <c r="A1396" s="11" t="s">
        <v>8505</v>
      </c>
      <c r="B1396" s="11" t="s">
        <v>43</v>
      </c>
      <c r="C1396" s="11" t="s">
        <v>317</v>
      </c>
      <c r="D1396" s="11" t="s">
        <v>318</v>
      </c>
      <c r="E1396" s="11" t="s">
        <v>1187</v>
      </c>
      <c r="F1396" s="11" t="s">
        <v>8482</v>
      </c>
      <c r="G1396" s="11"/>
      <c r="H1396" s="11" t="s">
        <v>8506</v>
      </c>
      <c r="I1396" s="11" t="s">
        <v>8507</v>
      </c>
      <c r="J1396" s="11" t="s">
        <v>8508</v>
      </c>
      <c r="K1396" s="11" t="s">
        <v>8509</v>
      </c>
      <c r="L1396" s="11" t="s">
        <v>8510</v>
      </c>
      <c r="M1396" s="11"/>
      <c r="N1396" s="14" t="n">
        <v>1</v>
      </c>
      <c r="O1396" s="14" t="n">
        <v>2</v>
      </c>
      <c r="P1396" s="14" t="n">
        <v>2</v>
      </c>
      <c r="Q1396" s="14"/>
      <c r="R1396" s="12" t="n">
        <f aca="false">IF(OR(N1396="",P1396=""),"",ROUND(N1396*O1396/P1396,1))</f>
        <v>1</v>
      </c>
      <c r="S1396" s="13" t="n">
        <f aca="false">IF(R1396="","",IF(Q1396="Y",1,IF(P1396&gt;='Read me'!$B$16,3,IF(AND(R1396&gt;='Read me'!$B$14,P1396&lt;='Read me'!$B$15),1,2))))</f>
        <v>2</v>
      </c>
    </row>
    <row r="1397" customFormat="false" ht="23.85" hidden="false" customHeight="false" outlineLevel="0" collapsed="false">
      <c r="A1397" s="11" t="s">
        <v>8511</v>
      </c>
      <c r="B1397" s="11" t="s">
        <v>43</v>
      </c>
      <c r="C1397" s="11" t="s">
        <v>317</v>
      </c>
      <c r="D1397" s="11" t="s">
        <v>318</v>
      </c>
      <c r="E1397" s="11" t="s">
        <v>1187</v>
      </c>
      <c r="F1397" s="11" t="s">
        <v>8488</v>
      </c>
      <c r="G1397" s="11" t="s">
        <v>8512</v>
      </c>
      <c r="H1397" s="11" t="s">
        <v>8513</v>
      </c>
      <c r="I1397" s="11" t="s">
        <v>8514</v>
      </c>
      <c r="J1397" s="11" t="s">
        <v>8515</v>
      </c>
      <c r="K1397" s="11" t="s">
        <v>6652</v>
      </c>
      <c r="L1397" s="11" t="s">
        <v>8516</v>
      </c>
      <c r="M1397" s="11"/>
      <c r="N1397" s="14" t="n">
        <v>2</v>
      </c>
      <c r="O1397" s="14" t="n">
        <v>2</v>
      </c>
      <c r="P1397" s="14" t="n">
        <v>2</v>
      </c>
      <c r="Q1397" s="14"/>
      <c r="R1397" s="12" t="n">
        <f aca="false">IF(OR(N1397="",P1397=""),"",ROUND(N1397*O1397/P1397,1))</f>
        <v>2</v>
      </c>
      <c r="S1397" s="13" t="n">
        <f aca="false">IF(R1397="","",IF(Q1397="Y",1,IF(P1397&gt;='Read me'!$B$16,3,IF(AND(R1397&gt;='Read me'!$B$14,P1397&lt;='Read me'!$B$15),1,2))))</f>
        <v>2</v>
      </c>
    </row>
    <row r="1398" customFormat="false" ht="23.85" hidden="false" customHeight="false" outlineLevel="0" collapsed="false">
      <c r="A1398" s="11" t="s">
        <v>8517</v>
      </c>
      <c r="B1398" s="11" t="s">
        <v>43</v>
      </c>
      <c r="C1398" s="11" t="s">
        <v>317</v>
      </c>
      <c r="D1398" s="11" t="s">
        <v>318</v>
      </c>
      <c r="E1398" s="11" t="s">
        <v>1187</v>
      </c>
      <c r="F1398" s="11" t="s">
        <v>8518</v>
      </c>
      <c r="G1398" s="11"/>
      <c r="H1398" s="11" t="s">
        <v>8519</v>
      </c>
      <c r="I1398" s="11" t="s">
        <v>8520</v>
      </c>
      <c r="J1398" s="11" t="s">
        <v>8521</v>
      </c>
      <c r="K1398" s="11" t="s">
        <v>675</v>
      </c>
      <c r="L1398" s="11" t="s">
        <v>8522</v>
      </c>
      <c r="M1398" s="11"/>
      <c r="N1398" s="14" t="n">
        <v>1</v>
      </c>
      <c r="O1398" s="14" t="n">
        <v>3</v>
      </c>
      <c r="P1398" s="14" t="n">
        <v>4</v>
      </c>
      <c r="Q1398" s="14"/>
      <c r="R1398" s="12" t="n">
        <f aca="false">IF(OR(N1398="",P1398=""),"",ROUND(N1398*O1398/P1398,1))</f>
        <v>0.8</v>
      </c>
      <c r="S1398" s="13" t="n">
        <f aca="false">IF(R1398="","",IF(Q1398="Y",1,IF(P1398&gt;='Read me'!$B$16,3,IF(AND(R1398&gt;='Read me'!$B$14,P1398&lt;='Read me'!$B$15),1,2))))</f>
        <v>3</v>
      </c>
    </row>
    <row r="1399" customFormat="false" ht="23.85" hidden="false" customHeight="false" outlineLevel="0" collapsed="false">
      <c r="A1399" s="11" t="s">
        <v>8523</v>
      </c>
      <c r="B1399" s="11" t="s">
        <v>43</v>
      </c>
      <c r="C1399" s="11" t="s">
        <v>317</v>
      </c>
      <c r="D1399" s="11" t="s">
        <v>318</v>
      </c>
      <c r="E1399" s="11" t="s">
        <v>1187</v>
      </c>
      <c r="F1399" s="11" t="s">
        <v>8524</v>
      </c>
      <c r="G1399" s="11"/>
      <c r="H1399" s="11" t="s">
        <v>8525</v>
      </c>
      <c r="I1399" s="11" t="s">
        <v>8526</v>
      </c>
      <c r="J1399" s="11" t="s">
        <v>8527</v>
      </c>
      <c r="K1399" s="11" t="s">
        <v>675</v>
      </c>
      <c r="L1399" s="11" t="s">
        <v>8528</v>
      </c>
      <c r="M1399" s="11" t="s">
        <v>8201</v>
      </c>
      <c r="N1399" s="14" t="n">
        <v>1</v>
      </c>
      <c r="O1399" s="14" t="n">
        <v>3</v>
      </c>
      <c r="P1399" s="14" t="n">
        <v>5</v>
      </c>
      <c r="Q1399" s="14"/>
      <c r="R1399" s="12" t="n">
        <f aca="false">IF(OR(N1399="",P1399=""),"",ROUND(N1399*O1399/P1399,1))</f>
        <v>0.6</v>
      </c>
      <c r="S1399" s="13" t="n">
        <f aca="false">IF(R1399="","",IF(Q1399="Y",1,IF(P1399&gt;='Read me'!$B$16,3,IF(AND(R1399&gt;='Read me'!$B$14,P1399&lt;='Read me'!$B$15),1,2))))</f>
        <v>3</v>
      </c>
    </row>
    <row r="1400" customFormat="false" ht="23.85" hidden="false" customHeight="false" outlineLevel="0" collapsed="false">
      <c r="A1400" s="11" t="s">
        <v>8529</v>
      </c>
      <c r="B1400" s="11" t="s">
        <v>43</v>
      </c>
      <c r="C1400" s="11" t="s">
        <v>317</v>
      </c>
      <c r="D1400" s="11" t="s">
        <v>318</v>
      </c>
      <c r="E1400" s="11" t="s">
        <v>1187</v>
      </c>
      <c r="F1400" s="11" t="s">
        <v>8530</v>
      </c>
      <c r="G1400" s="11" t="s">
        <v>8531</v>
      </c>
      <c r="H1400" s="11" t="s">
        <v>8532</v>
      </c>
      <c r="I1400" s="11" t="s">
        <v>8533</v>
      </c>
      <c r="J1400" s="11" t="s">
        <v>8534</v>
      </c>
      <c r="K1400" s="11" t="s">
        <v>675</v>
      </c>
      <c r="L1400" s="11" t="s">
        <v>8535</v>
      </c>
      <c r="M1400" s="11"/>
      <c r="N1400" s="14" t="n">
        <v>1</v>
      </c>
      <c r="O1400" s="14" t="n">
        <v>3</v>
      </c>
      <c r="P1400" s="14" t="n">
        <v>5</v>
      </c>
      <c r="Q1400" s="14"/>
      <c r="R1400" s="12" t="n">
        <f aca="false">IF(OR(N1400="",P1400=""),"",ROUND(N1400*O1400/P1400,1))</f>
        <v>0.6</v>
      </c>
      <c r="S1400" s="13" t="n">
        <f aca="false">IF(R1400="","",IF(Q1400="Y",1,IF(P1400&gt;='Read me'!$B$16,3,IF(AND(R1400&gt;='Read me'!$B$14,P1400&lt;='Read me'!$B$15),1,2))))</f>
        <v>3</v>
      </c>
    </row>
    <row r="1401" customFormat="false" ht="23.85" hidden="false" customHeight="false" outlineLevel="0" collapsed="false">
      <c r="A1401" s="11" t="s">
        <v>8536</v>
      </c>
      <c r="B1401" s="11" t="s">
        <v>43</v>
      </c>
      <c r="C1401" s="11" t="s">
        <v>317</v>
      </c>
      <c r="D1401" s="11" t="s">
        <v>318</v>
      </c>
      <c r="E1401" s="11" t="s">
        <v>1133</v>
      </c>
      <c r="F1401" s="11" t="s">
        <v>8537</v>
      </c>
      <c r="G1401" s="11" t="s">
        <v>8538</v>
      </c>
      <c r="H1401" s="11"/>
      <c r="I1401" s="11" t="s">
        <v>512</v>
      </c>
      <c r="J1401" s="11" t="s">
        <v>8539</v>
      </c>
      <c r="K1401" s="11" t="s">
        <v>8540</v>
      </c>
      <c r="L1401" s="11" t="s">
        <v>8541</v>
      </c>
      <c r="M1401" s="11"/>
      <c r="N1401" s="14" t="n">
        <v>2</v>
      </c>
      <c r="O1401" s="14" t="n">
        <v>2</v>
      </c>
      <c r="P1401" s="14" t="n">
        <v>1</v>
      </c>
      <c r="Q1401" s="14"/>
      <c r="R1401" s="12" t="n">
        <f aca="false">IF(OR(N1401="",P1401=""),"",ROUND(N1401*O1401/P1401,1))</f>
        <v>4</v>
      </c>
      <c r="S1401" s="13" t="n">
        <f aca="false">IF(R1401="","",IF(Q1401="Y",1,IF(P1401&gt;='Read me'!$B$16,3,IF(AND(R1401&gt;='Read me'!$B$14,P1401&lt;='Read me'!$B$15),1,2))))</f>
        <v>2</v>
      </c>
    </row>
    <row r="1402" customFormat="false" ht="35.05" hidden="false" customHeight="false" outlineLevel="0" collapsed="false">
      <c r="A1402" s="11" t="s">
        <v>8542</v>
      </c>
      <c r="B1402" s="11" t="s">
        <v>43</v>
      </c>
      <c r="C1402" s="11" t="s">
        <v>317</v>
      </c>
      <c r="D1402" s="11" t="s">
        <v>318</v>
      </c>
      <c r="E1402" s="11" t="s">
        <v>1372</v>
      </c>
      <c r="F1402" s="11" t="s">
        <v>8543</v>
      </c>
      <c r="G1402" s="11" t="s">
        <v>7128</v>
      </c>
      <c r="H1402" s="11"/>
      <c r="I1402" s="11" t="s">
        <v>8544</v>
      </c>
      <c r="J1402" s="11" t="s">
        <v>8545</v>
      </c>
      <c r="K1402" s="11" t="s">
        <v>8546</v>
      </c>
      <c r="L1402" s="11" t="s">
        <v>8547</v>
      </c>
      <c r="M1402" s="11" t="s">
        <v>8222</v>
      </c>
      <c r="N1402" s="14" t="n">
        <v>2</v>
      </c>
      <c r="O1402" s="14" t="n">
        <v>3</v>
      </c>
      <c r="P1402" s="14" t="n">
        <v>3</v>
      </c>
      <c r="Q1402" s="14"/>
      <c r="R1402" s="12" t="n">
        <f aca="false">IF(OR(N1402="",P1402=""),"",ROUND(N1402*O1402/P1402,1))</f>
        <v>2</v>
      </c>
      <c r="S1402" s="13" t="n">
        <f aca="false">IF(R1402="","",IF(Q1402="Y",1,IF(P1402&gt;='Read me'!$B$16,3,IF(AND(R1402&gt;='Read me'!$B$14,P1402&lt;='Read me'!$B$15),1,2))))</f>
        <v>2</v>
      </c>
    </row>
    <row r="1403" customFormat="false" ht="23.85" hidden="false" customHeight="false" outlineLevel="0" collapsed="false">
      <c r="A1403" s="11" t="s">
        <v>8548</v>
      </c>
      <c r="B1403" s="11" t="s">
        <v>43</v>
      </c>
      <c r="C1403" s="11" t="s">
        <v>317</v>
      </c>
      <c r="D1403" s="11" t="s">
        <v>318</v>
      </c>
      <c r="E1403" s="11" t="s">
        <v>1372</v>
      </c>
      <c r="F1403" s="11" t="s">
        <v>8549</v>
      </c>
      <c r="G1403" s="11" t="s">
        <v>8496</v>
      </c>
      <c r="H1403" s="11"/>
      <c r="I1403" s="11" t="s">
        <v>8550</v>
      </c>
      <c r="J1403" s="11" t="s">
        <v>8551</v>
      </c>
      <c r="K1403" s="11" t="s">
        <v>8552</v>
      </c>
      <c r="L1403" s="11" t="s">
        <v>8553</v>
      </c>
      <c r="M1403" s="11"/>
      <c r="N1403" s="14" t="n">
        <v>2</v>
      </c>
      <c r="O1403" s="14" t="n">
        <v>2</v>
      </c>
      <c r="P1403" s="14" t="n">
        <v>2</v>
      </c>
      <c r="Q1403" s="14"/>
      <c r="R1403" s="12" t="n">
        <f aca="false">IF(OR(N1403="",P1403=""),"",ROUND(N1403*O1403/P1403,1))</f>
        <v>2</v>
      </c>
      <c r="S1403" s="13" t="n">
        <f aca="false">IF(R1403="","",IF(Q1403="Y",1,IF(P1403&gt;='Read me'!$B$16,3,IF(AND(R1403&gt;='Read me'!$B$14,P1403&lt;='Read me'!$B$15),1,2))))</f>
        <v>2</v>
      </c>
    </row>
    <row r="1404" customFormat="false" ht="23.85" hidden="false" customHeight="false" outlineLevel="0" collapsed="false">
      <c r="A1404" s="11" t="s">
        <v>8554</v>
      </c>
      <c r="B1404" s="11" t="s">
        <v>43</v>
      </c>
      <c r="C1404" s="11" t="s">
        <v>317</v>
      </c>
      <c r="D1404" s="11" t="s">
        <v>318</v>
      </c>
      <c r="E1404" s="11" t="s">
        <v>1372</v>
      </c>
      <c r="F1404" s="11" t="s">
        <v>8555</v>
      </c>
      <c r="G1404" s="11" t="s">
        <v>8496</v>
      </c>
      <c r="H1404" s="11"/>
      <c r="I1404" s="11" t="s">
        <v>8556</v>
      </c>
      <c r="J1404" s="11" t="s">
        <v>8557</v>
      </c>
      <c r="K1404" s="11" t="s">
        <v>8558</v>
      </c>
      <c r="L1404" s="11" t="s">
        <v>8559</v>
      </c>
      <c r="M1404" s="11"/>
      <c r="N1404" s="14" t="n">
        <v>1</v>
      </c>
      <c r="O1404" s="14" t="n">
        <v>3</v>
      </c>
      <c r="P1404" s="14" t="n">
        <v>3</v>
      </c>
      <c r="Q1404" s="14"/>
      <c r="R1404" s="12" t="n">
        <f aca="false">IF(OR(N1404="",P1404=""),"",ROUND(N1404*O1404/P1404,1))</f>
        <v>1</v>
      </c>
      <c r="S1404" s="13" t="n">
        <f aca="false">IF(R1404="","",IF(Q1404="Y",1,IF(P1404&gt;='Read me'!$B$16,3,IF(AND(R1404&gt;='Read me'!$B$14,P1404&lt;='Read me'!$B$15),1,2))))</f>
        <v>2</v>
      </c>
    </row>
    <row r="1405" customFormat="false" ht="23.85" hidden="false" customHeight="false" outlineLevel="0" collapsed="false">
      <c r="A1405" s="11" t="s">
        <v>8560</v>
      </c>
      <c r="B1405" s="11" t="s">
        <v>43</v>
      </c>
      <c r="C1405" s="11" t="s">
        <v>320</v>
      </c>
      <c r="D1405" s="11" t="s">
        <v>321</v>
      </c>
      <c r="E1405" s="11" t="s">
        <v>476</v>
      </c>
      <c r="F1405" s="11" t="s">
        <v>8561</v>
      </c>
      <c r="G1405" s="11"/>
      <c r="H1405" s="11"/>
      <c r="I1405" s="11" t="s">
        <v>8562</v>
      </c>
      <c r="J1405" s="11" t="s">
        <v>8563</v>
      </c>
      <c r="K1405" s="11" t="s">
        <v>8564</v>
      </c>
      <c r="L1405" s="11" t="s">
        <v>8565</v>
      </c>
      <c r="M1405" s="11"/>
      <c r="N1405" s="14" t="n">
        <v>4</v>
      </c>
      <c r="O1405" s="14" t="n">
        <v>4</v>
      </c>
      <c r="P1405" s="14" t="n">
        <v>1</v>
      </c>
      <c r="Q1405" s="14"/>
      <c r="R1405" s="12" t="n">
        <f aca="false">IF(OR(N1405="",P1405=""),"",ROUND(N1405*O1405/P1405,1))</f>
        <v>16</v>
      </c>
      <c r="S1405" s="13" t="n">
        <f aca="false">IF(R1405="","",IF(Q1405="Y",1,IF(P1405&gt;='Read me'!$B$16,3,IF(AND(R1405&gt;='Read me'!$B$14,P1405&lt;='Read me'!$B$15),1,2))))</f>
        <v>1</v>
      </c>
    </row>
    <row r="1406" customFormat="false" ht="35.05" hidden="false" customHeight="false" outlineLevel="0" collapsed="false">
      <c r="A1406" s="11" t="s">
        <v>8566</v>
      </c>
      <c r="B1406" s="11" t="s">
        <v>43</v>
      </c>
      <c r="C1406" s="11" t="s">
        <v>320</v>
      </c>
      <c r="D1406" s="11" t="s">
        <v>321</v>
      </c>
      <c r="E1406" s="11" t="s">
        <v>476</v>
      </c>
      <c r="F1406" s="11" t="s">
        <v>8567</v>
      </c>
      <c r="G1406" s="11" t="s">
        <v>8568</v>
      </c>
      <c r="H1406" s="11"/>
      <c r="I1406" s="11" t="s">
        <v>512</v>
      </c>
      <c r="J1406" s="11" t="s">
        <v>8569</v>
      </c>
      <c r="K1406" s="11" t="s">
        <v>4502</v>
      </c>
      <c r="L1406" s="11" t="s">
        <v>7659</v>
      </c>
      <c r="M1406" s="11" t="s">
        <v>8109</v>
      </c>
      <c r="N1406" s="14" t="n">
        <v>3</v>
      </c>
      <c r="O1406" s="14" t="n">
        <v>4</v>
      </c>
      <c r="P1406" s="14" t="n">
        <v>2</v>
      </c>
      <c r="Q1406" s="14"/>
      <c r="R1406" s="12" t="n">
        <f aca="false">IF(OR(N1406="",P1406=""),"",ROUND(N1406*O1406/P1406,1))</f>
        <v>6</v>
      </c>
      <c r="S1406" s="13" t="n">
        <f aca="false">IF(R1406="","",IF(Q1406="Y",1,IF(P1406&gt;='Read me'!$B$16,3,IF(AND(R1406&gt;='Read me'!$B$14,P1406&lt;='Read me'!$B$15),1,2))))</f>
        <v>1</v>
      </c>
    </row>
    <row r="1407" customFormat="false" ht="23.85" hidden="false" customHeight="false" outlineLevel="0" collapsed="false">
      <c r="A1407" s="11" t="s">
        <v>8570</v>
      </c>
      <c r="B1407" s="11" t="s">
        <v>43</v>
      </c>
      <c r="C1407" s="11" t="s">
        <v>320</v>
      </c>
      <c r="D1407" s="11" t="s">
        <v>321</v>
      </c>
      <c r="E1407" s="11" t="s">
        <v>751</v>
      </c>
      <c r="F1407" s="11" t="s">
        <v>8571</v>
      </c>
      <c r="G1407" s="11" t="s">
        <v>8572</v>
      </c>
      <c r="H1407" s="11"/>
      <c r="I1407" s="11" t="s">
        <v>8573</v>
      </c>
      <c r="J1407" s="11" t="s">
        <v>8574</v>
      </c>
      <c r="K1407" s="11" t="s">
        <v>8575</v>
      </c>
      <c r="L1407" s="11" t="s">
        <v>8576</v>
      </c>
      <c r="M1407" s="11"/>
      <c r="N1407" s="14" t="n">
        <v>2</v>
      </c>
      <c r="O1407" s="14" t="n">
        <v>4</v>
      </c>
      <c r="P1407" s="14" t="n">
        <v>2</v>
      </c>
      <c r="Q1407" s="14"/>
      <c r="R1407" s="12" t="n">
        <f aca="false">IF(OR(N1407="",P1407=""),"",ROUND(N1407*O1407/P1407,1))</f>
        <v>4</v>
      </c>
      <c r="S1407" s="13" t="n">
        <f aca="false">IF(R1407="","",IF(Q1407="Y",1,IF(P1407&gt;='Read me'!$B$16,3,IF(AND(R1407&gt;='Read me'!$B$14,P1407&lt;='Read me'!$B$15),1,2))))</f>
        <v>2</v>
      </c>
    </row>
    <row r="1408" customFormat="false" ht="23.85" hidden="false" customHeight="false" outlineLevel="0" collapsed="false">
      <c r="A1408" s="11" t="s">
        <v>8577</v>
      </c>
      <c r="B1408" s="11" t="s">
        <v>43</v>
      </c>
      <c r="C1408" s="11" t="s">
        <v>320</v>
      </c>
      <c r="D1408" s="11" t="s">
        <v>321</v>
      </c>
      <c r="E1408" s="11" t="s">
        <v>765</v>
      </c>
      <c r="F1408" s="11" t="s">
        <v>8578</v>
      </c>
      <c r="G1408" s="11" t="s">
        <v>8406</v>
      </c>
      <c r="H1408" s="11"/>
      <c r="I1408" s="11" t="s">
        <v>512</v>
      </c>
      <c r="J1408" s="11" t="s">
        <v>8579</v>
      </c>
      <c r="K1408" s="11" t="s">
        <v>8580</v>
      </c>
      <c r="L1408" s="11" t="s">
        <v>8581</v>
      </c>
      <c r="M1408" s="11"/>
      <c r="N1408" s="14" t="n">
        <v>3</v>
      </c>
      <c r="O1408" s="14" t="n">
        <v>4</v>
      </c>
      <c r="P1408" s="14" t="n">
        <v>2</v>
      </c>
      <c r="Q1408" s="14"/>
      <c r="R1408" s="12" t="n">
        <f aca="false">IF(OR(N1408="",P1408=""),"",ROUND(N1408*O1408/P1408,1))</f>
        <v>6</v>
      </c>
      <c r="S1408" s="13" t="n">
        <f aca="false">IF(R1408="","",IF(Q1408="Y",1,IF(P1408&gt;='Read me'!$B$16,3,IF(AND(R1408&gt;='Read me'!$B$14,P1408&lt;='Read me'!$B$15),1,2))))</f>
        <v>1</v>
      </c>
    </row>
    <row r="1409" customFormat="false" ht="23.85" hidden="false" customHeight="false" outlineLevel="0" collapsed="false">
      <c r="A1409" s="11" t="s">
        <v>8582</v>
      </c>
      <c r="B1409" s="11" t="s">
        <v>43</v>
      </c>
      <c r="C1409" s="11" t="s">
        <v>320</v>
      </c>
      <c r="D1409" s="11" t="s">
        <v>321</v>
      </c>
      <c r="E1409" s="11" t="s">
        <v>1187</v>
      </c>
      <c r="F1409" s="11" t="s">
        <v>8583</v>
      </c>
      <c r="G1409" s="11"/>
      <c r="H1409" s="11" t="s">
        <v>8584</v>
      </c>
      <c r="I1409" s="11" t="s">
        <v>8585</v>
      </c>
      <c r="J1409" s="11" t="s">
        <v>8586</v>
      </c>
      <c r="K1409" s="11" t="s">
        <v>8587</v>
      </c>
      <c r="L1409" s="11" t="s">
        <v>8588</v>
      </c>
      <c r="M1409" s="11"/>
      <c r="N1409" s="14" t="n">
        <v>3</v>
      </c>
      <c r="O1409" s="14" t="n">
        <v>4</v>
      </c>
      <c r="P1409" s="14" t="n">
        <v>3</v>
      </c>
      <c r="Q1409" s="14"/>
      <c r="R1409" s="12" t="n">
        <f aca="false">IF(OR(N1409="",P1409=""),"",ROUND(N1409*O1409/P1409,1))</f>
        <v>4</v>
      </c>
      <c r="S1409" s="13" t="n">
        <f aca="false">IF(R1409="","",IF(Q1409="Y",1,IF(P1409&gt;='Read me'!$B$16,3,IF(AND(R1409&gt;='Read me'!$B$14,P1409&lt;='Read me'!$B$15),1,2))))</f>
        <v>2</v>
      </c>
    </row>
    <row r="1410" customFormat="false" ht="23.85" hidden="false" customHeight="false" outlineLevel="0" collapsed="false">
      <c r="A1410" s="11" t="s">
        <v>8589</v>
      </c>
      <c r="B1410" s="11" t="s">
        <v>43</v>
      </c>
      <c r="C1410" s="11" t="s">
        <v>320</v>
      </c>
      <c r="D1410" s="11" t="s">
        <v>321</v>
      </c>
      <c r="E1410" s="11" t="s">
        <v>1187</v>
      </c>
      <c r="F1410" s="11" t="s">
        <v>8590</v>
      </c>
      <c r="G1410" s="11"/>
      <c r="H1410" s="11" t="s">
        <v>8591</v>
      </c>
      <c r="I1410" s="11" t="s">
        <v>8592</v>
      </c>
      <c r="J1410" s="11" t="s">
        <v>8593</v>
      </c>
      <c r="K1410" s="11" t="s">
        <v>7107</v>
      </c>
      <c r="L1410" s="11" t="s">
        <v>8594</v>
      </c>
      <c r="M1410" s="11"/>
      <c r="N1410" s="14" t="n">
        <v>2</v>
      </c>
      <c r="O1410" s="14" t="n">
        <v>3</v>
      </c>
      <c r="P1410" s="14" t="n">
        <v>2</v>
      </c>
      <c r="Q1410" s="14"/>
      <c r="R1410" s="12" t="n">
        <f aca="false">IF(OR(N1410="",P1410=""),"",ROUND(N1410*O1410/P1410,1))</f>
        <v>3</v>
      </c>
      <c r="S1410" s="13" t="n">
        <f aca="false">IF(R1410="","",IF(Q1410="Y",1,IF(P1410&gt;='Read me'!$B$16,3,IF(AND(R1410&gt;='Read me'!$B$14,P1410&lt;='Read me'!$B$15),1,2))))</f>
        <v>2</v>
      </c>
    </row>
    <row r="1411" customFormat="false" ht="23.85" hidden="false" customHeight="false" outlineLevel="0" collapsed="false">
      <c r="A1411" s="11" t="s">
        <v>8595</v>
      </c>
      <c r="B1411" s="11" t="s">
        <v>43</v>
      </c>
      <c r="C1411" s="11" t="s">
        <v>320</v>
      </c>
      <c r="D1411" s="11" t="s">
        <v>321</v>
      </c>
      <c r="E1411" s="11" t="s">
        <v>1187</v>
      </c>
      <c r="F1411" s="11" t="s">
        <v>8596</v>
      </c>
      <c r="G1411" s="11"/>
      <c r="H1411" s="11" t="s">
        <v>8597</v>
      </c>
      <c r="I1411" s="11" t="s">
        <v>8598</v>
      </c>
      <c r="J1411" s="11" t="s">
        <v>8599</v>
      </c>
      <c r="K1411" s="11" t="s">
        <v>675</v>
      </c>
      <c r="L1411" s="11" t="s">
        <v>8600</v>
      </c>
      <c r="M1411" s="11"/>
      <c r="N1411" s="14" t="n">
        <v>2</v>
      </c>
      <c r="O1411" s="14" t="n">
        <v>3</v>
      </c>
      <c r="P1411" s="14" t="n">
        <v>2</v>
      </c>
      <c r="Q1411" s="14"/>
      <c r="R1411" s="12" t="n">
        <f aca="false">IF(OR(N1411="",P1411=""),"",ROUND(N1411*O1411/P1411,1))</f>
        <v>3</v>
      </c>
      <c r="S1411" s="13" t="n">
        <f aca="false">IF(R1411="","",IF(Q1411="Y",1,IF(P1411&gt;='Read me'!$B$16,3,IF(AND(R1411&gt;='Read me'!$B$14,P1411&lt;='Read me'!$B$15),1,2))))</f>
        <v>2</v>
      </c>
    </row>
    <row r="1412" customFormat="false" ht="23.85" hidden="false" customHeight="false" outlineLevel="0" collapsed="false">
      <c r="A1412" s="11" t="s">
        <v>8601</v>
      </c>
      <c r="B1412" s="11" t="s">
        <v>43</v>
      </c>
      <c r="C1412" s="11" t="s">
        <v>320</v>
      </c>
      <c r="D1412" s="11" t="s">
        <v>321</v>
      </c>
      <c r="E1412" s="11" t="s">
        <v>1187</v>
      </c>
      <c r="F1412" s="11" t="s">
        <v>8602</v>
      </c>
      <c r="G1412" s="11"/>
      <c r="H1412" s="11" t="s">
        <v>8603</v>
      </c>
      <c r="I1412" s="11" t="s">
        <v>8604</v>
      </c>
      <c r="J1412" s="11" t="s">
        <v>8605</v>
      </c>
      <c r="K1412" s="11" t="s">
        <v>8606</v>
      </c>
      <c r="L1412" s="11" t="s">
        <v>8607</v>
      </c>
      <c r="M1412" s="11"/>
      <c r="N1412" s="14" t="n">
        <v>2</v>
      </c>
      <c r="O1412" s="14" t="n">
        <v>3</v>
      </c>
      <c r="P1412" s="14" t="n">
        <v>3</v>
      </c>
      <c r="Q1412" s="14"/>
      <c r="R1412" s="12" t="n">
        <f aca="false">IF(OR(N1412="",P1412=""),"",ROUND(N1412*O1412/P1412,1))</f>
        <v>2</v>
      </c>
      <c r="S1412" s="13" t="n">
        <f aca="false">IF(R1412="","",IF(Q1412="Y",1,IF(P1412&gt;='Read me'!$B$16,3,IF(AND(R1412&gt;='Read me'!$B$14,P1412&lt;='Read me'!$B$15),1,2))))</f>
        <v>2</v>
      </c>
    </row>
    <row r="1413" customFormat="false" ht="23.85" hidden="false" customHeight="false" outlineLevel="0" collapsed="false">
      <c r="A1413" s="11" t="s">
        <v>8608</v>
      </c>
      <c r="B1413" s="11" t="s">
        <v>43</v>
      </c>
      <c r="C1413" s="11" t="s">
        <v>320</v>
      </c>
      <c r="D1413" s="11" t="s">
        <v>321</v>
      </c>
      <c r="E1413" s="11" t="s">
        <v>1372</v>
      </c>
      <c r="F1413" s="11" t="s">
        <v>8609</v>
      </c>
      <c r="G1413" s="11" t="s">
        <v>8610</v>
      </c>
      <c r="H1413" s="11"/>
      <c r="I1413" s="11" t="s">
        <v>8611</v>
      </c>
      <c r="J1413" s="11" t="s">
        <v>8612</v>
      </c>
      <c r="K1413" s="11" t="s">
        <v>8613</v>
      </c>
      <c r="L1413" s="11" t="s">
        <v>8614</v>
      </c>
      <c r="M1413" s="11"/>
      <c r="N1413" s="14" t="n">
        <v>3</v>
      </c>
      <c r="O1413" s="14" t="n">
        <v>4</v>
      </c>
      <c r="P1413" s="14" t="n">
        <v>2</v>
      </c>
      <c r="Q1413" s="14"/>
      <c r="R1413" s="12" t="n">
        <f aca="false">IF(OR(N1413="",P1413=""),"",ROUND(N1413*O1413/P1413,1))</f>
        <v>6</v>
      </c>
      <c r="S1413" s="13" t="n">
        <f aca="false">IF(R1413="","",IF(Q1413="Y",1,IF(P1413&gt;='Read me'!$B$16,3,IF(AND(R1413&gt;='Read me'!$B$14,P1413&lt;='Read me'!$B$15),1,2))))</f>
        <v>1</v>
      </c>
    </row>
    <row r="1414" customFormat="false" ht="23.85" hidden="false" customHeight="false" outlineLevel="0" collapsed="false">
      <c r="A1414" s="11" t="s">
        <v>8615</v>
      </c>
      <c r="B1414" s="11" t="s">
        <v>43</v>
      </c>
      <c r="C1414" s="11" t="s">
        <v>320</v>
      </c>
      <c r="D1414" s="11" t="s">
        <v>321</v>
      </c>
      <c r="E1414" s="11" t="s">
        <v>1372</v>
      </c>
      <c r="F1414" s="11" t="s">
        <v>8616</v>
      </c>
      <c r="G1414" s="11"/>
      <c r="H1414" s="11"/>
      <c r="I1414" s="11" t="s">
        <v>8617</v>
      </c>
      <c r="J1414" s="11" t="s">
        <v>8618</v>
      </c>
      <c r="K1414" s="11" t="s">
        <v>8619</v>
      </c>
      <c r="L1414" s="11" t="s">
        <v>8620</v>
      </c>
      <c r="M1414" s="11"/>
      <c r="N1414" s="14" t="n">
        <v>3</v>
      </c>
      <c r="O1414" s="14" t="n">
        <v>3</v>
      </c>
      <c r="P1414" s="14" t="n">
        <v>2</v>
      </c>
      <c r="Q1414" s="14"/>
      <c r="R1414" s="12" t="n">
        <f aca="false">IF(OR(N1414="",P1414=""),"",ROUND(N1414*O1414/P1414,1))</f>
        <v>4.5</v>
      </c>
      <c r="S1414" s="13" t="n">
        <f aca="false">IF(R1414="","",IF(Q1414="Y",1,IF(P1414&gt;='Read me'!$B$16,3,IF(AND(R1414&gt;='Read me'!$B$14,P1414&lt;='Read me'!$B$15),1,2))))</f>
        <v>2</v>
      </c>
    </row>
    <row r="1415" customFormat="false" ht="23.85" hidden="false" customHeight="false" outlineLevel="0" collapsed="false">
      <c r="A1415" s="11" t="s">
        <v>8621</v>
      </c>
      <c r="B1415" s="11" t="s">
        <v>43</v>
      </c>
      <c r="C1415" s="11" t="s">
        <v>320</v>
      </c>
      <c r="D1415" s="11" t="s">
        <v>321</v>
      </c>
      <c r="E1415" s="11" t="s">
        <v>1372</v>
      </c>
      <c r="F1415" s="11" t="s">
        <v>8622</v>
      </c>
      <c r="G1415" s="11"/>
      <c r="H1415" s="11"/>
      <c r="I1415" s="11" t="s">
        <v>8623</v>
      </c>
      <c r="J1415" s="11" t="s">
        <v>8624</v>
      </c>
      <c r="K1415" s="11" t="s">
        <v>8625</v>
      </c>
      <c r="L1415" s="11" t="s">
        <v>8626</v>
      </c>
      <c r="M1415" s="11" t="s">
        <v>8627</v>
      </c>
      <c r="N1415" s="14" t="n">
        <v>4</v>
      </c>
      <c r="O1415" s="14" t="n">
        <v>4</v>
      </c>
      <c r="P1415" s="14" t="n">
        <v>2</v>
      </c>
      <c r="Q1415" s="14"/>
      <c r="R1415" s="12" t="n">
        <f aca="false">IF(OR(N1415="",P1415=""),"",ROUND(N1415*O1415/P1415,1))</f>
        <v>8</v>
      </c>
      <c r="S1415" s="13" t="n">
        <f aca="false">IF(R1415="","",IF(Q1415="Y",1,IF(P1415&gt;='Read me'!$B$16,3,IF(AND(R1415&gt;='Read me'!$B$14,P1415&lt;='Read me'!$B$15),1,2))))</f>
        <v>1</v>
      </c>
    </row>
    <row r="1416" customFormat="false" ht="23.85" hidden="false" customHeight="false" outlineLevel="0" collapsed="false">
      <c r="A1416" s="11" t="s">
        <v>8628</v>
      </c>
      <c r="B1416" s="11" t="s">
        <v>43</v>
      </c>
      <c r="C1416" s="11" t="s">
        <v>320</v>
      </c>
      <c r="D1416" s="11" t="s">
        <v>321</v>
      </c>
      <c r="E1416" s="11" t="s">
        <v>1372</v>
      </c>
      <c r="F1416" s="11" t="s">
        <v>8629</v>
      </c>
      <c r="G1416" s="11" t="s">
        <v>8630</v>
      </c>
      <c r="H1416" s="11"/>
      <c r="I1416" s="11" t="s">
        <v>8631</v>
      </c>
      <c r="J1416" s="11" t="s">
        <v>8632</v>
      </c>
      <c r="K1416" s="11" t="s">
        <v>8625</v>
      </c>
      <c r="L1416" s="11" t="s">
        <v>1410</v>
      </c>
      <c r="M1416" s="11"/>
      <c r="N1416" s="14" t="n">
        <v>3</v>
      </c>
      <c r="O1416" s="14" t="n">
        <v>4</v>
      </c>
      <c r="P1416" s="14" t="n">
        <v>2</v>
      </c>
      <c r="Q1416" s="14"/>
      <c r="R1416" s="12" t="n">
        <f aca="false">IF(OR(N1416="",P1416=""),"",ROUND(N1416*O1416/P1416,1))</f>
        <v>6</v>
      </c>
      <c r="S1416" s="13" t="n">
        <f aca="false">IF(R1416="","",IF(Q1416="Y",1,IF(P1416&gt;='Read me'!$B$16,3,IF(AND(R1416&gt;='Read me'!$B$14,P1416&lt;='Read me'!$B$15),1,2))))</f>
        <v>1</v>
      </c>
    </row>
    <row r="1417" customFormat="false" ht="35.05" hidden="false" customHeight="false" outlineLevel="0" collapsed="false">
      <c r="A1417" s="11" t="s">
        <v>8633</v>
      </c>
      <c r="B1417" s="11" t="s">
        <v>43</v>
      </c>
      <c r="C1417" s="11" t="s">
        <v>320</v>
      </c>
      <c r="D1417" s="11" t="s">
        <v>321</v>
      </c>
      <c r="E1417" s="11" t="s">
        <v>1372</v>
      </c>
      <c r="F1417" s="11" t="s">
        <v>8634</v>
      </c>
      <c r="G1417" s="11"/>
      <c r="H1417" s="11"/>
      <c r="I1417" s="11" t="s">
        <v>8635</v>
      </c>
      <c r="J1417" s="11" t="s">
        <v>8636</v>
      </c>
      <c r="K1417" s="11" t="s">
        <v>4369</v>
      </c>
      <c r="L1417" s="11" t="s">
        <v>8637</v>
      </c>
      <c r="M1417" s="11" t="s">
        <v>8109</v>
      </c>
      <c r="N1417" s="14" t="n">
        <v>2</v>
      </c>
      <c r="O1417" s="14" t="n">
        <v>2</v>
      </c>
      <c r="P1417" s="14" t="n">
        <v>2</v>
      </c>
      <c r="Q1417" s="14"/>
      <c r="R1417" s="12" t="n">
        <f aca="false">IF(OR(N1417="",P1417=""),"",ROUND(N1417*O1417/P1417,1))</f>
        <v>2</v>
      </c>
      <c r="S1417" s="13" t="n">
        <f aca="false">IF(R1417="","",IF(Q1417="Y",1,IF(P1417&gt;='Read me'!$B$16,3,IF(AND(R1417&gt;='Read me'!$B$14,P1417&lt;='Read me'!$B$15),1,2))))</f>
        <v>2</v>
      </c>
    </row>
    <row r="1418" customFormat="false" ht="23.85" hidden="false" customHeight="false" outlineLevel="0" collapsed="false">
      <c r="A1418" s="11" t="s">
        <v>8638</v>
      </c>
      <c r="B1418" s="11" t="s">
        <v>43</v>
      </c>
      <c r="C1418" s="11" t="s">
        <v>324</v>
      </c>
      <c r="D1418" s="11" t="s">
        <v>325</v>
      </c>
      <c r="E1418" s="11" t="s">
        <v>626</v>
      </c>
      <c r="F1418" s="11" t="s">
        <v>8639</v>
      </c>
      <c r="G1418" s="11" t="s">
        <v>8126</v>
      </c>
      <c r="H1418" s="11"/>
      <c r="I1418" s="11" t="s">
        <v>8640</v>
      </c>
      <c r="J1418" s="11" t="s">
        <v>8641</v>
      </c>
      <c r="K1418" s="11" t="s">
        <v>5836</v>
      </c>
      <c r="L1418" s="11" t="s">
        <v>8336</v>
      </c>
      <c r="M1418" s="11"/>
      <c r="N1418" s="14" t="n">
        <v>3</v>
      </c>
      <c r="O1418" s="14" t="n">
        <v>4</v>
      </c>
      <c r="P1418" s="14" t="n">
        <v>2</v>
      </c>
      <c r="Q1418" s="14"/>
      <c r="R1418" s="12" t="n">
        <f aca="false">IF(OR(N1418="",P1418=""),"",ROUND(N1418*O1418/P1418,1))</f>
        <v>6</v>
      </c>
      <c r="S1418" s="13" t="n">
        <f aca="false">IF(R1418="","",IF(Q1418="Y",1,IF(P1418&gt;='Read me'!$B$16,3,IF(AND(R1418&gt;='Read me'!$B$14,P1418&lt;='Read me'!$B$15),1,2))))</f>
        <v>1</v>
      </c>
    </row>
    <row r="1419" customFormat="false" ht="35.05" hidden="false" customHeight="false" outlineLevel="0" collapsed="false">
      <c r="A1419" s="11" t="s">
        <v>8642</v>
      </c>
      <c r="B1419" s="11" t="s">
        <v>43</v>
      </c>
      <c r="C1419" s="11" t="s">
        <v>324</v>
      </c>
      <c r="D1419" s="11" t="s">
        <v>325</v>
      </c>
      <c r="E1419" s="11" t="s">
        <v>751</v>
      </c>
      <c r="F1419" s="11" t="s">
        <v>8643</v>
      </c>
      <c r="G1419" s="11" t="s">
        <v>1252</v>
      </c>
      <c r="H1419" s="11"/>
      <c r="I1419" s="11" t="s">
        <v>8644</v>
      </c>
      <c r="J1419" s="11" t="s">
        <v>8645</v>
      </c>
      <c r="K1419" s="11" t="s">
        <v>8646</v>
      </c>
      <c r="L1419" s="11" t="s">
        <v>8647</v>
      </c>
      <c r="M1419" s="11" t="s">
        <v>1577</v>
      </c>
      <c r="N1419" s="14" t="n">
        <v>3</v>
      </c>
      <c r="O1419" s="14" t="n">
        <v>4</v>
      </c>
      <c r="P1419" s="14" t="n">
        <v>3</v>
      </c>
      <c r="Q1419" s="14"/>
      <c r="R1419" s="12" t="n">
        <f aca="false">IF(OR(N1419="",P1419=""),"",ROUND(N1419*O1419/P1419,1))</f>
        <v>4</v>
      </c>
      <c r="S1419" s="13" t="n">
        <f aca="false">IF(R1419="","",IF(Q1419="Y",1,IF(P1419&gt;='Read me'!$B$16,3,IF(AND(R1419&gt;='Read me'!$B$14,P1419&lt;='Read me'!$B$15),1,2))))</f>
        <v>2</v>
      </c>
    </row>
    <row r="1420" customFormat="false" ht="23.85" hidden="false" customHeight="false" outlineLevel="0" collapsed="false">
      <c r="A1420" s="11" t="s">
        <v>8648</v>
      </c>
      <c r="B1420" s="11" t="s">
        <v>43</v>
      </c>
      <c r="C1420" s="11" t="s">
        <v>324</v>
      </c>
      <c r="D1420" s="11" t="s">
        <v>325</v>
      </c>
      <c r="E1420" s="11" t="s">
        <v>751</v>
      </c>
      <c r="F1420" s="11" t="s">
        <v>8643</v>
      </c>
      <c r="G1420" s="11"/>
      <c r="H1420" s="11" t="s">
        <v>1259</v>
      </c>
      <c r="I1420" s="11" t="s">
        <v>8649</v>
      </c>
      <c r="J1420" s="11" t="s">
        <v>8650</v>
      </c>
      <c r="K1420" s="11" t="s">
        <v>8651</v>
      </c>
      <c r="L1420" s="11" t="s">
        <v>8652</v>
      </c>
      <c r="M1420" s="11"/>
      <c r="N1420" s="14" t="n">
        <v>2</v>
      </c>
      <c r="O1420" s="14" t="n">
        <v>3</v>
      </c>
      <c r="P1420" s="14" t="n">
        <v>3</v>
      </c>
      <c r="Q1420" s="14"/>
      <c r="R1420" s="12" t="n">
        <f aca="false">IF(OR(N1420="",P1420=""),"",ROUND(N1420*O1420/P1420,1))</f>
        <v>2</v>
      </c>
      <c r="S1420" s="13" t="n">
        <f aca="false">IF(R1420="","",IF(Q1420="Y",1,IF(P1420&gt;='Read me'!$B$16,3,IF(AND(R1420&gt;='Read me'!$B$14,P1420&lt;='Read me'!$B$15),1,2))))</f>
        <v>2</v>
      </c>
    </row>
    <row r="1421" customFormat="false" ht="23.85" hidden="false" customHeight="false" outlineLevel="0" collapsed="false">
      <c r="A1421" s="11" t="s">
        <v>8653</v>
      </c>
      <c r="B1421" s="11" t="s">
        <v>43</v>
      </c>
      <c r="C1421" s="11" t="s">
        <v>324</v>
      </c>
      <c r="D1421" s="11" t="s">
        <v>325</v>
      </c>
      <c r="E1421" s="11" t="s">
        <v>751</v>
      </c>
      <c r="F1421" s="11" t="s">
        <v>8654</v>
      </c>
      <c r="G1421" s="11" t="s">
        <v>8655</v>
      </c>
      <c r="H1421" s="11"/>
      <c r="I1421" s="11" t="s">
        <v>8656</v>
      </c>
      <c r="J1421" s="11" t="s">
        <v>8657</v>
      </c>
      <c r="K1421" s="11" t="s">
        <v>4552</v>
      </c>
      <c r="L1421" s="11" t="s">
        <v>8658</v>
      </c>
      <c r="M1421" s="11"/>
      <c r="N1421" s="14" t="n">
        <v>3</v>
      </c>
      <c r="O1421" s="14" t="n">
        <v>3</v>
      </c>
      <c r="P1421" s="14" t="n">
        <v>2</v>
      </c>
      <c r="Q1421" s="14"/>
      <c r="R1421" s="12" t="n">
        <f aca="false">IF(OR(N1421="",P1421=""),"",ROUND(N1421*O1421/P1421,1))</f>
        <v>4.5</v>
      </c>
      <c r="S1421" s="13" t="n">
        <f aca="false">IF(R1421="","",IF(Q1421="Y",1,IF(P1421&gt;='Read me'!$B$16,3,IF(AND(R1421&gt;='Read me'!$B$14,P1421&lt;='Read me'!$B$15),1,2))))</f>
        <v>2</v>
      </c>
    </row>
    <row r="1422" customFormat="false" ht="23.85" hidden="false" customHeight="false" outlineLevel="0" collapsed="false">
      <c r="A1422" s="11" t="s">
        <v>8659</v>
      </c>
      <c r="B1422" s="11" t="s">
        <v>43</v>
      </c>
      <c r="C1422" s="11" t="s">
        <v>324</v>
      </c>
      <c r="D1422" s="11" t="s">
        <v>325</v>
      </c>
      <c r="E1422" s="11" t="s">
        <v>751</v>
      </c>
      <c r="F1422" s="11" t="s">
        <v>8660</v>
      </c>
      <c r="G1422" s="11" t="s">
        <v>8661</v>
      </c>
      <c r="H1422" s="11"/>
      <c r="I1422" s="11" t="s">
        <v>8662</v>
      </c>
      <c r="J1422" s="11" t="s">
        <v>8663</v>
      </c>
      <c r="K1422" s="11" t="s">
        <v>8664</v>
      </c>
      <c r="L1422" s="11" t="s">
        <v>1410</v>
      </c>
      <c r="M1422" s="11"/>
      <c r="N1422" s="14" t="n">
        <v>2</v>
      </c>
      <c r="O1422" s="14" t="n">
        <v>3</v>
      </c>
      <c r="P1422" s="14" t="n">
        <v>2</v>
      </c>
      <c r="Q1422" s="14"/>
      <c r="R1422" s="12" t="n">
        <f aca="false">IF(OR(N1422="",P1422=""),"",ROUND(N1422*O1422/P1422,1))</f>
        <v>3</v>
      </c>
      <c r="S1422" s="13" t="n">
        <f aca="false">IF(R1422="","",IF(Q1422="Y",1,IF(P1422&gt;='Read me'!$B$16,3,IF(AND(R1422&gt;='Read me'!$B$14,P1422&lt;='Read me'!$B$15),1,2))))</f>
        <v>2</v>
      </c>
    </row>
    <row r="1423" customFormat="false" ht="35.05" hidden="false" customHeight="false" outlineLevel="0" collapsed="false">
      <c r="A1423" s="11" t="s">
        <v>8665</v>
      </c>
      <c r="B1423" s="11" t="s">
        <v>43</v>
      </c>
      <c r="C1423" s="11" t="s">
        <v>324</v>
      </c>
      <c r="D1423" s="11" t="s">
        <v>325</v>
      </c>
      <c r="E1423" s="11" t="s">
        <v>751</v>
      </c>
      <c r="F1423" s="11" t="s">
        <v>8666</v>
      </c>
      <c r="G1423" s="11" t="s">
        <v>8667</v>
      </c>
      <c r="H1423" s="11"/>
      <c r="I1423" s="11" t="s">
        <v>8668</v>
      </c>
      <c r="J1423" s="11" t="s">
        <v>8669</v>
      </c>
      <c r="K1423" s="11" t="s">
        <v>4437</v>
      </c>
      <c r="L1423" s="11" t="s">
        <v>8670</v>
      </c>
      <c r="M1423" s="11" t="s">
        <v>1577</v>
      </c>
      <c r="N1423" s="14" t="n">
        <v>3</v>
      </c>
      <c r="O1423" s="14" t="n">
        <v>3</v>
      </c>
      <c r="P1423" s="14" t="n">
        <v>3</v>
      </c>
      <c r="Q1423" s="14"/>
      <c r="R1423" s="12" t="n">
        <f aca="false">IF(OR(N1423="",P1423=""),"",ROUND(N1423*O1423/P1423,1))</f>
        <v>3</v>
      </c>
      <c r="S1423" s="13" t="n">
        <f aca="false">IF(R1423="","",IF(Q1423="Y",1,IF(P1423&gt;='Read me'!$B$16,3,IF(AND(R1423&gt;='Read me'!$B$14,P1423&lt;='Read me'!$B$15),1,2))))</f>
        <v>2</v>
      </c>
    </row>
    <row r="1424" customFormat="false" ht="35.05" hidden="false" customHeight="false" outlineLevel="0" collapsed="false">
      <c r="A1424" s="11" t="s">
        <v>8671</v>
      </c>
      <c r="B1424" s="11" t="s">
        <v>43</v>
      </c>
      <c r="C1424" s="11" t="s">
        <v>324</v>
      </c>
      <c r="D1424" s="11" t="s">
        <v>325</v>
      </c>
      <c r="E1424" s="11" t="s">
        <v>751</v>
      </c>
      <c r="F1424" s="11" t="s">
        <v>8672</v>
      </c>
      <c r="G1424" s="11" t="s">
        <v>8673</v>
      </c>
      <c r="H1424" s="11"/>
      <c r="I1424" s="11" t="s">
        <v>8674</v>
      </c>
      <c r="J1424" s="11" t="s">
        <v>8675</v>
      </c>
      <c r="K1424" s="11" t="s">
        <v>5634</v>
      </c>
      <c r="L1424" s="11" t="s">
        <v>8676</v>
      </c>
      <c r="M1424" s="11" t="s">
        <v>8677</v>
      </c>
      <c r="N1424" s="14" t="n">
        <v>2</v>
      </c>
      <c r="O1424" s="14" t="n">
        <v>3</v>
      </c>
      <c r="P1424" s="14" t="n">
        <v>3</v>
      </c>
      <c r="Q1424" s="14"/>
      <c r="R1424" s="12" t="n">
        <f aca="false">IF(OR(N1424="",P1424=""),"",ROUND(N1424*O1424/P1424,1))</f>
        <v>2</v>
      </c>
      <c r="S1424" s="13" t="n">
        <f aca="false">IF(R1424="","",IF(Q1424="Y",1,IF(P1424&gt;='Read me'!$B$16,3,IF(AND(R1424&gt;='Read me'!$B$14,P1424&lt;='Read me'!$B$15),1,2))))</f>
        <v>2</v>
      </c>
    </row>
    <row r="1425" customFormat="false" ht="23.85" hidden="false" customHeight="false" outlineLevel="0" collapsed="false">
      <c r="A1425" s="11" t="s">
        <v>8678</v>
      </c>
      <c r="B1425" s="11" t="s">
        <v>43</v>
      </c>
      <c r="C1425" s="11" t="s">
        <v>324</v>
      </c>
      <c r="D1425" s="11" t="s">
        <v>325</v>
      </c>
      <c r="E1425" s="11" t="s">
        <v>751</v>
      </c>
      <c r="F1425" s="11" t="s">
        <v>8679</v>
      </c>
      <c r="G1425" s="11" t="s">
        <v>1990</v>
      </c>
      <c r="H1425" s="11"/>
      <c r="I1425" s="11" t="s">
        <v>8680</v>
      </c>
      <c r="J1425" s="11" t="s">
        <v>8681</v>
      </c>
      <c r="K1425" s="11" t="s">
        <v>916</v>
      </c>
      <c r="L1425" s="11" t="s">
        <v>8327</v>
      </c>
      <c r="M1425" s="11"/>
      <c r="N1425" s="14" t="n">
        <v>1</v>
      </c>
      <c r="O1425" s="14" t="n">
        <v>2</v>
      </c>
      <c r="P1425" s="14" t="n">
        <v>3</v>
      </c>
      <c r="Q1425" s="14"/>
      <c r="R1425" s="12" t="n">
        <f aca="false">IF(OR(N1425="",P1425=""),"",ROUND(N1425*O1425/P1425,1))</f>
        <v>0.7</v>
      </c>
      <c r="S1425" s="13" t="n">
        <f aca="false">IF(R1425="","",IF(Q1425="Y",1,IF(P1425&gt;='Read me'!$B$16,3,IF(AND(R1425&gt;='Read me'!$B$14,P1425&lt;='Read me'!$B$15),1,2))))</f>
        <v>2</v>
      </c>
    </row>
    <row r="1426" customFormat="false" ht="23.85" hidden="false" customHeight="false" outlineLevel="0" collapsed="false">
      <c r="A1426" s="11" t="s">
        <v>8682</v>
      </c>
      <c r="B1426" s="11" t="s">
        <v>43</v>
      </c>
      <c r="C1426" s="11" t="s">
        <v>324</v>
      </c>
      <c r="D1426" s="11" t="s">
        <v>325</v>
      </c>
      <c r="E1426" s="11" t="s">
        <v>765</v>
      </c>
      <c r="F1426" s="11" t="s">
        <v>8683</v>
      </c>
      <c r="G1426" s="11" t="s">
        <v>8684</v>
      </c>
      <c r="H1426" s="11"/>
      <c r="I1426" s="11" t="s">
        <v>512</v>
      </c>
      <c r="J1426" s="11" t="s">
        <v>8685</v>
      </c>
      <c r="K1426" s="11" t="s">
        <v>8686</v>
      </c>
      <c r="L1426" s="11" t="s">
        <v>8687</v>
      </c>
      <c r="M1426" s="11"/>
      <c r="N1426" s="14" t="n">
        <v>2</v>
      </c>
      <c r="O1426" s="14" t="n">
        <v>3</v>
      </c>
      <c r="P1426" s="14" t="n">
        <v>2</v>
      </c>
      <c r="Q1426" s="14"/>
      <c r="R1426" s="12" t="n">
        <f aca="false">IF(OR(N1426="",P1426=""),"",ROUND(N1426*O1426/P1426,1))</f>
        <v>3</v>
      </c>
      <c r="S1426" s="13" t="n">
        <f aca="false">IF(R1426="","",IF(Q1426="Y",1,IF(P1426&gt;='Read me'!$B$16,3,IF(AND(R1426&gt;='Read me'!$B$14,P1426&lt;='Read me'!$B$15),1,2))))</f>
        <v>2</v>
      </c>
    </row>
    <row r="1427" customFormat="false" ht="23.85" hidden="false" customHeight="false" outlineLevel="0" collapsed="false">
      <c r="A1427" s="11" t="s">
        <v>8688</v>
      </c>
      <c r="B1427" s="11" t="s">
        <v>43</v>
      </c>
      <c r="C1427" s="11" t="s">
        <v>324</v>
      </c>
      <c r="D1427" s="11" t="s">
        <v>325</v>
      </c>
      <c r="E1427" s="11" t="s">
        <v>1187</v>
      </c>
      <c r="F1427" s="11" t="s">
        <v>8689</v>
      </c>
      <c r="G1427" s="11"/>
      <c r="H1427" s="11" t="s">
        <v>8690</v>
      </c>
      <c r="I1427" s="11" t="s">
        <v>8691</v>
      </c>
      <c r="J1427" s="11" t="s">
        <v>8692</v>
      </c>
      <c r="K1427" s="11" t="s">
        <v>2768</v>
      </c>
      <c r="L1427" s="11" t="s">
        <v>8693</v>
      </c>
      <c r="M1427" s="11"/>
      <c r="N1427" s="14" t="n">
        <v>2</v>
      </c>
      <c r="O1427" s="14" t="n">
        <v>3</v>
      </c>
      <c r="P1427" s="14" t="n">
        <v>3</v>
      </c>
      <c r="Q1427" s="14"/>
      <c r="R1427" s="12" t="n">
        <f aca="false">IF(OR(N1427="",P1427=""),"",ROUND(N1427*O1427/P1427,1))</f>
        <v>2</v>
      </c>
      <c r="S1427" s="13" t="n">
        <f aca="false">IF(R1427="","",IF(Q1427="Y",1,IF(P1427&gt;='Read me'!$B$16,3,IF(AND(R1427&gt;='Read me'!$B$14,P1427&lt;='Read me'!$B$15),1,2))))</f>
        <v>2</v>
      </c>
    </row>
    <row r="1428" customFormat="false" ht="23.85" hidden="false" customHeight="false" outlineLevel="0" collapsed="false">
      <c r="A1428" s="11" t="s">
        <v>8694</v>
      </c>
      <c r="B1428" s="11" t="s">
        <v>43</v>
      </c>
      <c r="C1428" s="11" t="s">
        <v>324</v>
      </c>
      <c r="D1428" s="11" t="s">
        <v>325</v>
      </c>
      <c r="E1428" s="11" t="s">
        <v>1187</v>
      </c>
      <c r="F1428" s="11" t="s">
        <v>8695</v>
      </c>
      <c r="G1428" s="11"/>
      <c r="H1428" s="11" t="s">
        <v>8696</v>
      </c>
      <c r="I1428" s="11" t="s">
        <v>8697</v>
      </c>
      <c r="J1428" s="11" t="s">
        <v>8698</v>
      </c>
      <c r="K1428" s="11" t="s">
        <v>8699</v>
      </c>
      <c r="L1428" s="11" t="s">
        <v>8700</v>
      </c>
      <c r="M1428" s="11"/>
      <c r="N1428" s="14" t="n">
        <v>1</v>
      </c>
      <c r="O1428" s="14" t="n">
        <v>4</v>
      </c>
      <c r="P1428" s="14" t="n">
        <v>5</v>
      </c>
      <c r="Q1428" s="14"/>
      <c r="R1428" s="12" t="n">
        <f aca="false">IF(OR(N1428="",P1428=""),"",ROUND(N1428*O1428/P1428,1))</f>
        <v>0.8</v>
      </c>
      <c r="S1428" s="13" t="n">
        <f aca="false">IF(R1428="","",IF(Q1428="Y",1,IF(P1428&gt;='Read me'!$B$16,3,IF(AND(R1428&gt;='Read me'!$B$14,P1428&lt;='Read me'!$B$15),1,2))))</f>
        <v>3</v>
      </c>
    </row>
    <row r="1429" customFormat="false" ht="23.85" hidden="false" customHeight="false" outlineLevel="0" collapsed="false">
      <c r="A1429" s="11" t="s">
        <v>8701</v>
      </c>
      <c r="B1429" s="11" t="s">
        <v>43</v>
      </c>
      <c r="C1429" s="11" t="s">
        <v>324</v>
      </c>
      <c r="D1429" s="11" t="s">
        <v>325</v>
      </c>
      <c r="E1429" s="11" t="s">
        <v>1187</v>
      </c>
      <c r="F1429" s="11" t="s">
        <v>8702</v>
      </c>
      <c r="G1429" s="11" t="s">
        <v>7498</v>
      </c>
      <c r="H1429" s="11" t="s">
        <v>8703</v>
      </c>
      <c r="I1429" s="11" t="s">
        <v>8704</v>
      </c>
      <c r="J1429" s="11" t="s">
        <v>8705</v>
      </c>
      <c r="K1429" s="11" t="s">
        <v>675</v>
      </c>
      <c r="L1429" s="11" t="s">
        <v>8706</v>
      </c>
      <c r="M1429" s="11"/>
      <c r="N1429" s="14" t="n">
        <v>1</v>
      </c>
      <c r="O1429" s="14" t="n">
        <v>3</v>
      </c>
      <c r="P1429" s="14" t="n">
        <v>5</v>
      </c>
      <c r="Q1429" s="14"/>
      <c r="R1429" s="12" t="n">
        <f aca="false">IF(OR(N1429="",P1429=""),"",ROUND(N1429*O1429/P1429,1))</f>
        <v>0.6</v>
      </c>
      <c r="S1429" s="13" t="n">
        <f aca="false">IF(R1429="","",IF(Q1429="Y",1,IF(P1429&gt;='Read me'!$B$16,3,IF(AND(R1429&gt;='Read me'!$B$14,P1429&lt;='Read me'!$B$15),1,2))))</f>
        <v>3</v>
      </c>
    </row>
    <row r="1430" customFormat="false" ht="46.25" hidden="false" customHeight="false" outlineLevel="0" collapsed="false">
      <c r="A1430" s="11" t="s">
        <v>8707</v>
      </c>
      <c r="B1430" s="11" t="s">
        <v>44</v>
      </c>
      <c r="C1430" s="11" t="s">
        <v>327</v>
      </c>
      <c r="D1430" s="11" t="s">
        <v>328</v>
      </c>
      <c r="E1430" s="11" t="s">
        <v>476</v>
      </c>
      <c r="F1430" s="11" t="s">
        <v>8708</v>
      </c>
      <c r="G1430" s="11"/>
      <c r="H1430" s="11"/>
      <c r="I1430" s="11" t="s">
        <v>8709</v>
      </c>
      <c r="J1430" s="11" t="s">
        <v>8710</v>
      </c>
      <c r="K1430" s="11" t="s">
        <v>8711</v>
      </c>
      <c r="L1430" s="11" t="s">
        <v>8712</v>
      </c>
      <c r="M1430" s="11" t="s">
        <v>8713</v>
      </c>
      <c r="N1430" s="14" t="n">
        <v>3</v>
      </c>
      <c r="O1430" s="14" t="n">
        <v>3</v>
      </c>
      <c r="P1430" s="14" t="n">
        <v>4</v>
      </c>
      <c r="Q1430" s="14"/>
      <c r="R1430" s="12" t="n">
        <f aca="false">IF(OR(N1430="",P1430=""),"",ROUND(N1430*O1430/P1430,1))</f>
        <v>2.3</v>
      </c>
      <c r="S1430" s="13" t="n">
        <f aca="false">IF(R1430="","",IF(Q1430="Y",1,IF(P1430&gt;='Read me'!$B$16,3,IF(AND(R1430&gt;='Read me'!$B$14,P1430&lt;='Read me'!$B$15),1,2))))</f>
        <v>3</v>
      </c>
    </row>
    <row r="1431" customFormat="false" ht="23.85" hidden="false" customHeight="false" outlineLevel="0" collapsed="false">
      <c r="A1431" s="11" t="s">
        <v>8714</v>
      </c>
      <c r="B1431" s="11" t="s">
        <v>44</v>
      </c>
      <c r="C1431" s="11" t="s">
        <v>327</v>
      </c>
      <c r="D1431" s="11" t="s">
        <v>328</v>
      </c>
      <c r="E1431" s="11" t="s">
        <v>476</v>
      </c>
      <c r="F1431" s="11" t="s">
        <v>8708</v>
      </c>
      <c r="G1431" s="11" t="s">
        <v>8715</v>
      </c>
      <c r="H1431" s="11" t="s">
        <v>8716</v>
      </c>
      <c r="I1431" s="11" t="s">
        <v>8717</v>
      </c>
      <c r="J1431" s="11" t="s">
        <v>8718</v>
      </c>
      <c r="K1431" s="11" t="s">
        <v>2887</v>
      </c>
      <c r="L1431" s="11" t="s">
        <v>8719</v>
      </c>
      <c r="M1431" s="11" t="s">
        <v>8720</v>
      </c>
      <c r="N1431" s="14" t="n">
        <v>2</v>
      </c>
      <c r="O1431" s="14" t="n">
        <v>2</v>
      </c>
      <c r="P1431" s="14" t="n">
        <v>3</v>
      </c>
      <c r="Q1431" s="14"/>
      <c r="R1431" s="12" t="n">
        <f aca="false">IF(OR(N1431="",P1431=""),"",ROUND(N1431*O1431/P1431,1))</f>
        <v>1.3</v>
      </c>
      <c r="S1431" s="13" t="n">
        <f aca="false">IF(R1431="","",IF(Q1431="Y",1,IF(P1431&gt;='Read me'!$B$16,3,IF(AND(R1431&gt;='Read me'!$B$14,P1431&lt;='Read me'!$B$15),1,2))))</f>
        <v>2</v>
      </c>
    </row>
    <row r="1432" customFormat="false" ht="46.25" hidden="false" customHeight="false" outlineLevel="0" collapsed="false">
      <c r="A1432" s="11" t="s">
        <v>8721</v>
      </c>
      <c r="B1432" s="11" t="s">
        <v>44</v>
      </c>
      <c r="C1432" s="11" t="s">
        <v>327</v>
      </c>
      <c r="D1432" s="11" t="s">
        <v>328</v>
      </c>
      <c r="E1432" s="11" t="s">
        <v>476</v>
      </c>
      <c r="F1432" s="11" t="s">
        <v>8722</v>
      </c>
      <c r="G1432" s="11" t="s">
        <v>8723</v>
      </c>
      <c r="H1432" s="11"/>
      <c r="I1432" s="11" t="s">
        <v>512</v>
      </c>
      <c r="J1432" s="11" t="s">
        <v>8724</v>
      </c>
      <c r="K1432" s="11" t="s">
        <v>8725</v>
      </c>
      <c r="L1432" s="11" t="s">
        <v>8726</v>
      </c>
      <c r="M1432" s="11" t="s">
        <v>8727</v>
      </c>
      <c r="N1432" s="14" t="n">
        <v>2</v>
      </c>
      <c r="O1432" s="14" t="n">
        <v>3</v>
      </c>
      <c r="P1432" s="14" t="n">
        <v>4</v>
      </c>
      <c r="Q1432" s="14"/>
      <c r="R1432" s="12" t="n">
        <f aca="false">IF(OR(N1432="",P1432=""),"",ROUND(N1432*O1432/P1432,1))</f>
        <v>1.5</v>
      </c>
      <c r="S1432" s="13" t="n">
        <f aca="false">IF(R1432="","",IF(Q1432="Y",1,IF(P1432&gt;='Read me'!$B$16,3,IF(AND(R1432&gt;='Read me'!$B$14,P1432&lt;='Read me'!$B$15),1,2))))</f>
        <v>3</v>
      </c>
    </row>
    <row r="1433" customFormat="false" ht="35.05" hidden="false" customHeight="false" outlineLevel="0" collapsed="false">
      <c r="A1433" s="11" t="s">
        <v>8728</v>
      </c>
      <c r="B1433" s="11" t="s">
        <v>44</v>
      </c>
      <c r="C1433" s="11" t="s">
        <v>327</v>
      </c>
      <c r="D1433" s="11" t="s">
        <v>328</v>
      </c>
      <c r="E1433" s="11" t="s">
        <v>532</v>
      </c>
      <c r="F1433" s="11" t="s">
        <v>8729</v>
      </c>
      <c r="G1433" s="11"/>
      <c r="H1433" s="11"/>
      <c r="I1433" s="11" t="s">
        <v>8730</v>
      </c>
      <c r="J1433" s="11" t="s">
        <v>8731</v>
      </c>
      <c r="K1433" s="11" t="s">
        <v>8732</v>
      </c>
      <c r="L1433" s="11" t="s">
        <v>8733</v>
      </c>
      <c r="M1433" s="11"/>
      <c r="N1433" s="14" t="n">
        <v>3</v>
      </c>
      <c r="O1433" s="14" t="n">
        <v>3</v>
      </c>
      <c r="P1433" s="14" t="n">
        <v>3</v>
      </c>
      <c r="Q1433" s="14"/>
      <c r="R1433" s="12" t="n">
        <f aca="false">IF(OR(N1433="",P1433=""),"",ROUND(N1433*O1433/P1433,1))</f>
        <v>3</v>
      </c>
      <c r="S1433" s="13" t="n">
        <f aca="false">IF(R1433="","",IF(Q1433="Y",1,IF(P1433&gt;='Read me'!$B$16,3,IF(AND(R1433&gt;='Read me'!$B$14,P1433&lt;='Read me'!$B$15),1,2))))</f>
        <v>2</v>
      </c>
    </row>
    <row r="1434" customFormat="false" ht="46.25" hidden="false" customHeight="false" outlineLevel="0" collapsed="false">
      <c r="A1434" s="11" t="s">
        <v>8734</v>
      </c>
      <c r="B1434" s="11" t="s">
        <v>44</v>
      </c>
      <c r="C1434" s="11" t="s">
        <v>327</v>
      </c>
      <c r="D1434" s="11" t="s">
        <v>328</v>
      </c>
      <c r="E1434" s="11" t="s">
        <v>626</v>
      </c>
      <c r="F1434" s="11" t="s">
        <v>8735</v>
      </c>
      <c r="G1434" s="11" t="s">
        <v>8736</v>
      </c>
      <c r="H1434" s="11"/>
      <c r="I1434" s="11" t="s">
        <v>8737</v>
      </c>
      <c r="J1434" s="11" t="s">
        <v>8738</v>
      </c>
      <c r="K1434" s="11" t="s">
        <v>8739</v>
      </c>
      <c r="L1434" s="11" t="s">
        <v>8740</v>
      </c>
      <c r="M1434" s="11" t="s">
        <v>8713</v>
      </c>
      <c r="N1434" s="14" t="n">
        <v>3</v>
      </c>
      <c r="O1434" s="14" t="n">
        <v>3</v>
      </c>
      <c r="P1434" s="14" t="n">
        <v>5</v>
      </c>
      <c r="Q1434" s="14"/>
      <c r="R1434" s="12" t="n">
        <f aca="false">IF(OR(N1434="",P1434=""),"",ROUND(N1434*O1434/P1434,1))</f>
        <v>1.8</v>
      </c>
      <c r="S1434" s="13" t="n">
        <f aca="false">IF(R1434="","",IF(Q1434="Y",1,IF(P1434&gt;='Read me'!$B$16,3,IF(AND(R1434&gt;='Read me'!$B$14,P1434&lt;='Read me'!$B$15),1,2))))</f>
        <v>3</v>
      </c>
    </row>
    <row r="1435" customFormat="false" ht="35.05" hidden="false" customHeight="false" outlineLevel="0" collapsed="false">
      <c r="A1435" s="11" t="s">
        <v>8741</v>
      </c>
      <c r="B1435" s="11" t="s">
        <v>44</v>
      </c>
      <c r="C1435" s="11" t="s">
        <v>327</v>
      </c>
      <c r="D1435" s="11" t="s">
        <v>328</v>
      </c>
      <c r="E1435" s="11" t="s">
        <v>626</v>
      </c>
      <c r="F1435" s="11" t="s">
        <v>8742</v>
      </c>
      <c r="G1435" s="11" t="s">
        <v>8743</v>
      </c>
      <c r="H1435" s="11"/>
      <c r="I1435" s="11" t="s">
        <v>8744</v>
      </c>
      <c r="J1435" s="11" t="s">
        <v>8745</v>
      </c>
      <c r="K1435" s="11" t="s">
        <v>5606</v>
      </c>
      <c r="L1435" s="11" t="s">
        <v>8746</v>
      </c>
      <c r="M1435" s="11" t="s">
        <v>8747</v>
      </c>
      <c r="N1435" s="14" t="n">
        <v>2</v>
      </c>
      <c r="O1435" s="14" t="n">
        <v>3</v>
      </c>
      <c r="P1435" s="14" t="n">
        <v>3</v>
      </c>
      <c r="Q1435" s="14"/>
      <c r="R1435" s="12" t="n">
        <f aca="false">IF(OR(N1435="",P1435=""),"",ROUND(N1435*O1435/P1435,1))</f>
        <v>2</v>
      </c>
      <c r="S1435" s="13" t="n">
        <f aca="false">IF(R1435="","",IF(Q1435="Y",1,IF(P1435&gt;='Read me'!$B$16,3,IF(AND(R1435&gt;='Read me'!$B$14,P1435&lt;='Read me'!$B$15),1,2))))</f>
        <v>2</v>
      </c>
    </row>
    <row r="1436" customFormat="false" ht="68.65" hidden="false" customHeight="false" outlineLevel="0" collapsed="false">
      <c r="A1436" s="11" t="s">
        <v>8748</v>
      </c>
      <c r="B1436" s="11" t="s">
        <v>44</v>
      </c>
      <c r="C1436" s="11" t="s">
        <v>327</v>
      </c>
      <c r="D1436" s="11" t="s">
        <v>328</v>
      </c>
      <c r="E1436" s="11" t="s">
        <v>751</v>
      </c>
      <c r="F1436" s="11" t="s">
        <v>8749</v>
      </c>
      <c r="G1436" s="11" t="s">
        <v>8750</v>
      </c>
      <c r="H1436" s="11"/>
      <c r="I1436" s="11" t="s">
        <v>8751</v>
      </c>
      <c r="J1436" s="11" t="s">
        <v>8752</v>
      </c>
      <c r="K1436" s="11" t="s">
        <v>8753</v>
      </c>
      <c r="L1436" s="11" t="s">
        <v>8754</v>
      </c>
      <c r="M1436" s="11" t="s">
        <v>8755</v>
      </c>
      <c r="N1436" s="14" t="n">
        <v>3</v>
      </c>
      <c r="O1436" s="14" t="n">
        <v>4</v>
      </c>
      <c r="P1436" s="14" t="n">
        <v>4</v>
      </c>
      <c r="Q1436" s="14"/>
      <c r="R1436" s="12" t="n">
        <f aca="false">IF(OR(N1436="",P1436=""),"",ROUND(N1436*O1436/P1436,1))</f>
        <v>3</v>
      </c>
      <c r="S1436" s="13" t="n">
        <f aca="false">IF(R1436="","",IF(Q1436="Y",1,IF(P1436&gt;='Read me'!$B$16,3,IF(AND(R1436&gt;='Read me'!$B$14,P1436&lt;='Read me'!$B$15),1,2))))</f>
        <v>3</v>
      </c>
    </row>
    <row r="1437" customFormat="false" ht="23.85" hidden="false" customHeight="false" outlineLevel="0" collapsed="false">
      <c r="A1437" s="11" t="s">
        <v>8756</v>
      </c>
      <c r="B1437" s="11" t="s">
        <v>44</v>
      </c>
      <c r="C1437" s="11" t="s">
        <v>327</v>
      </c>
      <c r="D1437" s="11" t="s">
        <v>328</v>
      </c>
      <c r="E1437" s="11" t="s">
        <v>751</v>
      </c>
      <c r="F1437" s="11" t="s">
        <v>8749</v>
      </c>
      <c r="G1437" s="11"/>
      <c r="H1437" s="11" t="s">
        <v>678</v>
      </c>
      <c r="I1437" s="11" t="s">
        <v>8757</v>
      </c>
      <c r="J1437" s="11" t="s">
        <v>8758</v>
      </c>
      <c r="K1437" s="11" t="s">
        <v>8759</v>
      </c>
      <c r="L1437" s="11" t="s">
        <v>8760</v>
      </c>
      <c r="M1437" s="11"/>
      <c r="N1437" s="14" t="n">
        <v>2</v>
      </c>
      <c r="O1437" s="14" t="n">
        <v>3</v>
      </c>
      <c r="P1437" s="14" t="n">
        <v>3</v>
      </c>
      <c r="Q1437" s="14"/>
      <c r="R1437" s="12" t="n">
        <f aca="false">IF(OR(N1437="",P1437=""),"",ROUND(N1437*O1437/P1437,1))</f>
        <v>2</v>
      </c>
      <c r="S1437" s="13" t="n">
        <f aca="false">IF(R1437="","",IF(Q1437="Y",1,IF(P1437&gt;='Read me'!$B$16,3,IF(AND(R1437&gt;='Read me'!$B$14,P1437&lt;='Read me'!$B$15),1,2))))</f>
        <v>2</v>
      </c>
    </row>
    <row r="1438" customFormat="false" ht="23.85" hidden="false" customHeight="false" outlineLevel="0" collapsed="false">
      <c r="A1438" s="11" t="s">
        <v>8761</v>
      </c>
      <c r="B1438" s="11" t="s">
        <v>44</v>
      </c>
      <c r="C1438" s="11" t="s">
        <v>327</v>
      </c>
      <c r="D1438" s="11" t="s">
        <v>328</v>
      </c>
      <c r="E1438" s="11" t="s">
        <v>751</v>
      </c>
      <c r="F1438" s="11" t="s">
        <v>8749</v>
      </c>
      <c r="G1438" s="11"/>
      <c r="H1438" s="11" t="s">
        <v>1259</v>
      </c>
      <c r="I1438" s="11" t="s">
        <v>8762</v>
      </c>
      <c r="J1438" s="11" t="s">
        <v>8763</v>
      </c>
      <c r="K1438" s="11" t="s">
        <v>8764</v>
      </c>
      <c r="L1438" s="11" t="s">
        <v>8765</v>
      </c>
      <c r="M1438" s="11"/>
      <c r="N1438" s="14" t="n">
        <v>1</v>
      </c>
      <c r="O1438" s="14" t="n">
        <v>2</v>
      </c>
      <c r="P1438" s="14" t="n">
        <v>2</v>
      </c>
      <c r="Q1438" s="14"/>
      <c r="R1438" s="12" t="n">
        <f aca="false">IF(OR(N1438="",P1438=""),"",ROUND(N1438*O1438/P1438,1))</f>
        <v>1</v>
      </c>
      <c r="S1438" s="13" t="n">
        <f aca="false">IF(R1438="","",IF(Q1438="Y",1,IF(P1438&gt;='Read me'!$B$16,3,IF(AND(R1438&gt;='Read me'!$B$14,P1438&lt;='Read me'!$B$15),1,2))))</f>
        <v>2</v>
      </c>
    </row>
    <row r="1439" customFormat="false" ht="23.85" hidden="false" customHeight="false" outlineLevel="0" collapsed="false">
      <c r="A1439" s="11" t="s">
        <v>8766</v>
      </c>
      <c r="B1439" s="11" t="s">
        <v>44</v>
      </c>
      <c r="C1439" s="11" t="s">
        <v>327</v>
      </c>
      <c r="D1439" s="11" t="s">
        <v>328</v>
      </c>
      <c r="E1439" s="11" t="s">
        <v>751</v>
      </c>
      <c r="F1439" s="11" t="s">
        <v>8767</v>
      </c>
      <c r="G1439" s="11" t="s">
        <v>8768</v>
      </c>
      <c r="H1439" s="11"/>
      <c r="I1439" s="11" t="s">
        <v>8769</v>
      </c>
      <c r="J1439" s="11" t="s">
        <v>8770</v>
      </c>
      <c r="K1439" s="11" t="s">
        <v>792</v>
      </c>
      <c r="L1439" s="11" t="s">
        <v>8771</v>
      </c>
      <c r="M1439" s="11" t="s">
        <v>8772</v>
      </c>
      <c r="N1439" s="14" t="n">
        <v>1</v>
      </c>
      <c r="O1439" s="14" t="n">
        <v>2</v>
      </c>
      <c r="P1439" s="14" t="n">
        <v>4</v>
      </c>
      <c r="Q1439" s="14"/>
      <c r="R1439" s="12" t="n">
        <f aca="false">IF(OR(N1439="",P1439=""),"",ROUND(N1439*O1439/P1439,1))</f>
        <v>0.5</v>
      </c>
      <c r="S1439" s="13" t="n">
        <f aca="false">IF(R1439="","",IF(Q1439="Y",1,IF(P1439&gt;='Read me'!$B$16,3,IF(AND(R1439&gt;='Read me'!$B$14,P1439&lt;='Read me'!$B$15),1,2))))</f>
        <v>3</v>
      </c>
    </row>
    <row r="1440" customFormat="false" ht="23.85" hidden="false" customHeight="false" outlineLevel="0" collapsed="false">
      <c r="A1440" s="11" t="s">
        <v>8773</v>
      </c>
      <c r="B1440" s="11" t="s">
        <v>44</v>
      </c>
      <c r="C1440" s="11" t="s">
        <v>327</v>
      </c>
      <c r="D1440" s="11" t="s">
        <v>328</v>
      </c>
      <c r="E1440" s="11" t="s">
        <v>1187</v>
      </c>
      <c r="F1440" s="11" t="s">
        <v>8774</v>
      </c>
      <c r="G1440" s="11"/>
      <c r="H1440" s="11" t="s">
        <v>8775</v>
      </c>
      <c r="I1440" s="11" t="s">
        <v>8776</v>
      </c>
      <c r="J1440" s="11" t="s">
        <v>8777</v>
      </c>
      <c r="K1440" s="11" t="s">
        <v>2768</v>
      </c>
      <c r="L1440" s="11" t="s">
        <v>8778</v>
      </c>
      <c r="M1440" s="11"/>
      <c r="N1440" s="14" t="n">
        <v>1</v>
      </c>
      <c r="O1440" s="14" t="n">
        <v>3</v>
      </c>
      <c r="P1440" s="14" t="n">
        <v>4</v>
      </c>
      <c r="Q1440" s="14"/>
      <c r="R1440" s="12" t="n">
        <f aca="false">IF(OR(N1440="",P1440=""),"",ROUND(N1440*O1440/P1440,1))</f>
        <v>0.8</v>
      </c>
      <c r="S1440" s="13" t="n">
        <f aca="false">IF(R1440="","",IF(Q1440="Y",1,IF(P1440&gt;='Read me'!$B$16,3,IF(AND(R1440&gt;='Read me'!$B$14,P1440&lt;='Read me'!$B$15),1,2))))</f>
        <v>3</v>
      </c>
    </row>
    <row r="1441" customFormat="false" ht="35.05" hidden="false" customHeight="false" outlineLevel="0" collapsed="false">
      <c r="A1441" s="11" t="s">
        <v>8779</v>
      </c>
      <c r="B1441" s="11" t="s">
        <v>44</v>
      </c>
      <c r="C1441" s="11" t="s">
        <v>327</v>
      </c>
      <c r="D1441" s="11" t="s">
        <v>328</v>
      </c>
      <c r="E1441" s="11" t="s">
        <v>1187</v>
      </c>
      <c r="F1441" s="11" t="s">
        <v>8780</v>
      </c>
      <c r="G1441" s="11"/>
      <c r="H1441" s="11" t="s">
        <v>8781</v>
      </c>
      <c r="I1441" s="11" t="s">
        <v>8782</v>
      </c>
      <c r="J1441" s="11" t="s">
        <v>8783</v>
      </c>
      <c r="K1441" s="11" t="s">
        <v>916</v>
      </c>
      <c r="L1441" s="11" t="s">
        <v>8784</v>
      </c>
      <c r="M1441" s="11"/>
      <c r="N1441" s="14" t="n">
        <v>1</v>
      </c>
      <c r="O1441" s="14" t="n">
        <v>3</v>
      </c>
      <c r="P1441" s="14" t="n">
        <v>5</v>
      </c>
      <c r="Q1441" s="14"/>
      <c r="R1441" s="12" t="n">
        <f aca="false">IF(OR(N1441="",P1441=""),"",ROUND(N1441*O1441/P1441,1))</f>
        <v>0.6</v>
      </c>
      <c r="S1441" s="13" t="n">
        <f aca="false">IF(R1441="","",IF(Q1441="Y",1,IF(P1441&gt;='Read me'!$B$16,3,IF(AND(R1441&gt;='Read me'!$B$14,P1441&lt;='Read me'!$B$15),1,2))))</f>
        <v>3</v>
      </c>
    </row>
    <row r="1442" customFormat="false" ht="23.85" hidden="false" customHeight="false" outlineLevel="0" collapsed="false">
      <c r="A1442" s="11" t="s">
        <v>8785</v>
      </c>
      <c r="B1442" s="11" t="s">
        <v>44</v>
      </c>
      <c r="C1442" s="11" t="s">
        <v>327</v>
      </c>
      <c r="D1442" s="11" t="s">
        <v>328</v>
      </c>
      <c r="E1442" s="11" t="s">
        <v>1187</v>
      </c>
      <c r="F1442" s="11" t="s">
        <v>8786</v>
      </c>
      <c r="G1442" s="11" t="s">
        <v>8787</v>
      </c>
      <c r="H1442" s="11"/>
      <c r="I1442" s="11" t="s">
        <v>8788</v>
      </c>
      <c r="J1442" s="11" t="s">
        <v>8789</v>
      </c>
      <c r="K1442" s="11" t="s">
        <v>916</v>
      </c>
      <c r="L1442" s="11" t="s">
        <v>8790</v>
      </c>
      <c r="M1442" s="11" t="s">
        <v>8791</v>
      </c>
      <c r="N1442" s="14" t="n">
        <v>1</v>
      </c>
      <c r="O1442" s="14" t="n">
        <v>2</v>
      </c>
      <c r="P1442" s="14" t="n">
        <v>5</v>
      </c>
      <c r="Q1442" s="14"/>
      <c r="R1442" s="12" t="n">
        <f aca="false">IF(OR(N1442="",P1442=""),"",ROUND(N1442*O1442/P1442,1))</f>
        <v>0.4</v>
      </c>
      <c r="S1442" s="13" t="n">
        <f aca="false">IF(R1442="","",IF(Q1442="Y",1,IF(P1442&gt;='Read me'!$B$16,3,IF(AND(R1442&gt;='Read me'!$B$14,P1442&lt;='Read me'!$B$15),1,2))))</f>
        <v>3</v>
      </c>
    </row>
    <row r="1443" customFormat="false" ht="23.85" hidden="false" customHeight="false" outlineLevel="0" collapsed="false">
      <c r="A1443" s="11" t="s">
        <v>8792</v>
      </c>
      <c r="B1443" s="11" t="s">
        <v>44</v>
      </c>
      <c r="C1443" s="11" t="s">
        <v>327</v>
      </c>
      <c r="D1443" s="11" t="s">
        <v>328</v>
      </c>
      <c r="E1443" s="11" t="s">
        <v>1133</v>
      </c>
      <c r="F1443" s="11" t="s">
        <v>8793</v>
      </c>
      <c r="G1443" s="11" t="s">
        <v>8794</v>
      </c>
      <c r="H1443" s="11"/>
      <c r="I1443" s="11" t="s">
        <v>8793</v>
      </c>
      <c r="J1443" s="11" t="s">
        <v>8795</v>
      </c>
      <c r="K1443" s="11" t="s">
        <v>8796</v>
      </c>
      <c r="L1443" s="11" t="s">
        <v>8797</v>
      </c>
      <c r="M1443" s="11" t="s">
        <v>1577</v>
      </c>
      <c r="N1443" s="14" t="n">
        <v>2</v>
      </c>
      <c r="O1443" s="14" t="n">
        <v>3</v>
      </c>
      <c r="P1443" s="14" t="n">
        <v>4</v>
      </c>
      <c r="Q1443" s="14"/>
      <c r="R1443" s="12" t="n">
        <f aca="false">IF(OR(N1443="",P1443=""),"",ROUND(N1443*O1443/P1443,1))</f>
        <v>1.5</v>
      </c>
      <c r="S1443" s="13" t="n">
        <f aca="false">IF(R1443="","",IF(Q1443="Y",1,IF(P1443&gt;='Read me'!$B$16,3,IF(AND(R1443&gt;='Read me'!$B$14,P1443&lt;='Read me'!$B$15),1,2))))</f>
        <v>3</v>
      </c>
    </row>
    <row r="1444" customFormat="false" ht="23.85" hidden="false" customHeight="false" outlineLevel="0" collapsed="false">
      <c r="A1444" s="11" t="s">
        <v>8798</v>
      </c>
      <c r="B1444" s="11" t="s">
        <v>44</v>
      </c>
      <c r="C1444" s="11" t="s">
        <v>327</v>
      </c>
      <c r="D1444" s="11" t="s">
        <v>328</v>
      </c>
      <c r="E1444" s="11" t="s">
        <v>1133</v>
      </c>
      <c r="F1444" s="11" t="s">
        <v>8799</v>
      </c>
      <c r="G1444" s="11" t="s">
        <v>8800</v>
      </c>
      <c r="H1444" s="11"/>
      <c r="I1444" s="11" t="s">
        <v>8801</v>
      </c>
      <c r="J1444" s="11" t="s">
        <v>8802</v>
      </c>
      <c r="K1444" s="11" t="s">
        <v>8803</v>
      </c>
      <c r="L1444" s="11" t="s">
        <v>8804</v>
      </c>
      <c r="M1444" s="11" t="s">
        <v>8805</v>
      </c>
      <c r="N1444" s="14" t="n">
        <v>1</v>
      </c>
      <c r="O1444" s="14" t="n">
        <v>3</v>
      </c>
      <c r="P1444" s="14" t="n">
        <v>3</v>
      </c>
      <c r="Q1444" s="14"/>
      <c r="R1444" s="12" t="n">
        <f aca="false">IF(OR(N1444="",P1444=""),"",ROUND(N1444*O1444/P1444,1))</f>
        <v>1</v>
      </c>
      <c r="S1444" s="13" t="n">
        <f aca="false">IF(R1444="","",IF(Q1444="Y",1,IF(P1444&gt;='Read me'!$B$16,3,IF(AND(R1444&gt;='Read me'!$B$14,P1444&lt;='Read me'!$B$15),1,2))))</f>
        <v>2</v>
      </c>
    </row>
    <row r="1445" customFormat="false" ht="35.05" hidden="false" customHeight="false" outlineLevel="0" collapsed="false">
      <c r="A1445" s="11" t="s">
        <v>8806</v>
      </c>
      <c r="B1445" s="11" t="s">
        <v>44</v>
      </c>
      <c r="C1445" s="11" t="s">
        <v>327</v>
      </c>
      <c r="D1445" s="11" t="s">
        <v>328</v>
      </c>
      <c r="E1445" s="11" t="s">
        <v>1372</v>
      </c>
      <c r="F1445" s="11" t="s">
        <v>8807</v>
      </c>
      <c r="G1445" s="11" t="s">
        <v>8808</v>
      </c>
      <c r="H1445" s="11"/>
      <c r="I1445" s="11" t="s">
        <v>8809</v>
      </c>
      <c r="J1445" s="11" t="s">
        <v>8810</v>
      </c>
      <c r="K1445" s="11" t="s">
        <v>8811</v>
      </c>
      <c r="L1445" s="11" t="s">
        <v>8812</v>
      </c>
      <c r="M1445" s="11" t="s">
        <v>8813</v>
      </c>
      <c r="N1445" s="14" t="n">
        <v>3</v>
      </c>
      <c r="O1445" s="14" t="n">
        <v>3</v>
      </c>
      <c r="P1445" s="14" t="n">
        <v>4</v>
      </c>
      <c r="Q1445" s="14"/>
      <c r="R1445" s="12" t="n">
        <f aca="false">IF(OR(N1445="",P1445=""),"",ROUND(N1445*O1445/P1445,1))</f>
        <v>2.3</v>
      </c>
      <c r="S1445" s="13" t="n">
        <f aca="false">IF(R1445="","",IF(Q1445="Y",1,IF(P1445&gt;='Read me'!$B$16,3,IF(AND(R1445&gt;='Read me'!$B$14,P1445&lt;='Read me'!$B$15),1,2))))</f>
        <v>3</v>
      </c>
    </row>
    <row r="1446" customFormat="false" ht="23.85" hidden="false" customHeight="false" outlineLevel="0" collapsed="false">
      <c r="A1446" s="11" t="s">
        <v>8814</v>
      </c>
      <c r="B1446" s="11" t="s">
        <v>44</v>
      </c>
      <c r="C1446" s="11" t="s">
        <v>327</v>
      </c>
      <c r="D1446" s="11" t="s">
        <v>328</v>
      </c>
      <c r="E1446" s="11" t="s">
        <v>1372</v>
      </c>
      <c r="F1446" s="11" t="s">
        <v>8815</v>
      </c>
      <c r="G1446" s="11"/>
      <c r="H1446" s="11"/>
      <c r="I1446" s="11" t="s">
        <v>8816</v>
      </c>
      <c r="J1446" s="11" t="s">
        <v>8817</v>
      </c>
      <c r="K1446" s="11" t="s">
        <v>8818</v>
      </c>
      <c r="L1446" s="11" t="s">
        <v>8819</v>
      </c>
      <c r="M1446" s="11"/>
      <c r="N1446" s="14" t="n">
        <v>3</v>
      </c>
      <c r="O1446" s="14" t="n">
        <v>3</v>
      </c>
      <c r="P1446" s="14" t="n">
        <v>2</v>
      </c>
      <c r="Q1446" s="14"/>
      <c r="R1446" s="12" t="n">
        <f aca="false">IF(OR(N1446="",P1446=""),"",ROUND(N1446*O1446/P1446,1))</f>
        <v>4.5</v>
      </c>
      <c r="S1446" s="13" t="n">
        <f aca="false">IF(R1446="","",IF(Q1446="Y",1,IF(P1446&gt;='Read me'!$B$16,3,IF(AND(R1446&gt;='Read me'!$B$14,P1446&lt;='Read me'!$B$15),1,2))))</f>
        <v>2</v>
      </c>
    </row>
    <row r="1447" customFormat="false" ht="23.85" hidden="false" customHeight="false" outlineLevel="0" collapsed="false">
      <c r="A1447" s="11" t="s">
        <v>8820</v>
      </c>
      <c r="B1447" s="11" t="s">
        <v>44</v>
      </c>
      <c r="C1447" s="11" t="s">
        <v>327</v>
      </c>
      <c r="D1447" s="11" t="s">
        <v>328</v>
      </c>
      <c r="E1447" s="11" t="s">
        <v>1372</v>
      </c>
      <c r="F1447" s="11" t="s">
        <v>8821</v>
      </c>
      <c r="G1447" s="11"/>
      <c r="H1447" s="11"/>
      <c r="I1447" s="11" t="s">
        <v>8822</v>
      </c>
      <c r="J1447" s="11" t="s">
        <v>8823</v>
      </c>
      <c r="K1447" s="11" t="s">
        <v>8824</v>
      </c>
      <c r="L1447" s="11" t="s">
        <v>8825</v>
      </c>
      <c r="M1447" s="11" t="s">
        <v>8826</v>
      </c>
      <c r="N1447" s="14" t="n">
        <v>1</v>
      </c>
      <c r="O1447" s="14" t="n">
        <v>2</v>
      </c>
      <c r="P1447" s="14" t="n">
        <v>3</v>
      </c>
      <c r="Q1447" s="14"/>
      <c r="R1447" s="12" t="n">
        <f aca="false">IF(OR(N1447="",P1447=""),"",ROUND(N1447*O1447/P1447,1))</f>
        <v>0.7</v>
      </c>
      <c r="S1447" s="13" t="n">
        <f aca="false">IF(R1447="","",IF(Q1447="Y",1,IF(P1447&gt;='Read me'!$B$16,3,IF(AND(R1447&gt;='Read me'!$B$14,P1447&lt;='Read me'!$B$15),1,2))))</f>
        <v>2</v>
      </c>
    </row>
    <row r="1448" customFormat="false" ht="57.45" hidden="false" customHeight="false" outlineLevel="0" collapsed="false">
      <c r="A1448" s="11" t="s">
        <v>8827</v>
      </c>
      <c r="B1448" s="11" t="s">
        <v>44</v>
      </c>
      <c r="C1448" s="11" t="s">
        <v>332</v>
      </c>
      <c r="D1448" s="11" t="s">
        <v>333</v>
      </c>
      <c r="E1448" s="11" t="s">
        <v>476</v>
      </c>
      <c r="F1448" s="11" t="s">
        <v>8828</v>
      </c>
      <c r="G1448" s="11"/>
      <c r="H1448" s="11"/>
      <c r="I1448" s="11" t="s">
        <v>8829</v>
      </c>
      <c r="J1448" s="11" t="s">
        <v>8830</v>
      </c>
      <c r="K1448" s="11" t="s">
        <v>8711</v>
      </c>
      <c r="L1448" s="11" t="s">
        <v>8712</v>
      </c>
      <c r="M1448" s="11" t="s">
        <v>8831</v>
      </c>
      <c r="N1448" s="14" t="n">
        <v>3</v>
      </c>
      <c r="O1448" s="14" t="n">
        <v>3</v>
      </c>
      <c r="P1448" s="14" t="n">
        <v>4</v>
      </c>
      <c r="Q1448" s="14"/>
      <c r="R1448" s="12" t="n">
        <f aca="false">IF(OR(N1448="",P1448=""),"",ROUND(N1448*O1448/P1448,1))</f>
        <v>2.3</v>
      </c>
      <c r="S1448" s="13" t="n">
        <f aca="false">IF(R1448="","",IF(Q1448="Y",1,IF(P1448&gt;='Read me'!$B$16,3,IF(AND(R1448&gt;='Read me'!$B$14,P1448&lt;='Read me'!$B$15),1,2))))</f>
        <v>3</v>
      </c>
    </row>
    <row r="1449" customFormat="false" ht="23.85" hidden="false" customHeight="false" outlineLevel="0" collapsed="false">
      <c r="A1449" s="11" t="s">
        <v>8832</v>
      </c>
      <c r="B1449" s="11" t="s">
        <v>44</v>
      </c>
      <c r="C1449" s="11" t="s">
        <v>332</v>
      </c>
      <c r="D1449" s="11" t="s">
        <v>333</v>
      </c>
      <c r="E1449" s="11" t="s">
        <v>476</v>
      </c>
      <c r="F1449" s="11" t="s">
        <v>8828</v>
      </c>
      <c r="G1449" s="11" t="s">
        <v>8715</v>
      </c>
      <c r="H1449" s="11" t="s">
        <v>8716</v>
      </c>
      <c r="I1449" s="11" t="s">
        <v>8833</v>
      </c>
      <c r="J1449" s="11" t="s">
        <v>8834</v>
      </c>
      <c r="K1449" s="11" t="s">
        <v>2887</v>
      </c>
      <c r="L1449" s="11" t="s">
        <v>8835</v>
      </c>
      <c r="M1449" s="11" t="s">
        <v>8720</v>
      </c>
      <c r="N1449" s="14" t="n">
        <v>2</v>
      </c>
      <c r="O1449" s="14" t="n">
        <v>2</v>
      </c>
      <c r="P1449" s="14" t="n">
        <v>3</v>
      </c>
      <c r="Q1449" s="14"/>
      <c r="R1449" s="12" t="n">
        <f aca="false">IF(OR(N1449="",P1449=""),"",ROUND(N1449*O1449/P1449,1))</f>
        <v>1.3</v>
      </c>
      <c r="S1449" s="13" t="n">
        <f aca="false">IF(R1449="","",IF(Q1449="Y",1,IF(P1449&gt;='Read me'!$B$16,3,IF(AND(R1449&gt;='Read me'!$B$14,P1449&lt;='Read me'!$B$15),1,2))))</f>
        <v>2</v>
      </c>
    </row>
    <row r="1450" customFormat="false" ht="23.85" hidden="false" customHeight="false" outlineLevel="0" collapsed="false">
      <c r="A1450" s="11" t="s">
        <v>8836</v>
      </c>
      <c r="B1450" s="11" t="s">
        <v>44</v>
      </c>
      <c r="C1450" s="11" t="s">
        <v>332</v>
      </c>
      <c r="D1450" s="11" t="s">
        <v>333</v>
      </c>
      <c r="E1450" s="11" t="s">
        <v>532</v>
      </c>
      <c r="F1450" s="11" t="s">
        <v>8837</v>
      </c>
      <c r="G1450" s="11" t="s">
        <v>8838</v>
      </c>
      <c r="H1450" s="11"/>
      <c r="I1450" s="11" t="s">
        <v>8839</v>
      </c>
      <c r="J1450" s="11" t="s">
        <v>8840</v>
      </c>
      <c r="K1450" s="11" t="s">
        <v>8841</v>
      </c>
      <c r="L1450" s="11" t="s">
        <v>8842</v>
      </c>
      <c r="M1450" s="11"/>
      <c r="N1450" s="14" t="n">
        <v>3</v>
      </c>
      <c r="O1450" s="14" t="n">
        <v>3</v>
      </c>
      <c r="P1450" s="14" t="n">
        <v>4</v>
      </c>
      <c r="Q1450" s="14"/>
      <c r="R1450" s="12" t="n">
        <f aca="false">IF(OR(N1450="",P1450=""),"",ROUND(N1450*O1450/P1450,1))</f>
        <v>2.3</v>
      </c>
      <c r="S1450" s="13" t="n">
        <f aca="false">IF(R1450="","",IF(Q1450="Y",1,IF(P1450&gt;='Read me'!$B$16,3,IF(AND(R1450&gt;='Read me'!$B$14,P1450&lt;='Read me'!$B$15),1,2))))</f>
        <v>3</v>
      </c>
    </row>
    <row r="1451" customFormat="false" ht="57.45" hidden="false" customHeight="false" outlineLevel="0" collapsed="false">
      <c r="A1451" s="11" t="s">
        <v>8843</v>
      </c>
      <c r="B1451" s="11" t="s">
        <v>44</v>
      </c>
      <c r="C1451" s="11" t="s">
        <v>332</v>
      </c>
      <c r="D1451" s="11" t="s">
        <v>333</v>
      </c>
      <c r="E1451" s="11" t="s">
        <v>626</v>
      </c>
      <c r="F1451" s="11" t="s">
        <v>8844</v>
      </c>
      <c r="G1451" s="11" t="s">
        <v>8736</v>
      </c>
      <c r="H1451" s="11"/>
      <c r="I1451" s="11" t="s">
        <v>8845</v>
      </c>
      <c r="J1451" s="11" t="s">
        <v>8846</v>
      </c>
      <c r="K1451" s="11" t="s">
        <v>916</v>
      </c>
      <c r="L1451" s="11" t="s">
        <v>8847</v>
      </c>
      <c r="M1451" s="11" t="s">
        <v>8831</v>
      </c>
      <c r="N1451" s="14" t="n">
        <v>3</v>
      </c>
      <c r="O1451" s="14" t="n">
        <v>3</v>
      </c>
      <c r="P1451" s="14" t="n">
        <v>5</v>
      </c>
      <c r="Q1451" s="14"/>
      <c r="R1451" s="12" t="n">
        <f aca="false">IF(OR(N1451="",P1451=""),"",ROUND(N1451*O1451/P1451,1))</f>
        <v>1.8</v>
      </c>
      <c r="S1451" s="13" t="n">
        <f aca="false">IF(R1451="","",IF(Q1451="Y",1,IF(P1451&gt;='Read me'!$B$16,3,IF(AND(R1451&gt;='Read me'!$B$14,P1451&lt;='Read me'!$B$15),1,2))))</f>
        <v>3</v>
      </c>
    </row>
    <row r="1452" customFormat="false" ht="35.05" hidden="false" customHeight="false" outlineLevel="0" collapsed="false">
      <c r="A1452" s="11" t="s">
        <v>8848</v>
      </c>
      <c r="B1452" s="11" t="s">
        <v>44</v>
      </c>
      <c r="C1452" s="11" t="s">
        <v>332</v>
      </c>
      <c r="D1452" s="11" t="s">
        <v>333</v>
      </c>
      <c r="E1452" s="11" t="s">
        <v>751</v>
      </c>
      <c r="F1452" s="11" t="s">
        <v>8849</v>
      </c>
      <c r="G1452" s="11" t="s">
        <v>8850</v>
      </c>
      <c r="H1452" s="11"/>
      <c r="I1452" s="11" t="s">
        <v>8851</v>
      </c>
      <c r="J1452" s="11" t="s">
        <v>8852</v>
      </c>
      <c r="K1452" s="11" t="s">
        <v>8753</v>
      </c>
      <c r="L1452" s="11" t="s">
        <v>8853</v>
      </c>
      <c r="M1452" s="11" t="s">
        <v>1577</v>
      </c>
      <c r="N1452" s="14" t="n">
        <v>3</v>
      </c>
      <c r="O1452" s="14" t="n">
        <v>4</v>
      </c>
      <c r="P1452" s="14" t="n">
        <v>5</v>
      </c>
      <c r="Q1452" s="14"/>
      <c r="R1452" s="12" t="n">
        <f aca="false">IF(OR(N1452="",P1452=""),"",ROUND(N1452*O1452/P1452,1))</f>
        <v>2.4</v>
      </c>
      <c r="S1452" s="13" t="n">
        <f aca="false">IF(R1452="","",IF(Q1452="Y",1,IF(P1452&gt;='Read me'!$B$16,3,IF(AND(R1452&gt;='Read me'!$B$14,P1452&lt;='Read me'!$B$15),1,2))))</f>
        <v>3</v>
      </c>
    </row>
    <row r="1453" customFormat="false" ht="35.05" hidden="false" customHeight="false" outlineLevel="0" collapsed="false">
      <c r="A1453" s="11" t="s">
        <v>8854</v>
      </c>
      <c r="B1453" s="11" t="s">
        <v>44</v>
      </c>
      <c r="C1453" s="11" t="s">
        <v>332</v>
      </c>
      <c r="D1453" s="11" t="s">
        <v>333</v>
      </c>
      <c r="E1453" s="11" t="s">
        <v>751</v>
      </c>
      <c r="F1453" s="11" t="s">
        <v>8855</v>
      </c>
      <c r="G1453" s="11" t="s">
        <v>8856</v>
      </c>
      <c r="H1453" s="11"/>
      <c r="I1453" s="11" t="s">
        <v>8857</v>
      </c>
      <c r="J1453" s="11" t="s">
        <v>8858</v>
      </c>
      <c r="K1453" s="11" t="s">
        <v>8859</v>
      </c>
      <c r="L1453" s="11" t="s">
        <v>8860</v>
      </c>
      <c r="M1453" s="11" t="s">
        <v>8861</v>
      </c>
      <c r="N1453" s="14" t="n">
        <v>2</v>
      </c>
      <c r="O1453" s="14" t="n">
        <v>3</v>
      </c>
      <c r="P1453" s="14" t="n">
        <v>4</v>
      </c>
      <c r="Q1453" s="14"/>
      <c r="R1453" s="12" t="n">
        <f aca="false">IF(OR(N1453="",P1453=""),"",ROUND(N1453*O1453/P1453,1))</f>
        <v>1.5</v>
      </c>
      <c r="S1453" s="13" t="n">
        <f aca="false">IF(R1453="","",IF(Q1453="Y",1,IF(P1453&gt;='Read me'!$B$16,3,IF(AND(R1453&gt;='Read me'!$B$14,P1453&lt;='Read me'!$B$15),1,2))))</f>
        <v>3</v>
      </c>
    </row>
    <row r="1454" customFormat="false" ht="35.05" hidden="false" customHeight="false" outlineLevel="0" collapsed="false">
      <c r="A1454" s="11" t="s">
        <v>8862</v>
      </c>
      <c r="B1454" s="11" t="s">
        <v>44</v>
      </c>
      <c r="C1454" s="11" t="s">
        <v>332</v>
      </c>
      <c r="D1454" s="11" t="s">
        <v>333</v>
      </c>
      <c r="E1454" s="11" t="s">
        <v>751</v>
      </c>
      <c r="F1454" s="11" t="s">
        <v>8849</v>
      </c>
      <c r="G1454" s="11"/>
      <c r="H1454" s="11" t="s">
        <v>8863</v>
      </c>
      <c r="I1454" s="11" t="s">
        <v>8864</v>
      </c>
      <c r="J1454" s="11" t="s">
        <v>8865</v>
      </c>
      <c r="K1454" s="11" t="s">
        <v>696</v>
      </c>
      <c r="L1454" s="11" t="s">
        <v>8866</v>
      </c>
      <c r="M1454" s="11"/>
      <c r="N1454" s="14" t="n">
        <v>2</v>
      </c>
      <c r="O1454" s="14" t="n">
        <v>3</v>
      </c>
      <c r="P1454" s="14" t="n">
        <v>4</v>
      </c>
      <c r="Q1454" s="14"/>
      <c r="R1454" s="12" t="n">
        <f aca="false">IF(OR(N1454="",P1454=""),"",ROUND(N1454*O1454/P1454,1))</f>
        <v>1.5</v>
      </c>
      <c r="S1454" s="13" t="n">
        <f aca="false">IF(R1454="","",IF(Q1454="Y",1,IF(P1454&gt;='Read me'!$B$16,3,IF(AND(R1454&gt;='Read me'!$B$14,P1454&lt;='Read me'!$B$15),1,2))))</f>
        <v>3</v>
      </c>
    </row>
    <row r="1455" customFormat="false" ht="23.85" hidden="false" customHeight="false" outlineLevel="0" collapsed="false">
      <c r="A1455" s="11" t="s">
        <v>8867</v>
      </c>
      <c r="B1455" s="11" t="s">
        <v>44</v>
      </c>
      <c r="C1455" s="11" t="s">
        <v>332</v>
      </c>
      <c r="D1455" s="11" t="s">
        <v>333</v>
      </c>
      <c r="E1455" s="11" t="s">
        <v>751</v>
      </c>
      <c r="F1455" s="11" t="s">
        <v>8849</v>
      </c>
      <c r="G1455" s="11"/>
      <c r="H1455" s="11" t="s">
        <v>8868</v>
      </c>
      <c r="I1455" s="11" t="s">
        <v>8869</v>
      </c>
      <c r="J1455" s="11" t="s">
        <v>8870</v>
      </c>
      <c r="K1455" s="11" t="s">
        <v>8871</v>
      </c>
      <c r="L1455" s="11" t="s">
        <v>8872</v>
      </c>
      <c r="M1455" s="11"/>
      <c r="N1455" s="14" t="n">
        <v>2</v>
      </c>
      <c r="O1455" s="14" t="n">
        <v>3</v>
      </c>
      <c r="P1455" s="14" t="n">
        <v>4</v>
      </c>
      <c r="Q1455" s="14"/>
      <c r="R1455" s="12" t="n">
        <f aca="false">IF(OR(N1455="",P1455=""),"",ROUND(N1455*O1455/P1455,1))</f>
        <v>1.5</v>
      </c>
      <c r="S1455" s="13" t="n">
        <f aca="false">IF(R1455="","",IF(Q1455="Y",1,IF(P1455&gt;='Read me'!$B$16,3,IF(AND(R1455&gt;='Read me'!$B$14,P1455&lt;='Read me'!$B$15),1,2))))</f>
        <v>3</v>
      </c>
    </row>
    <row r="1456" customFormat="false" ht="23.85" hidden="false" customHeight="false" outlineLevel="0" collapsed="false">
      <c r="A1456" s="11" t="s">
        <v>8873</v>
      </c>
      <c r="B1456" s="11" t="s">
        <v>44</v>
      </c>
      <c r="C1456" s="11" t="s">
        <v>332</v>
      </c>
      <c r="D1456" s="11" t="s">
        <v>333</v>
      </c>
      <c r="E1456" s="11" t="s">
        <v>751</v>
      </c>
      <c r="F1456" s="11" t="s">
        <v>8874</v>
      </c>
      <c r="G1456" s="11" t="s">
        <v>8875</v>
      </c>
      <c r="H1456" s="11"/>
      <c r="I1456" s="11" t="s">
        <v>8876</v>
      </c>
      <c r="J1456" s="11" t="s">
        <v>8877</v>
      </c>
      <c r="K1456" s="11" t="s">
        <v>8878</v>
      </c>
      <c r="L1456" s="11" t="s">
        <v>8879</v>
      </c>
      <c r="M1456" s="11"/>
      <c r="N1456" s="14" t="n">
        <v>1</v>
      </c>
      <c r="O1456" s="14" t="n">
        <v>3</v>
      </c>
      <c r="P1456" s="14" t="n">
        <v>4</v>
      </c>
      <c r="Q1456" s="14"/>
      <c r="R1456" s="12" t="n">
        <f aca="false">IF(OR(N1456="",P1456=""),"",ROUND(N1456*O1456/P1456,1))</f>
        <v>0.8</v>
      </c>
      <c r="S1456" s="13" t="n">
        <f aca="false">IF(R1456="","",IF(Q1456="Y",1,IF(P1456&gt;='Read me'!$B$16,3,IF(AND(R1456&gt;='Read me'!$B$14,P1456&lt;='Read me'!$B$15),1,2))))</f>
        <v>3</v>
      </c>
    </row>
    <row r="1457" customFormat="false" ht="35.05" hidden="false" customHeight="false" outlineLevel="0" collapsed="false">
      <c r="A1457" s="11" t="s">
        <v>8880</v>
      </c>
      <c r="B1457" s="11" t="s">
        <v>44</v>
      </c>
      <c r="C1457" s="11" t="s">
        <v>332</v>
      </c>
      <c r="D1457" s="11" t="s">
        <v>333</v>
      </c>
      <c r="E1457" s="11" t="s">
        <v>1187</v>
      </c>
      <c r="F1457" s="11" t="s">
        <v>8881</v>
      </c>
      <c r="G1457" s="11" t="s">
        <v>8882</v>
      </c>
      <c r="H1457" s="11" t="s">
        <v>8883</v>
      </c>
      <c r="I1457" s="11" t="s">
        <v>8884</v>
      </c>
      <c r="J1457" s="11" t="s">
        <v>8885</v>
      </c>
      <c r="K1457" s="11" t="s">
        <v>2887</v>
      </c>
      <c r="L1457" s="11" t="s">
        <v>8886</v>
      </c>
      <c r="M1457" s="11"/>
      <c r="N1457" s="14" t="n">
        <v>1</v>
      </c>
      <c r="O1457" s="14" t="n">
        <v>2</v>
      </c>
      <c r="P1457" s="14" t="n">
        <v>5</v>
      </c>
      <c r="Q1457" s="14"/>
      <c r="R1457" s="12" t="n">
        <f aca="false">IF(OR(N1457="",P1457=""),"",ROUND(N1457*O1457/P1457,1))</f>
        <v>0.4</v>
      </c>
      <c r="S1457" s="13" t="n">
        <f aca="false">IF(R1457="","",IF(Q1457="Y",1,IF(P1457&gt;='Read me'!$B$16,3,IF(AND(R1457&gt;='Read me'!$B$14,P1457&lt;='Read me'!$B$15),1,2))))</f>
        <v>3</v>
      </c>
    </row>
    <row r="1458" customFormat="false" ht="57.45" hidden="false" customHeight="false" outlineLevel="0" collapsed="false">
      <c r="A1458" s="11" t="s">
        <v>8887</v>
      </c>
      <c r="B1458" s="11" t="s">
        <v>44</v>
      </c>
      <c r="C1458" s="11" t="s">
        <v>332</v>
      </c>
      <c r="D1458" s="11" t="s">
        <v>333</v>
      </c>
      <c r="E1458" s="11" t="s">
        <v>1187</v>
      </c>
      <c r="F1458" s="11" t="s">
        <v>8888</v>
      </c>
      <c r="G1458" s="11"/>
      <c r="H1458" s="11" t="s">
        <v>8889</v>
      </c>
      <c r="I1458" s="11" t="s">
        <v>8890</v>
      </c>
      <c r="J1458" s="11" t="s">
        <v>8891</v>
      </c>
      <c r="K1458" s="11" t="s">
        <v>916</v>
      </c>
      <c r="L1458" s="11" t="s">
        <v>8892</v>
      </c>
      <c r="M1458" s="11" t="s">
        <v>8893</v>
      </c>
      <c r="N1458" s="14" t="n">
        <v>1</v>
      </c>
      <c r="O1458" s="14" t="n">
        <v>3</v>
      </c>
      <c r="P1458" s="14" t="n">
        <v>5</v>
      </c>
      <c r="Q1458" s="14"/>
      <c r="R1458" s="12" t="n">
        <f aca="false">IF(OR(N1458="",P1458=""),"",ROUND(N1458*O1458/P1458,1))</f>
        <v>0.6</v>
      </c>
      <c r="S1458" s="13" t="n">
        <f aca="false">IF(R1458="","",IF(Q1458="Y",1,IF(P1458&gt;='Read me'!$B$16,3,IF(AND(R1458&gt;='Read me'!$B$14,P1458&lt;='Read me'!$B$15),1,2))))</f>
        <v>3</v>
      </c>
    </row>
    <row r="1459" customFormat="false" ht="23.85" hidden="false" customHeight="false" outlineLevel="0" collapsed="false">
      <c r="A1459" s="11" t="s">
        <v>8894</v>
      </c>
      <c r="B1459" s="11" t="s">
        <v>44</v>
      </c>
      <c r="C1459" s="11" t="s">
        <v>332</v>
      </c>
      <c r="D1459" s="11" t="s">
        <v>333</v>
      </c>
      <c r="E1459" s="11" t="s">
        <v>1187</v>
      </c>
      <c r="F1459" s="11" t="s">
        <v>8895</v>
      </c>
      <c r="G1459" s="11" t="s">
        <v>8787</v>
      </c>
      <c r="H1459" s="11"/>
      <c r="I1459" s="11" t="s">
        <v>8896</v>
      </c>
      <c r="J1459" s="11" t="s">
        <v>8897</v>
      </c>
      <c r="K1459" s="11" t="s">
        <v>916</v>
      </c>
      <c r="L1459" s="11" t="s">
        <v>8898</v>
      </c>
      <c r="M1459" s="11"/>
      <c r="N1459" s="14" t="n">
        <v>1</v>
      </c>
      <c r="O1459" s="14" t="n">
        <v>2</v>
      </c>
      <c r="P1459" s="14" t="n">
        <v>5</v>
      </c>
      <c r="Q1459" s="14"/>
      <c r="R1459" s="12" t="n">
        <f aca="false">IF(OR(N1459="",P1459=""),"",ROUND(N1459*O1459/P1459,1))</f>
        <v>0.4</v>
      </c>
      <c r="S1459" s="13" t="n">
        <f aca="false">IF(R1459="","",IF(Q1459="Y",1,IF(P1459&gt;='Read me'!$B$16,3,IF(AND(R1459&gt;='Read me'!$B$14,P1459&lt;='Read me'!$B$15),1,2))))</f>
        <v>3</v>
      </c>
    </row>
    <row r="1460" customFormat="false" ht="23.85" hidden="false" customHeight="false" outlineLevel="0" collapsed="false">
      <c r="A1460" s="11" t="s">
        <v>8899</v>
      </c>
      <c r="B1460" s="11" t="s">
        <v>44</v>
      </c>
      <c r="C1460" s="11" t="s">
        <v>332</v>
      </c>
      <c r="D1460" s="11" t="s">
        <v>333</v>
      </c>
      <c r="E1460" s="11" t="s">
        <v>1133</v>
      </c>
      <c r="F1460" s="11" t="s">
        <v>8900</v>
      </c>
      <c r="G1460" s="11" t="s">
        <v>8901</v>
      </c>
      <c r="H1460" s="11"/>
      <c r="I1460" s="11" t="s">
        <v>512</v>
      </c>
      <c r="J1460" s="11" t="s">
        <v>8902</v>
      </c>
      <c r="K1460" s="11" t="s">
        <v>8903</v>
      </c>
      <c r="L1460" s="11" t="s">
        <v>8904</v>
      </c>
      <c r="M1460" s="11"/>
      <c r="N1460" s="14" t="n">
        <v>2</v>
      </c>
      <c r="O1460" s="14" t="n">
        <v>3</v>
      </c>
      <c r="P1460" s="14" t="n">
        <v>3</v>
      </c>
      <c r="Q1460" s="14"/>
      <c r="R1460" s="12" t="n">
        <f aca="false">IF(OR(N1460="",P1460=""),"",ROUND(N1460*O1460/P1460,1))</f>
        <v>2</v>
      </c>
      <c r="S1460" s="13" t="n">
        <f aca="false">IF(R1460="","",IF(Q1460="Y",1,IF(P1460&gt;='Read me'!$B$16,3,IF(AND(R1460&gt;='Read me'!$B$14,P1460&lt;='Read me'!$B$15),1,2))))</f>
        <v>2</v>
      </c>
    </row>
    <row r="1461" customFormat="false" ht="23.85" hidden="false" customHeight="false" outlineLevel="0" collapsed="false">
      <c r="A1461" s="11" t="s">
        <v>8905</v>
      </c>
      <c r="B1461" s="11" t="s">
        <v>44</v>
      </c>
      <c r="C1461" s="11" t="s">
        <v>332</v>
      </c>
      <c r="D1461" s="11" t="s">
        <v>333</v>
      </c>
      <c r="E1461" s="11" t="s">
        <v>1133</v>
      </c>
      <c r="F1461" s="11" t="s">
        <v>8906</v>
      </c>
      <c r="G1461" s="11" t="s">
        <v>8794</v>
      </c>
      <c r="H1461" s="11"/>
      <c r="I1461" s="11" t="s">
        <v>8907</v>
      </c>
      <c r="J1461" s="11" t="s">
        <v>8908</v>
      </c>
      <c r="K1461" s="11" t="s">
        <v>8796</v>
      </c>
      <c r="L1461" s="11" t="s">
        <v>8909</v>
      </c>
      <c r="M1461" s="11" t="s">
        <v>1577</v>
      </c>
      <c r="N1461" s="14" t="n">
        <v>2</v>
      </c>
      <c r="O1461" s="14" t="n">
        <v>3</v>
      </c>
      <c r="P1461" s="14" t="n">
        <v>4</v>
      </c>
      <c r="Q1461" s="14"/>
      <c r="R1461" s="12" t="n">
        <f aca="false">IF(OR(N1461="",P1461=""),"",ROUND(N1461*O1461/P1461,1))</f>
        <v>1.5</v>
      </c>
      <c r="S1461" s="13" t="n">
        <f aca="false">IF(R1461="","",IF(Q1461="Y",1,IF(P1461&gt;='Read me'!$B$16,3,IF(AND(R1461&gt;='Read me'!$B$14,P1461&lt;='Read me'!$B$15),1,2))))</f>
        <v>3</v>
      </c>
    </row>
    <row r="1462" customFormat="false" ht="46.25" hidden="false" customHeight="false" outlineLevel="0" collapsed="false">
      <c r="A1462" s="11" t="s">
        <v>8910</v>
      </c>
      <c r="B1462" s="11" t="s">
        <v>44</v>
      </c>
      <c r="C1462" s="11" t="s">
        <v>332</v>
      </c>
      <c r="D1462" s="11" t="s">
        <v>333</v>
      </c>
      <c r="E1462" s="11" t="s">
        <v>1372</v>
      </c>
      <c r="F1462" s="11" t="s">
        <v>8911</v>
      </c>
      <c r="G1462" s="11" t="s">
        <v>8912</v>
      </c>
      <c r="H1462" s="11"/>
      <c r="I1462" s="11" t="s">
        <v>8913</v>
      </c>
      <c r="J1462" s="11" t="s">
        <v>8914</v>
      </c>
      <c r="K1462" s="11" t="s">
        <v>8915</v>
      </c>
      <c r="L1462" s="11" t="s">
        <v>8916</v>
      </c>
      <c r="M1462" s="11" t="s">
        <v>8917</v>
      </c>
      <c r="N1462" s="14" t="n">
        <v>3</v>
      </c>
      <c r="O1462" s="14" t="n">
        <v>3</v>
      </c>
      <c r="P1462" s="14" t="n">
        <v>4</v>
      </c>
      <c r="Q1462" s="14"/>
      <c r="R1462" s="12" t="n">
        <f aca="false">IF(OR(N1462="",P1462=""),"",ROUND(N1462*O1462/P1462,1))</f>
        <v>2.3</v>
      </c>
      <c r="S1462" s="13" t="n">
        <f aca="false">IF(R1462="","",IF(Q1462="Y",1,IF(P1462&gt;='Read me'!$B$16,3,IF(AND(R1462&gt;='Read me'!$B$14,P1462&lt;='Read me'!$B$15),1,2))))</f>
        <v>3</v>
      </c>
    </row>
    <row r="1463" customFormat="false" ht="35.05" hidden="false" customHeight="false" outlineLevel="0" collapsed="false">
      <c r="A1463" s="11" t="s">
        <v>8918</v>
      </c>
      <c r="B1463" s="11" t="s">
        <v>44</v>
      </c>
      <c r="C1463" s="11" t="s">
        <v>332</v>
      </c>
      <c r="D1463" s="11" t="s">
        <v>333</v>
      </c>
      <c r="E1463" s="11" t="s">
        <v>1372</v>
      </c>
      <c r="F1463" s="11" t="s">
        <v>8881</v>
      </c>
      <c r="G1463" s="11" t="s">
        <v>8882</v>
      </c>
      <c r="H1463" s="11"/>
      <c r="I1463" s="11" t="s">
        <v>8919</v>
      </c>
      <c r="J1463" s="11" t="s">
        <v>8920</v>
      </c>
      <c r="K1463" s="11" t="s">
        <v>8921</v>
      </c>
      <c r="L1463" s="11" t="s">
        <v>8922</v>
      </c>
      <c r="M1463" s="11" t="s">
        <v>8923</v>
      </c>
      <c r="N1463" s="14" t="n">
        <v>2</v>
      </c>
      <c r="O1463" s="14" t="n">
        <v>3</v>
      </c>
      <c r="P1463" s="14" t="n">
        <v>5</v>
      </c>
      <c r="Q1463" s="14"/>
      <c r="R1463" s="12" t="n">
        <f aca="false">IF(OR(N1463="",P1463=""),"",ROUND(N1463*O1463/P1463,1))</f>
        <v>1.2</v>
      </c>
      <c r="S1463" s="13" t="n">
        <f aca="false">IF(R1463="","",IF(Q1463="Y",1,IF(P1463&gt;='Read me'!$B$16,3,IF(AND(R1463&gt;='Read me'!$B$14,P1463&lt;='Read me'!$B$15),1,2))))</f>
        <v>3</v>
      </c>
    </row>
    <row r="1464" customFormat="false" ht="23.85" hidden="false" customHeight="false" outlineLevel="0" collapsed="false">
      <c r="A1464" s="11" t="s">
        <v>8924</v>
      </c>
      <c r="B1464" s="11" t="s">
        <v>44</v>
      </c>
      <c r="C1464" s="11" t="s">
        <v>332</v>
      </c>
      <c r="D1464" s="11" t="s">
        <v>333</v>
      </c>
      <c r="E1464" s="11" t="s">
        <v>1372</v>
      </c>
      <c r="F1464" s="11" t="s">
        <v>8925</v>
      </c>
      <c r="G1464" s="11"/>
      <c r="H1464" s="11"/>
      <c r="I1464" s="11" t="s">
        <v>8926</v>
      </c>
      <c r="J1464" s="11" t="s">
        <v>8927</v>
      </c>
      <c r="K1464" s="11" t="s">
        <v>8818</v>
      </c>
      <c r="L1464" s="11" t="s">
        <v>8928</v>
      </c>
      <c r="M1464" s="11"/>
      <c r="N1464" s="14" t="n">
        <v>3</v>
      </c>
      <c r="O1464" s="14" t="n">
        <v>3</v>
      </c>
      <c r="P1464" s="14" t="n">
        <v>2</v>
      </c>
      <c r="Q1464" s="14"/>
      <c r="R1464" s="12" t="n">
        <f aca="false">IF(OR(N1464="",P1464=""),"",ROUND(N1464*O1464/P1464,1))</f>
        <v>4.5</v>
      </c>
      <c r="S1464" s="13" t="n">
        <f aca="false">IF(R1464="","",IF(Q1464="Y",1,IF(P1464&gt;='Read me'!$B$16,3,IF(AND(R1464&gt;='Read me'!$B$14,P1464&lt;='Read me'!$B$15),1,2))))</f>
        <v>2</v>
      </c>
    </row>
    <row r="1465" customFormat="false" ht="23.85" hidden="false" customHeight="false" outlineLevel="0" collapsed="false">
      <c r="A1465" s="11" t="s">
        <v>8929</v>
      </c>
      <c r="B1465" s="11" t="s">
        <v>44</v>
      </c>
      <c r="C1465" s="11" t="s">
        <v>332</v>
      </c>
      <c r="D1465" s="11" t="s">
        <v>333</v>
      </c>
      <c r="E1465" s="11" t="s">
        <v>1372</v>
      </c>
      <c r="F1465" s="11" t="s">
        <v>8930</v>
      </c>
      <c r="G1465" s="11"/>
      <c r="H1465" s="11"/>
      <c r="I1465" s="11" t="s">
        <v>8931</v>
      </c>
      <c r="J1465" s="11" t="s">
        <v>8932</v>
      </c>
      <c r="K1465" s="11" t="s">
        <v>3597</v>
      </c>
      <c r="L1465" s="11" t="s">
        <v>3957</v>
      </c>
      <c r="M1465" s="11"/>
      <c r="N1465" s="14" t="n">
        <v>1</v>
      </c>
      <c r="O1465" s="14" t="n">
        <v>2</v>
      </c>
      <c r="P1465" s="14" t="n">
        <v>2</v>
      </c>
      <c r="Q1465" s="14"/>
      <c r="R1465" s="12" t="n">
        <f aca="false">IF(OR(N1465="",P1465=""),"",ROUND(N1465*O1465/P1465,1))</f>
        <v>1</v>
      </c>
      <c r="S1465" s="13" t="n">
        <f aca="false">IF(R1465="","",IF(Q1465="Y",1,IF(P1465&gt;='Read me'!$B$16,3,IF(AND(R1465&gt;='Read me'!$B$14,P1465&lt;='Read me'!$B$15),1,2))))</f>
        <v>2</v>
      </c>
    </row>
    <row r="1466" customFormat="false" ht="23.85" hidden="false" customHeight="false" outlineLevel="0" collapsed="false">
      <c r="A1466" s="11" t="s">
        <v>8933</v>
      </c>
      <c r="B1466" s="11" t="s">
        <v>44</v>
      </c>
      <c r="C1466" s="11" t="s">
        <v>332</v>
      </c>
      <c r="D1466" s="11" t="s">
        <v>333</v>
      </c>
      <c r="E1466" s="11" t="s">
        <v>1372</v>
      </c>
      <c r="F1466" s="11" t="s">
        <v>8934</v>
      </c>
      <c r="G1466" s="11" t="s">
        <v>8935</v>
      </c>
      <c r="H1466" s="11"/>
      <c r="I1466" s="11" t="s">
        <v>8936</v>
      </c>
      <c r="J1466" s="11" t="s">
        <v>8937</v>
      </c>
      <c r="K1466" s="11" t="s">
        <v>1028</v>
      </c>
      <c r="L1466" s="11" t="s">
        <v>8392</v>
      </c>
      <c r="M1466" s="11" t="s">
        <v>8938</v>
      </c>
      <c r="N1466" s="14" t="n">
        <v>1</v>
      </c>
      <c r="O1466" s="14" t="n">
        <v>3</v>
      </c>
      <c r="P1466" s="14" t="n">
        <v>4</v>
      </c>
      <c r="Q1466" s="14"/>
      <c r="R1466" s="12" t="n">
        <f aca="false">IF(OR(N1466="",P1466=""),"",ROUND(N1466*O1466/P1466,1))</f>
        <v>0.8</v>
      </c>
      <c r="S1466" s="13" t="n">
        <f aca="false">IF(R1466="","",IF(Q1466="Y",1,IF(P1466&gt;='Read me'!$B$16,3,IF(AND(R1466&gt;='Read me'!$B$14,P1466&lt;='Read me'!$B$15),1,2))))</f>
        <v>3</v>
      </c>
    </row>
    <row r="1467" customFormat="false" ht="23.85" hidden="false" customHeight="false" outlineLevel="0" collapsed="false">
      <c r="A1467" s="11" t="s">
        <v>8939</v>
      </c>
      <c r="B1467" s="11" t="s">
        <v>44</v>
      </c>
      <c r="C1467" s="11" t="s">
        <v>332</v>
      </c>
      <c r="D1467" s="11" t="s">
        <v>333</v>
      </c>
      <c r="E1467" s="11" t="s">
        <v>1372</v>
      </c>
      <c r="F1467" s="11" t="s">
        <v>8940</v>
      </c>
      <c r="G1467" s="11"/>
      <c r="H1467" s="11"/>
      <c r="I1467" s="11" t="s">
        <v>8941</v>
      </c>
      <c r="J1467" s="11" t="s">
        <v>8942</v>
      </c>
      <c r="K1467" s="11" t="s">
        <v>8824</v>
      </c>
      <c r="L1467" s="11" t="s">
        <v>8943</v>
      </c>
      <c r="M1467" s="11" t="s">
        <v>8944</v>
      </c>
      <c r="N1467" s="14" t="n">
        <v>1</v>
      </c>
      <c r="O1467" s="14" t="n">
        <v>2</v>
      </c>
      <c r="P1467" s="14" t="n">
        <v>3</v>
      </c>
      <c r="Q1467" s="14"/>
      <c r="R1467" s="12" t="n">
        <f aca="false">IF(OR(N1467="",P1467=""),"",ROUND(N1467*O1467/P1467,1))</f>
        <v>0.7</v>
      </c>
      <c r="S1467" s="13" t="n">
        <f aca="false">IF(R1467="","",IF(Q1467="Y",1,IF(P1467&gt;='Read me'!$B$16,3,IF(AND(R1467&gt;='Read me'!$B$14,P1467&lt;='Read me'!$B$15),1,2))))</f>
        <v>2</v>
      </c>
    </row>
    <row r="1468" customFormat="false" ht="57.45" hidden="false" customHeight="false" outlineLevel="0" collapsed="false">
      <c r="A1468" s="11" t="s">
        <v>8945</v>
      </c>
      <c r="B1468" s="11" t="s">
        <v>44</v>
      </c>
      <c r="C1468" s="11" t="s">
        <v>335</v>
      </c>
      <c r="D1468" s="11" t="s">
        <v>336</v>
      </c>
      <c r="E1468" s="11" t="s">
        <v>476</v>
      </c>
      <c r="F1468" s="11" t="s">
        <v>8946</v>
      </c>
      <c r="G1468" s="11"/>
      <c r="H1468" s="11"/>
      <c r="I1468" s="11" t="s">
        <v>8947</v>
      </c>
      <c r="J1468" s="11" t="s">
        <v>8948</v>
      </c>
      <c r="K1468" s="11" t="s">
        <v>8711</v>
      </c>
      <c r="L1468" s="11" t="s">
        <v>8712</v>
      </c>
      <c r="M1468" s="11" t="s">
        <v>8831</v>
      </c>
      <c r="N1468" s="14" t="n">
        <v>3</v>
      </c>
      <c r="O1468" s="14" t="n">
        <v>3</v>
      </c>
      <c r="P1468" s="14" t="n">
        <v>4</v>
      </c>
      <c r="Q1468" s="14"/>
      <c r="R1468" s="12" t="n">
        <f aca="false">IF(OR(N1468="",P1468=""),"",ROUND(N1468*O1468/P1468,1))</f>
        <v>2.3</v>
      </c>
      <c r="S1468" s="13" t="n">
        <f aca="false">IF(R1468="","",IF(Q1468="Y",1,IF(P1468&gt;='Read me'!$B$16,3,IF(AND(R1468&gt;='Read me'!$B$14,P1468&lt;='Read me'!$B$15),1,2))))</f>
        <v>3</v>
      </c>
    </row>
    <row r="1469" customFormat="false" ht="23.85" hidden="false" customHeight="false" outlineLevel="0" collapsed="false">
      <c r="A1469" s="11" t="s">
        <v>8949</v>
      </c>
      <c r="B1469" s="11" t="s">
        <v>44</v>
      </c>
      <c r="C1469" s="11" t="s">
        <v>335</v>
      </c>
      <c r="D1469" s="11" t="s">
        <v>336</v>
      </c>
      <c r="E1469" s="11" t="s">
        <v>476</v>
      </c>
      <c r="F1469" s="11" t="s">
        <v>8946</v>
      </c>
      <c r="G1469" s="11" t="s">
        <v>8715</v>
      </c>
      <c r="H1469" s="11" t="s">
        <v>8716</v>
      </c>
      <c r="I1469" s="11" t="s">
        <v>8950</v>
      </c>
      <c r="J1469" s="11" t="s">
        <v>8951</v>
      </c>
      <c r="K1469" s="11" t="s">
        <v>2887</v>
      </c>
      <c r="L1469" s="11" t="s">
        <v>8835</v>
      </c>
      <c r="M1469" s="11" t="s">
        <v>8720</v>
      </c>
      <c r="N1469" s="14" t="n">
        <v>2</v>
      </c>
      <c r="O1469" s="14" t="n">
        <v>2</v>
      </c>
      <c r="P1469" s="14" t="n">
        <v>3</v>
      </c>
      <c r="Q1469" s="14"/>
      <c r="R1469" s="12" t="n">
        <f aca="false">IF(OR(N1469="",P1469=""),"",ROUND(N1469*O1469/P1469,1))</f>
        <v>1.3</v>
      </c>
      <c r="S1469" s="13" t="n">
        <f aca="false">IF(R1469="","",IF(Q1469="Y",1,IF(P1469&gt;='Read me'!$B$16,3,IF(AND(R1469&gt;='Read me'!$B$14,P1469&lt;='Read me'!$B$15),1,2))))</f>
        <v>2</v>
      </c>
    </row>
    <row r="1470" customFormat="false" ht="57.45" hidden="false" customHeight="false" outlineLevel="0" collapsed="false">
      <c r="A1470" s="11" t="s">
        <v>8952</v>
      </c>
      <c r="B1470" s="11" t="s">
        <v>44</v>
      </c>
      <c r="C1470" s="11" t="s">
        <v>335</v>
      </c>
      <c r="D1470" s="11" t="s">
        <v>336</v>
      </c>
      <c r="E1470" s="11" t="s">
        <v>532</v>
      </c>
      <c r="F1470" s="11" t="s">
        <v>8953</v>
      </c>
      <c r="G1470" s="11" t="s">
        <v>8954</v>
      </c>
      <c r="H1470" s="11"/>
      <c r="I1470" s="11" t="s">
        <v>8955</v>
      </c>
      <c r="J1470" s="11" t="s">
        <v>8956</v>
      </c>
      <c r="K1470" s="11" t="s">
        <v>8957</v>
      </c>
      <c r="L1470" s="11" t="s">
        <v>8958</v>
      </c>
      <c r="M1470" s="11" t="s">
        <v>8959</v>
      </c>
      <c r="N1470" s="14" t="n">
        <v>3</v>
      </c>
      <c r="O1470" s="14" t="n">
        <v>3</v>
      </c>
      <c r="P1470" s="14" t="n">
        <v>4</v>
      </c>
      <c r="Q1470" s="14"/>
      <c r="R1470" s="12" t="n">
        <f aca="false">IF(OR(N1470="",P1470=""),"",ROUND(N1470*O1470/P1470,1))</f>
        <v>2.3</v>
      </c>
      <c r="S1470" s="13" t="n">
        <f aca="false">IF(R1470="","",IF(Q1470="Y",1,IF(P1470&gt;='Read me'!$B$16,3,IF(AND(R1470&gt;='Read me'!$B$14,P1470&lt;='Read me'!$B$15),1,2))))</f>
        <v>3</v>
      </c>
    </row>
    <row r="1471" customFormat="false" ht="57.45" hidden="false" customHeight="false" outlineLevel="0" collapsed="false">
      <c r="A1471" s="11" t="s">
        <v>8960</v>
      </c>
      <c r="B1471" s="11" t="s">
        <v>44</v>
      </c>
      <c r="C1471" s="11" t="s">
        <v>335</v>
      </c>
      <c r="D1471" s="11" t="s">
        <v>336</v>
      </c>
      <c r="E1471" s="11" t="s">
        <v>626</v>
      </c>
      <c r="F1471" s="11" t="s">
        <v>8961</v>
      </c>
      <c r="G1471" s="11" t="s">
        <v>8962</v>
      </c>
      <c r="H1471" s="11"/>
      <c r="I1471" s="11" t="s">
        <v>8963</v>
      </c>
      <c r="J1471" s="11" t="s">
        <v>8964</v>
      </c>
      <c r="K1471" s="11" t="s">
        <v>8965</v>
      </c>
      <c r="L1471" s="11" t="s">
        <v>8966</v>
      </c>
      <c r="M1471" s="11" t="s">
        <v>8959</v>
      </c>
      <c r="N1471" s="14" t="n">
        <v>2</v>
      </c>
      <c r="O1471" s="14" t="n">
        <v>3</v>
      </c>
      <c r="P1471" s="14" t="n">
        <v>4</v>
      </c>
      <c r="Q1471" s="14"/>
      <c r="R1471" s="12" t="n">
        <f aca="false">IF(OR(N1471="",P1471=""),"",ROUND(N1471*O1471/P1471,1))</f>
        <v>1.5</v>
      </c>
      <c r="S1471" s="13" t="n">
        <f aca="false">IF(R1471="","",IF(Q1471="Y",1,IF(P1471&gt;='Read me'!$B$16,3,IF(AND(R1471&gt;='Read me'!$B$14,P1471&lt;='Read me'!$B$15),1,2))))</f>
        <v>3</v>
      </c>
    </row>
    <row r="1472" customFormat="false" ht="35.05" hidden="false" customHeight="false" outlineLevel="0" collapsed="false">
      <c r="A1472" s="11" t="s">
        <v>8967</v>
      </c>
      <c r="B1472" s="11" t="s">
        <v>44</v>
      </c>
      <c r="C1472" s="11" t="s">
        <v>335</v>
      </c>
      <c r="D1472" s="11" t="s">
        <v>336</v>
      </c>
      <c r="E1472" s="11" t="s">
        <v>626</v>
      </c>
      <c r="F1472" s="11" t="s">
        <v>8968</v>
      </c>
      <c r="G1472" s="11" t="s">
        <v>8743</v>
      </c>
      <c r="H1472" s="11"/>
      <c r="I1472" s="11" t="s">
        <v>8969</v>
      </c>
      <c r="J1472" s="11" t="s">
        <v>8970</v>
      </c>
      <c r="K1472" s="11" t="s">
        <v>8971</v>
      </c>
      <c r="L1472" s="11" t="s">
        <v>8746</v>
      </c>
      <c r="M1472" s="11" t="s">
        <v>8747</v>
      </c>
      <c r="N1472" s="14" t="n">
        <v>2</v>
      </c>
      <c r="O1472" s="14" t="n">
        <v>3</v>
      </c>
      <c r="P1472" s="14" t="n">
        <v>3</v>
      </c>
      <c r="Q1472" s="14"/>
      <c r="R1472" s="12" t="n">
        <f aca="false">IF(OR(N1472="",P1472=""),"",ROUND(N1472*O1472/P1472,1))</f>
        <v>2</v>
      </c>
      <c r="S1472" s="13" t="n">
        <f aca="false">IF(R1472="","",IF(Q1472="Y",1,IF(P1472&gt;='Read me'!$B$16,3,IF(AND(R1472&gt;='Read me'!$B$14,P1472&lt;='Read me'!$B$15),1,2))))</f>
        <v>2</v>
      </c>
    </row>
    <row r="1473" customFormat="false" ht="57.45" hidden="false" customHeight="false" outlineLevel="0" collapsed="false">
      <c r="A1473" s="11" t="s">
        <v>8972</v>
      </c>
      <c r="B1473" s="11" t="s">
        <v>44</v>
      </c>
      <c r="C1473" s="11" t="s">
        <v>335</v>
      </c>
      <c r="D1473" s="11" t="s">
        <v>336</v>
      </c>
      <c r="E1473" s="11" t="s">
        <v>626</v>
      </c>
      <c r="F1473" s="11" t="s">
        <v>8973</v>
      </c>
      <c r="G1473" s="11" t="s">
        <v>8736</v>
      </c>
      <c r="H1473" s="11"/>
      <c r="I1473" s="11" t="s">
        <v>8974</v>
      </c>
      <c r="J1473" s="11" t="s">
        <v>8975</v>
      </c>
      <c r="K1473" s="11" t="s">
        <v>916</v>
      </c>
      <c r="L1473" s="11" t="s">
        <v>8976</v>
      </c>
      <c r="M1473" s="11" t="s">
        <v>8831</v>
      </c>
      <c r="N1473" s="14" t="n">
        <v>3</v>
      </c>
      <c r="O1473" s="14" t="n">
        <v>3</v>
      </c>
      <c r="P1473" s="14" t="n">
        <v>5</v>
      </c>
      <c r="Q1473" s="14"/>
      <c r="R1473" s="12" t="n">
        <f aca="false">IF(OR(N1473="",P1473=""),"",ROUND(N1473*O1473/P1473,1))</f>
        <v>1.8</v>
      </c>
      <c r="S1473" s="13" t="n">
        <f aca="false">IF(R1473="","",IF(Q1473="Y",1,IF(P1473&gt;='Read me'!$B$16,3,IF(AND(R1473&gt;='Read me'!$B$14,P1473&lt;='Read me'!$B$15),1,2))))</f>
        <v>3</v>
      </c>
    </row>
    <row r="1474" customFormat="false" ht="68.65" hidden="false" customHeight="false" outlineLevel="0" collapsed="false">
      <c r="A1474" s="11" t="s">
        <v>8977</v>
      </c>
      <c r="B1474" s="11" t="s">
        <v>44</v>
      </c>
      <c r="C1474" s="11" t="s">
        <v>335</v>
      </c>
      <c r="D1474" s="11" t="s">
        <v>336</v>
      </c>
      <c r="E1474" s="11" t="s">
        <v>751</v>
      </c>
      <c r="F1474" s="11" t="s">
        <v>8978</v>
      </c>
      <c r="G1474" s="11" t="s">
        <v>8979</v>
      </c>
      <c r="H1474" s="11"/>
      <c r="I1474" s="11" t="s">
        <v>8980</v>
      </c>
      <c r="J1474" s="11" t="s">
        <v>8981</v>
      </c>
      <c r="K1474" s="11" t="s">
        <v>8753</v>
      </c>
      <c r="L1474" s="11" t="s">
        <v>8982</v>
      </c>
      <c r="M1474" s="11" t="s">
        <v>8983</v>
      </c>
      <c r="N1474" s="14" t="n">
        <v>3</v>
      </c>
      <c r="O1474" s="14" t="n">
        <v>4</v>
      </c>
      <c r="P1474" s="14" t="n">
        <v>4</v>
      </c>
      <c r="Q1474" s="14"/>
      <c r="R1474" s="12" t="n">
        <f aca="false">IF(OR(N1474="",P1474=""),"",ROUND(N1474*O1474/P1474,1))</f>
        <v>3</v>
      </c>
      <c r="S1474" s="13" t="n">
        <f aca="false">IF(R1474="","",IF(Q1474="Y",1,IF(P1474&gt;='Read me'!$B$16,3,IF(AND(R1474&gt;='Read me'!$B$14,P1474&lt;='Read me'!$B$15),1,2))))</f>
        <v>3</v>
      </c>
    </row>
    <row r="1475" customFormat="false" ht="23.85" hidden="false" customHeight="false" outlineLevel="0" collapsed="false">
      <c r="A1475" s="11" t="s">
        <v>8984</v>
      </c>
      <c r="B1475" s="11" t="s">
        <v>44</v>
      </c>
      <c r="C1475" s="11" t="s">
        <v>335</v>
      </c>
      <c r="D1475" s="11" t="s">
        <v>336</v>
      </c>
      <c r="E1475" s="11" t="s">
        <v>751</v>
      </c>
      <c r="F1475" s="11" t="s">
        <v>8985</v>
      </c>
      <c r="G1475" s="11" t="s">
        <v>8673</v>
      </c>
      <c r="H1475" s="11"/>
      <c r="I1475" s="11" t="s">
        <v>8986</v>
      </c>
      <c r="J1475" s="11" t="s">
        <v>8987</v>
      </c>
      <c r="K1475" s="11" t="s">
        <v>8988</v>
      </c>
      <c r="L1475" s="11" t="s">
        <v>8989</v>
      </c>
      <c r="M1475" s="11" t="s">
        <v>8990</v>
      </c>
      <c r="N1475" s="14" t="n">
        <v>2</v>
      </c>
      <c r="O1475" s="14" t="n">
        <v>4</v>
      </c>
      <c r="P1475" s="14" t="n">
        <v>4</v>
      </c>
      <c r="Q1475" s="14"/>
      <c r="R1475" s="12" t="n">
        <f aca="false">IF(OR(N1475="",P1475=""),"",ROUND(N1475*O1475/P1475,1))</f>
        <v>2</v>
      </c>
      <c r="S1475" s="13" t="n">
        <f aca="false">IF(R1475="","",IF(Q1475="Y",1,IF(P1475&gt;='Read me'!$B$16,3,IF(AND(R1475&gt;='Read me'!$B$14,P1475&lt;='Read me'!$B$15),1,2))))</f>
        <v>3</v>
      </c>
    </row>
    <row r="1476" customFormat="false" ht="23.85" hidden="false" customHeight="false" outlineLevel="0" collapsed="false">
      <c r="A1476" s="11" t="s">
        <v>8991</v>
      </c>
      <c r="B1476" s="11" t="s">
        <v>44</v>
      </c>
      <c r="C1476" s="11" t="s">
        <v>335</v>
      </c>
      <c r="D1476" s="11" t="s">
        <v>336</v>
      </c>
      <c r="E1476" s="11" t="s">
        <v>751</v>
      </c>
      <c r="F1476" s="11" t="s">
        <v>8992</v>
      </c>
      <c r="G1476" s="11" t="s">
        <v>8673</v>
      </c>
      <c r="H1476" s="11"/>
      <c r="I1476" s="11" t="s">
        <v>8993</v>
      </c>
      <c r="J1476" s="11" t="s">
        <v>8994</v>
      </c>
      <c r="K1476" s="11" t="s">
        <v>8995</v>
      </c>
      <c r="L1476" s="11" t="s">
        <v>8996</v>
      </c>
      <c r="M1476" s="11"/>
      <c r="N1476" s="14" t="n">
        <v>2</v>
      </c>
      <c r="O1476" s="14" t="n">
        <v>3</v>
      </c>
      <c r="P1476" s="14" t="n">
        <v>3</v>
      </c>
      <c r="Q1476" s="14"/>
      <c r="R1476" s="12" t="n">
        <f aca="false">IF(OR(N1476="",P1476=""),"",ROUND(N1476*O1476/P1476,1))</f>
        <v>2</v>
      </c>
      <c r="S1476" s="13" t="n">
        <f aca="false">IF(R1476="","",IF(Q1476="Y",1,IF(P1476&gt;='Read me'!$B$16,3,IF(AND(R1476&gt;='Read me'!$B$14,P1476&lt;='Read me'!$B$15),1,2))))</f>
        <v>2</v>
      </c>
    </row>
    <row r="1477" customFormat="false" ht="23.85" hidden="false" customHeight="false" outlineLevel="0" collapsed="false">
      <c r="A1477" s="11" t="s">
        <v>8997</v>
      </c>
      <c r="B1477" s="11" t="s">
        <v>44</v>
      </c>
      <c r="C1477" s="11" t="s">
        <v>335</v>
      </c>
      <c r="D1477" s="11" t="s">
        <v>336</v>
      </c>
      <c r="E1477" s="11" t="s">
        <v>1187</v>
      </c>
      <c r="F1477" s="11" t="s">
        <v>8978</v>
      </c>
      <c r="G1477" s="11"/>
      <c r="H1477" s="11" t="s">
        <v>8998</v>
      </c>
      <c r="I1477" s="11" t="s">
        <v>8999</v>
      </c>
      <c r="J1477" s="11" t="s">
        <v>9000</v>
      </c>
      <c r="K1477" s="11" t="s">
        <v>935</v>
      </c>
      <c r="L1477" s="11" t="s">
        <v>9001</v>
      </c>
      <c r="M1477" s="11"/>
      <c r="N1477" s="14" t="n">
        <v>2</v>
      </c>
      <c r="O1477" s="14" t="n">
        <v>3</v>
      </c>
      <c r="P1477" s="14" t="n">
        <v>3</v>
      </c>
      <c r="Q1477" s="14"/>
      <c r="R1477" s="12" t="n">
        <f aca="false">IF(OR(N1477="",P1477=""),"",ROUND(N1477*O1477/P1477,1))</f>
        <v>2</v>
      </c>
      <c r="S1477" s="13" t="n">
        <f aca="false">IF(R1477="","",IF(Q1477="Y",1,IF(P1477&gt;='Read me'!$B$16,3,IF(AND(R1477&gt;='Read me'!$B$14,P1477&lt;='Read me'!$B$15),1,2))))</f>
        <v>2</v>
      </c>
    </row>
    <row r="1478" customFormat="false" ht="35.05" hidden="false" customHeight="false" outlineLevel="0" collapsed="false">
      <c r="A1478" s="11" t="s">
        <v>9002</v>
      </c>
      <c r="B1478" s="11" t="s">
        <v>44</v>
      </c>
      <c r="C1478" s="11" t="s">
        <v>335</v>
      </c>
      <c r="D1478" s="11" t="s">
        <v>336</v>
      </c>
      <c r="E1478" s="11" t="s">
        <v>1187</v>
      </c>
      <c r="F1478" s="11" t="s">
        <v>9003</v>
      </c>
      <c r="G1478" s="11"/>
      <c r="H1478" s="11" t="s">
        <v>9004</v>
      </c>
      <c r="I1478" s="11" t="s">
        <v>512</v>
      </c>
      <c r="J1478" s="11" t="s">
        <v>9005</v>
      </c>
      <c r="K1478" s="11" t="s">
        <v>9006</v>
      </c>
      <c r="L1478" s="11" t="s">
        <v>9007</v>
      </c>
      <c r="M1478" s="11"/>
      <c r="N1478" s="14" t="n">
        <v>1</v>
      </c>
      <c r="O1478" s="14" t="n">
        <v>3</v>
      </c>
      <c r="P1478" s="14" t="n">
        <v>4</v>
      </c>
      <c r="Q1478" s="14"/>
      <c r="R1478" s="12" t="n">
        <f aca="false">IF(OR(N1478="",P1478=""),"",ROUND(N1478*O1478/P1478,1))</f>
        <v>0.8</v>
      </c>
      <c r="S1478" s="13" t="n">
        <f aca="false">IF(R1478="","",IF(Q1478="Y",1,IF(P1478&gt;='Read me'!$B$16,3,IF(AND(R1478&gt;='Read me'!$B$14,P1478&lt;='Read me'!$B$15),1,2))))</f>
        <v>3</v>
      </c>
    </row>
    <row r="1479" customFormat="false" ht="57.45" hidden="false" customHeight="false" outlineLevel="0" collapsed="false">
      <c r="A1479" s="11" t="s">
        <v>9008</v>
      </c>
      <c r="B1479" s="11" t="s">
        <v>44</v>
      </c>
      <c r="C1479" s="11" t="s">
        <v>335</v>
      </c>
      <c r="D1479" s="11" t="s">
        <v>336</v>
      </c>
      <c r="E1479" s="11" t="s">
        <v>1187</v>
      </c>
      <c r="F1479" s="11" t="s">
        <v>9009</v>
      </c>
      <c r="G1479" s="11" t="s">
        <v>1148</v>
      </c>
      <c r="H1479" s="11"/>
      <c r="I1479" s="11" t="s">
        <v>9010</v>
      </c>
      <c r="J1479" s="11" t="s">
        <v>9011</v>
      </c>
      <c r="K1479" s="11" t="s">
        <v>1151</v>
      </c>
      <c r="L1479" s="11" t="s">
        <v>8892</v>
      </c>
      <c r="M1479" s="11" t="s">
        <v>8893</v>
      </c>
      <c r="N1479" s="14" t="n">
        <v>1</v>
      </c>
      <c r="O1479" s="14" t="n">
        <v>3</v>
      </c>
      <c r="P1479" s="14" t="n">
        <v>5</v>
      </c>
      <c r="Q1479" s="14"/>
      <c r="R1479" s="12" t="n">
        <f aca="false">IF(OR(N1479="",P1479=""),"",ROUND(N1479*O1479/P1479,1))</f>
        <v>0.6</v>
      </c>
      <c r="S1479" s="13" t="n">
        <f aca="false">IF(R1479="","",IF(Q1479="Y",1,IF(P1479&gt;='Read me'!$B$16,3,IF(AND(R1479&gt;='Read me'!$B$14,P1479&lt;='Read me'!$B$15),1,2))))</f>
        <v>3</v>
      </c>
    </row>
    <row r="1480" customFormat="false" ht="35.05" hidden="false" customHeight="false" outlineLevel="0" collapsed="false">
      <c r="A1480" s="11" t="s">
        <v>9012</v>
      </c>
      <c r="B1480" s="11" t="s">
        <v>44</v>
      </c>
      <c r="C1480" s="11" t="s">
        <v>335</v>
      </c>
      <c r="D1480" s="11" t="s">
        <v>336</v>
      </c>
      <c r="E1480" s="11" t="s">
        <v>1133</v>
      </c>
      <c r="F1480" s="11" t="s">
        <v>9013</v>
      </c>
      <c r="G1480" s="11" t="s">
        <v>8794</v>
      </c>
      <c r="H1480" s="11"/>
      <c r="I1480" s="11" t="s">
        <v>9014</v>
      </c>
      <c r="J1480" s="11" t="s">
        <v>9015</v>
      </c>
      <c r="K1480" s="11" t="s">
        <v>8796</v>
      </c>
      <c r="L1480" s="11" t="s">
        <v>9016</v>
      </c>
      <c r="M1480" s="11" t="s">
        <v>9017</v>
      </c>
      <c r="N1480" s="14" t="n">
        <v>2</v>
      </c>
      <c r="O1480" s="14" t="n">
        <v>3</v>
      </c>
      <c r="P1480" s="14" t="n">
        <v>4</v>
      </c>
      <c r="Q1480" s="14"/>
      <c r="R1480" s="12" t="n">
        <f aca="false">IF(OR(N1480="",P1480=""),"",ROUND(N1480*O1480/P1480,1))</f>
        <v>1.5</v>
      </c>
      <c r="S1480" s="13" t="n">
        <f aca="false">IF(R1480="","",IF(Q1480="Y",1,IF(P1480&gt;='Read me'!$B$16,3,IF(AND(R1480&gt;='Read me'!$B$14,P1480&lt;='Read me'!$B$15),1,2))))</f>
        <v>3</v>
      </c>
    </row>
    <row r="1481" customFormat="false" ht="46.25" hidden="false" customHeight="false" outlineLevel="0" collapsed="false">
      <c r="A1481" s="11" t="s">
        <v>9018</v>
      </c>
      <c r="B1481" s="11" t="s">
        <v>44</v>
      </c>
      <c r="C1481" s="11" t="s">
        <v>335</v>
      </c>
      <c r="D1481" s="11" t="s">
        <v>336</v>
      </c>
      <c r="E1481" s="11" t="s">
        <v>1372</v>
      </c>
      <c r="F1481" s="11" t="s">
        <v>9019</v>
      </c>
      <c r="G1481" s="11" t="s">
        <v>8808</v>
      </c>
      <c r="H1481" s="11"/>
      <c r="I1481" s="11" t="s">
        <v>9020</v>
      </c>
      <c r="J1481" s="11" t="s">
        <v>9021</v>
      </c>
      <c r="K1481" s="11" t="s">
        <v>9022</v>
      </c>
      <c r="L1481" s="11" t="s">
        <v>9023</v>
      </c>
      <c r="M1481" s="11" t="s">
        <v>9024</v>
      </c>
      <c r="N1481" s="14" t="n">
        <v>3</v>
      </c>
      <c r="O1481" s="14" t="n">
        <v>3</v>
      </c>
      <c r="P1481" s="14" t="n">
        <v>5</v>
      </c>
      <c r="Q1481" s="14"/>
      <c r="R1481" s="12" t="n">
        <f aca="false">IF(OR(N1481="",P1481=""),"",ROUND(N1481*O1481/P1481,1))</f>
        <v>1.8</v>
      </c>
      <c r="S1481" s="13" t="n">
        <f aca="false">IF(R1481="","",IF(Q1481="Y",1,IF(P1481&gt;='Read me'!$B$16,3,IF(AND(R1481&gt;='Read me'!$B$14,P1481&lt;='Read me'!$B$15),1,2))))</f>
        <v>3</v>
      </c>
    </row>
    <row r="1482" customFormat="false" ht="23.85" hidden="false" customHeight="false" outlineLevel="0" collapsed="false">
      <c r="A1482" s="11" t="s">
        <v>9025</v>
      </c>
      <c r="B1482" s="11" t="s">
        <v>44</v>
      </c>
      <c r="C1482" s="11" t="s">
        <v>335</v>
      </c>
      <c r="D1482" s="11" t="s">
        <v>336</v>
      </c>
      <c r="E1482" s="11" t="s">
        <v>1372</v>
      </c>
      <c r="F1482" s="11" t="s">
        <v>9026</v>
      </c>
      <c r="G1482" s="11"/>
      <c r="H1482" s="11"/>
      <c r="I1482" s="11" t="s">
        <v>9027</v>
      </c>
      <c r="J1482" s="11" t="s">
        <v>9028</v>
      </c>
      <c r="K1482" s="11" t="s">
        <v>8818</v>
      </c>
      <c r="L1482" s="11" t="s">
        <v>9029</v>
      </c>
      <c r="M1482" s="11"/>
      <c r="N1482" s="14" t="n">
        <v>3</v>
      </c>
      <c r="O1482" s="14" t="n">
        <v>3</v>
      </c>
      <c r="P1482" s="14" t="n">
        <v>2</v>
      </c>
      <c r="Q1482" s="14"/>
      <c r="R1482" s="12" t="n">
        <f aca="false">IF(OR(N1482="",P1482=""),"",ROUND(N1482*O1482/P1482,1))</f>
        <v>4.5</v>
      </c>
      <c r="S1482" s="13" t="n">
        <f aca="false">IF(R1482="","",IF(Q1482="Y",1,IF(P1482&gt;='Read me'!$B$16,3,IF(AND(R1482&gt;='Read me'!$B$14,P1482&lt;='Read me'!$B$15),1,2))))</f>
        <v>2</v>
      </c>
    </row>
    <row r="1483" customFormat="false" ht="23.85" hidden="false" customHeight="false" outlineLevel="0" collapsed="false">
      <c r="A1483" s="11" t="s">
        <v>9030</v>
      </c>
      <c r="B1483" s="11" t="s">
        <v>44</v>
      </c>
      <c r="C1483" s="11" t="s">
        <v>335</v>
      </c>
      <c r="D1483" s="11" t="s">
        <v>336</v>
      </c>
      <c r="E1483" s="11" t="s">
        <v>1372</v>
      </c>
      <c r="F1483" s="11" t="s">
        <v>9031</v>
      </c>
      <c r="G1483" s="11"/>
      <c r="H1483" s="11"/>
      <c r="I1483" s="11" t="s">
        <v>9032</v>
      </c>
      <c r="J1483" s="11" t="s">
        <v>9033</v>
      </c>
      <c r="K1483" s="11" t="s">
        <v>8824</v>
      </c>
      <c r="L1483" s="11" t="s">
        <v>8943</v>
      </c>
      <c r="M1483" s="11" t="s">
        <v>8826</v>
      </c>
      <c r="N1483" s="14" t="n">
        <v>1</v>
      </c>
      <c r="O1483" s="14" t="n">
        <v>2</v>
      </c>
      <c r="P1483" s="14" t="n">
        <v>3</v>
      </c>
      <c r="Q1483" s="14"/>
      <c r="R1483" s="12" t="n">
        <f aca="false">IF(OR(N1483="",P1483=""),"",ROUND(N1483*O1483/P1483,1))</f>
        <v>0.7</v>
      </c>
      <c r="S1483" s="13" t="n">
        <f aca="false">IF(R1483="","",IF(Q1483="Y",1,IF(P1483&gt;='Read me'!$B$16,3,IF(AND(R1483&gt;='Read me'!$B$14,P1483&lt;='Read me'!$B$15),1,2))))</f>
        <v>2</v>
      </c>
    </row>
    <row r="1484" customFormat="false" ht="23.85" hidden="false" customHeight="false" outlineLevel="0" collapsed="false">
      <c r="A1484" s="11" t="s">
        <v>9034</v>
      </c>
      <c r="B1484" s="11" t="s">
        <v>44</v>
      </c>
      <c r="C1484" s="11" t="s">
        <v>338</v>
      </c>
      <c r="D1484" s="11" t="s">
        <v>339</v>
      </c>
      <c r="E1484" s="11" t="s">
        <v>476</v>
      </c>
      <c r="F1484" s="11" t="s">
        <v>9035</v>
      </c>
      <c r="G1484" s="11"/>
      <c r="H1484" s="11"/>
      <c r="I1484" s="11" t="s">
        <v>9036</v>
      </c>
      <c r="J1484" s="11" t="s">
        <v>9037</v>
      </c>
      <c r="K1484" s="11" t="s">
        <v>1028</v>
      </c>
      <c r="L1484" s="11" t="s">
        <v>9038</v>
      </c>
      <c r="M1484" s="11"/>
      <c r="N1484" s="14" t="n">
        <v>3</v>
      </c>
      <c r="O1484" s="14" t="n">
        <v>3</v>
      </c>
      <c r="P1484" s="14" t="n">
        <v>2</v>
      </c>
      <c r="Q1484" s="14"/>
      <c r="R1484" s="12" t="n">
        <f aca="false">IF(OR(N1484="",P1484=""),"",ROUND(N1484*O1484/P1484,1))</f>
        <v>4.5</v>
      </c>
      <c r="S1484" s="13" t="n">
        <f aca="false">IF(R1484="","",IF(Q1484="Y",1,IF(P1484&gt;='Read me'!$B$16,3,IF(AND(R1484&gt;='Read me'!$B$14,P1484&lt;='Read me'!$B$15),1,2))))</f>
        <v>2</v>
      </c>
    </row>
    <row r="1485" customFormat="false" ht="23.85" hidden="false" customHeight="false" outlineLevel="0" collapsed="false">
      <c r="A1485" s="11" t="s">
        <v>9039</v>
      </c>
      <c r="B1485" s="11" t="s">
        <v>44</v>
      </c>
      <c r="C1485" s="11" t="s">
        <v>338</v>
      </c>
      <c r="D1485" s="11" t="s">
        <v>339</v>
      </c>
      <c r="E1485" s="11" t="s">
        <v>626</v>
      </c>
      <c r="F1485" s="11" t="s">
        <v>9040</v>
      </c>
      <c r="G1485" s="11" t="s">
        <v>8126</v>
      </c>
      <c r="H1485" s="11"/>
      <c r="I1485" s="11" t="s">
        <v>9041</v>
      </c>
      <c r="J1485" s="11" t="s">
        <v>9042</v>
      </c>
      <c r="K1485" s="11" t="s">
        <v>5836</v>
      </c>
      <c r="L1485" s="11" t="s">
        <v>9043</v>
      </c>
      <c r="M1485" s="11"/>
      <c r="N1485" s="14" t="n">
        <v>2</v>
      </c>
      <c r="O1485" s="14" t="n">
        <v>3</v>
      </c>
      <c r="P1485" s="14" t="n">
        <v>3</v>
      </c>
      <c r="Q1485" s="14"/>
      <c r="R1485" s="12" t="n">
        <f aca="false">IF(OR(N1485="",P1485=""),"",ROUND(N1485*O1485/P1485,1))</f>
        <v>2</v>
      </c>
      <c r="S1485" s="13" t="n">
        <f aca="false">IF(R1485="","",IF(Q1485="Y",1,IF(P1485&gt;='Read me'!$B$16,3,IF(AND(R1485&gt;='Read me'!$B$14,P1485&lt;='Read me'!$B$15),1,2))))</f>
        <v>2</v>
      </c>
    </row>
    <row r="1486" customFormat="false" ht="35.05" hidden="false" customHeight="false" outlineLevel="0" collapsed="false">
      <c r="A1486" s="11" t="s">
        <v>9044</v>
      </c>
      <c r="B1486" s="11" t="s">
        <v>44</v>
      </c>
      <c r="C1486" s="11" t="s">
        <v>338</v>
      </c>
      <c r="D1486" s="11" t="s">
        <v>339</v>
      </c>
      <c r="E1486" s="11" t="s">
        <v>626</v>
      </c>
      <c r="F1486" s="11" t="s">
        <v>9045</v>
      </c>
      <c r="G1486" s="11" t="s">
        <v>8743</v>
      </c>
      <c r="H1486" s="11"/>
      <c r="I1486" s="11" t="s">
        <v>9046</v>
      </c>
      <c r="J1486" s="11" t="s">
        <v>9047</v>
      </c>
      <c r="K1486" s="11" t="s">
        <v>5606</v>
      </c>
      <c r="L1486" s="11" t="s">
        <v>8746</v>
      </c>
      <c r="M1486" s="11" t="s">
        <v>8747</v>
      </c>
      <c r="N1486" s="14" t="n">
        <v>1</v>
      </c>
      <c r="O1486" s="14" t="n">
        <v>2</v>
      </c>
      <c r="P1486" s="14" t="n">
        <v>3</v>
      </c>
      <c r="Q1486" s="14"/>
      <c r="R1486" s="12" t="n">
        <f aca="false">IF(OR(N1486="",P1486=""),"",ROUND(N1486*O1486/P1486,1))</f>
        <v>0.7</v>
      </c>
      <c r="S1486" s="13" t="n">
        <f aca="false">IF(R1486="","",IF(Q1486="Y",1,IF(P1486&gt;='Read me'!$B$16,3,IF(AND(R1486&gt;='Read me'!$B$14,P1486&lt;='Read me'!$B$15),1,2))))</f>
        <v>2</v>
      </c>
    </row>
    <row r="1487" customFormat="false" ht="23.85" hidden="false" customHeight="false" outlineLevel="0" collapsed="false">
      <c r="A1487" s="11" t="s">
        <v>9048</v>
      </c>
      <c r="B1487" s="11" t="s">
        <v>44</v>
      </c>
      <c r="C1487" s="11" t="s">
        <v>338</v>
      </c>
      <c r="D1487" s="11" t="s">
        <v>339</v>
      </c>
      <c r="E1487" s="11" t="s">
        <v>751</v>
      </c>
      <c r="F1487" s="11" t="s">
        <v>9049</v>
      </c>
      <c r="G1487" s="11" t="s">
        <v>9050</v>
      </c>
      <c r="H1487" s="11"/>
      <c r="I1487" s="11" t="s">
        <v>9051</v>
      </c>
      <c r="J1487" s="11" t="s">
        <v>9052</v>
      </c>
      <c r="K1487" s="11" t="s">
        <v>4437</v>
      </c>
      <c r="L1487" s="11" t="s">
        <v>9053</v>
      </c>
      <c r="M1487" s="11" t="s">
        <v>1577</v>
      </c>
      <c r="N1487" s="14" t="n">
        <v>3</v>
      </c>
      <c r="O1487" s="14" t="n">
        <v>4</v>
      </c>
      <c r="P1487" s="14" t="n">
        <v>3</v>
      </c>
      <c r="Q1487" s="14"/>
      <c r="R1487" s="12" t="n">
        <f aca="false">IF(OR(N1487="",P1487=""),"",ROUND(N1487*O1487/P1487,1))</f>
        <v>4</v>
      </c>
      <c r="S1487" s="13" t="n">
        <f aca="false">IF(R1487="","",IF(Q1487="Y",1,IF(P1487&gt;='Read me'!$B$16,3,IF(AND(R1487&gt;='Read me'!$B$14,P1487&lt;='Read me'!$B$15),1,2))))</f>
        <v>2</v>
      </c>
    </row>
    <row r="1488" customFormat="false" ht="35.05" hidden="false" customHeight="false" outlineLevel="0" collapsed="false">
      <c r="A1488" s="11" t="s">
        <v>9054</v>
      </c>
      <c r="B1488" s="11" t="s">
        <v>44</v>
      </c>
      <c r="C1488" s="11" t="s">
        <v>338</v>
      </c>
      <c r="D1488" s="11" t="s">
        <v>339</v>
      </c>
      <c r="E1488" s="11" t="s">
        <v>751</v>
      </c>
      <c r="F1488" s="11" t="s">
        <v>9055</v>
      </c>
      <c r="G1488" s="11" t="s">
        <v>9056</v>
      </c>
      <c r="H1488" s="11"/>
      <c r="I1488" s="11" t="s">
        <v>9057</v>
      </c>
      <c r="J1488" s="11" t="s">
        <v>9058</v>
      </c>
      <c r="K1488" s="11" t="s">
        <v>4437</v>
      </c>
      <c r="L1488" s="11" t="s">
        <v>9059</v>
      </c>
      <c r="M1488" s="11" t="s">
        <v>9060</v>
      </c>
      <c r="N1488" s="14" t="n">
        <v>2</v>
      </c>
      <c r="O1488" s="14" t="n">
        <v>4</v>
      </c>
      <c r="P1488" s="14" t="n">
        <v>4</v>
      </c>
      <c r="Q1488" s="14"/>
      <c r="R1488" s="12" t="n">
        <f aca="false">IF(OR(N1488="",P1488=""),"",ROUND(N1488*O1488/P1488,1))</f>
        <v>2</v>
      </c>
      <c r="S1488" s="13" t="n">
        <f aca="false">IF(R1488="","",IF(Q1488="Y",1,IF(P1488&gt;='Read me'!$B$16,3,IF(AND(R1488&gt;='Read me'!$B$14,P1488&lt;='Read me'!$B$15),1,2))))</f>
        <v>3</v>
      </c>
    </row>
    <row r="1489" customFormat="false" ht="23.85" hidden="false" customHeight="false" outlineLevel="0" collapsed="false">
      <c r="A1489" s="11" t="s">
        <v>9061</v>
      </c>
      <c r="B1489" s="11" t="s">
        <v>44</v>
      </c>
      <c r="C1489" s="11" t="s">
        <v>338</v>
      </c>
      <c r="D1489" s="11" t="s">
        <v>339</v>
      </c>
      <c r="E1489" s="11" t="s">
        <v>751</v>
      </c>
      <c r="F1489" s="11" t="s">
        <v>9062</v>
      </c>
      <c r="G1489" s="11" t="s">
        <v>9063</v>
      </c>
      <c r="H1489" s="11"/>
      <c r="I1489" s="11" t="s">
        <v>9064</v>
      </c>
      <c r="J1489" s="11" t="s">
        <v>9065</v>
      </c>
      <c r="K1489" s="11" t="s">
        <v>9066</v>
      </c>
      <c r="L1489" s="11" t="s">
        <v>9067</v>
      </c>
      <c r="M1489" s="11"/>
      <c r="N1489" s="14" t="n">
        <v>2</v>
      </c>
      <c r="O1489" s="14" t="n">
        <v>3</v>
      </c>
      <c r="P1489" s="14" t="n">
        <v>2</v>
      </c>
      <c r="Q1489" s="14"/>
      <c r="R1489" s="12" t="n">
        <f aca="false">IF(OR(N1489="",P1489=""),"",ROUND(N1489*O1489/P1489,1))</f>
        <v>3</v>
      </c>
      <c r="S1489" s="13" t="n">
        <f aca="false">IF(R1489="","",IF(Q1489="Y",1,IF(P1489&gt;='Read me'!$B$16,3,IF(AND(R1489&gt;='Read me'!$B$14,P1489&lt;='Read me'!$B$15),1,2))))</f>
        <v>2</v>
      </c>
    </row>
    <row r="1490" customFormat="false" ht="23.85" hidden="false" customHeight="false" outlineLevel="0" collapsed="false">
      <c r="A1490" s="11" t="s">
        <v>9068</v>
      </c>
      <c r="B1490" s="11" t="s">
        <v>44</v>
      </c>
      <c r="C1490" s="11" t="s">
        <v>338</v>
      </c>
      <c r="D1490" s="11" t="s">
        <v>339</v>
      </c>
      <c r="E1490" s="11" t="s">
        <v>751</v>
      </c>
      <c r="F1490" s="11" t="s">
        <v>9069</v>
      </c>
      <c r="G1490" s="11" t="s">
        <v>8673</v>
      </c>
      <c r="H1490" s="11"/>
      <c r="I1490" s="11" t="s">
        <v>9070</v>
      </c>
      <c r="J1490" s="11" t="s">
        <v>9071</v>
      </c>
      <c r="K1490" s="11" t="s">
        <v>5634</v>
      </c>
      <c r="L1490" s="11" t="s">
        <v>9072</v>
      </c>
      <c r="M1490" s="11"/>
      <c r="N1490" s="14" t="n">
        <v>2</v>
      </c>
      <c r="O1490" s="14" t="n">
        <v>3</v>
      </c>
      <c r="P1490" s="14" t="n">
        <v>3</v>
      </c>
      <c r="Q1490" s="14"/>
      <c r="R1490" s="12" t="n">
        <f aca="false">IF(OR(N1490="",P1490=""),"",ROUND(N1490*O1490/P1490,1))</f>
        <v>2</v>
      </c>
      <c r="S1490" s="13" t="n">
        <f aca="false">IF(R1490="","",IF(Q1490="Y",1,IF(P1490&gt;='Read me'!$B$16,3,IF(AND(R1490&gt;='Read me'!$B$14,P1490&lt;='Read me'!$B$15),1,2))))</f>
        <v>2</v>
      </c>
    </row>
    <row r="1491" customFormat="false" ht="23.85" hidden="false" customHeight="false" outlineLevel="0" collapsed="false">
      <c r="A1491" s="11" t="s">
        <v>9073</v>
      </c>
      <c r="B1491" s="11" t="s">
        <v>44</v>
      </c>
      <c r="C1491" s="11" t="s">
        <v>338</v>
      </c>
      <c r="D1491" s="11" t="s">
        <v>339</v>
      </c>
      <c r="E1491" s="11" t="s">
        <v>751</v>
      </c>
      <c r="F1491" s="11" t="s">
        <v>9074</v>
      </c>
      <c r="G1491" s="11" t="s">
        <v>9056</v>
      </c>
      <c r="H1491" s="11"/>
      <c r="I1491" s="11" t="s">
        <v>9075</v>
      </c>
      <c r="J1491" s="11" t="s">
        <v>9076</v>
      </c>
      <c r="K1491" s="11" t="s">
        <v>4437</v>
      </c>
      <c r="L1491" s="11" t="s">
        <v>9077</v>
      </c>
      <c r="M1491" s="11" t="s">
        <v>1577</v>
      </c>
      <c r="N1491" s="14" t="n">
        <v>1</v>
      </c>
      <c r="O1491" s="14" t="n">
        <v>3</v>
      </c>
      <c r="P1491" s="14" t="n">
        <v>3</v>
      </c>
      <c r="Q1491" s="14"/>
      <c r="R1491" s="12" t="n">
        <f aca="false">IF(OR(N1491="",P1491=""),"",ROUND(N1491*O1491/P1491,1))</f>
        <v>1</v>
      </c>
      <c r="S1491" s="13" t="n">
        <f aca="false">IF(R1491="","",IF(Q1491="Y",1,IF(P1491&gt;='Read me'!$B$16,3,IF(AND(R1491&gt;='Read me'!$B$14,P1491&lt;='Read me'!$B$15),1,2))))</f>
        <v>2</v>
      </c>
    </row>
    <row r="1492" customFormat="false" ht="35.05" hidden="false" customHeight="false" outlineLevel="0" collapsed="false">
      <c r="A1492" s="11" t="s">
        <v>9078</v>
      </c>
      <c r="B1492" s="11" t="s">
        <v>44</v>
      </c>
      <c r="C1492" s="11" t="s">
        <v>338</v>
      </c>
      <c r="D1492" s="11" t="s">
        <v>339</v>
      </c>
      <c r="E1492" s="11" t="s">
        <v>1187</v>
      </c>
      <c r="F1492" s="11" t="s">
        <v>9049</v>
      </c>
      <c r="G1492" s="11"/>
      <c r="H1492" s="11" t="s">
        <v>9079</v>
      </c>
      <c r="I1492" s="11" t="s">
        <v>9080</v>
      </c>
      <c r="J1492" s="11" t="s">
        <v>9081</v>
      </c>
      <c r="K1492" s="11" t="s">
        <v>675</v>
      </c>
      <c r="L1492" s="11" t="s">
        <v>9082</v>
      </c>
      <c r="M1492" s="11"/>
      <c r="N1492" s="14" t="n">
        <v>2</v>
      </c>
      <c r="O1492" s="14" t="n">
        <v>2</v>
      </c>
      <c r="P1492" s="14" t="n">
        <v>2</v>
      </c>
      <c r="Q1492" s="14"/>
      <c r="R1492" s="12" t="n">
        <f aca="false">IF(OR(N1492="",P1492=""),"",ROUND(N1492*O1492/P1492,1))</f>
        <v>2</v>
      </c>
      <c r="S1492" s="13" t="n">
        <f aca="false">IF(R1492="","",IF(Q1492="Y",1,IF(P1492&gt;='Read me'!$B$16,3,IF(AND(R1492&gt;='Read me'!$B$14,P1492&lt;='Read me'!$B$15),1,2))))</f>
        <v>2</v>
      </c>
    </row>
    <row r="1493" customFormat="false" ht="23.85" hidden="false" customHeight="false" outlineLevel="0" collapsed="false">
      <c r="A1493" s="11" t="s">
        <v>9083</v>
      </c>
      <c r="B1493" s="11" t="s">
        <v>44</v>
      </c>
      <c r="C1493" s="11" t="s">
        <v>338</v>
      </c>
      <c r="D1493" s="11" t="s">
        <v>339</v>
      </c>
      <c r="E1493" s="11" t="s">
        <v>1187</v>
      </c>
      <c r="F1493" s="11" t="s">
        <v>9049</v>
      </c>
      <c r="G1493" s="11" t="s">
        <v>9084</v>
      </c>
      <c r="H1493" s="11" t="s">
        <v>9085</v>
      </c>
      <c r="I1493" s="11" t="s">
        <v>9086</v>
      </c>
      <c r="J1493" s="11" t="s">
        <v>9087</v>
      </c>
      <c r="K1493" s="11" t="s">
        <v>2887</v>
      </c>
      <c r="L1493" s="11" t="s">
        <v>1410</v>
      </c>
      <c r="M1493" s="11"/>
      <c r="N1493" s="14" t="n">
        <v>2</v>
      </c>
      <c r="O1493" s="14" t="n">
        <v>2</v>
      </c>
      <c r="P1493" s="14" t="n">
        <v>2</v>
      </c>
      <c r="Q1493" s="14"/>
      <c r="R1493" s="12" t="n">
        <f aca="false">IF(OR(N1493="",P1493=""),"",ROUND(N1493*O1493/P1493,1))</f>
        <v>2</v>
      </c>
      <c r="S1493" s="13" t="n">
        <f aca="false">IF(R1493="","",IF(Q1493="Y",1,IF(P1493&gt;='Read me'!$B$16,3,IF(AND(R1493&gt;='Read me'!$B$14,P1493&lt;='Read me'!$B$15),1,2))))</f>
        <v>2</v>
      </c>
    </row>
    <row r="1494" customFormat="false" ht="23.85" hidden="false" customHeight="false" outlineLevel="0" collapsed="false">
      <c r="A1494" s="11" t="s">
        <v>9088</v>
      </c>
      <c r="B1494" s="11" t="s">
        <v>44</v>
      </c>
      <c r="C1494" s="11" t="s">
        <v>338</v>
      </c>
      <c r="D1494" s="11" t="s">
        <v>339</v>
      </c>
      <c r="E1494" s="11" t="s">
        <v>1187</v>
      </c>
      <c r="F1494" s="11" t="s">
        <v>9089</v>
      </c>
      <c r="G1494" s="11"/>
      <c r="H1494" s="11" t="s">
        <v>9090</v>
      </c>
      <c r="I1494" s="11" t="s">
        <v>9091</v>
      </c>
      <c r="J1494" s="11" t="s">
        <v>9092</v>
      </c>
      <c r="K1494" s="11" t="s">
        <v>2768</v>
      </c>
      <c r="L1494" s="11" t="s">
        <v>8693</v>
      </c>
      <c r="M1494" s="11"/>
      <c r="N1494" s="14" t="n">
        <v>1</v>
      </c>
      <c r="O1494" s="14" t="n">
        <v>3</v>
      </c>
      <c r="P1494" s="14" t="n">
        <v>3</v>
      </c>
      <c r="Q1494" s="14"/>
      <c r="R1494" s="12" t="n">
        <f aca="false">IF(OR(N1494="",P1494=""),"",ROUND(N1494*O1494/P1494,1))</f>
        <v>1</v>
      </c>
      <c r="S1494" s="13" t="n">
        <f aca="false">IF(R1494="","",IF(Q1494="Y",1,IF(P1494&gt;='Read me'!$B$16,3,IF(AND(R1494&gt;='Read me'!$B$14,P1494&lt;='Read me'!$B$15),1,2))))</f>
        <v>2</v>
      </c>
    </row>
    <row r="1495" customFormat="false" ht="35.05" hidden="false" customHeight="false" outlineLevel="0" collapsed="false">
      <c r="A1495" s="11" t="s">
        <v>9093</v>
      </c>
      <c r="B1495" s="11" t="s">
        <v>44</v>
      </c>
      <c r="C1495" s="11" t="s">
        <v>338</v>
      </c>
      <c r="D1495" s="11" t="s">
        <v>339</v>
      </c>
      <c r="E1495" s="11" t="s">
        <v>1187</v>
      </c>
      <c r="F1495" s="11" t="s">
        <v>9094</v>
      </c>
      <c r="G1495" s="11" t="s">
        <v>7498</v>
      </c>
      <c r="H1495" s="11"/>
      <c r="I1495" s="11" t="s">
        <v>9095</v>
      </c>
      <c r="J1495" s="11" t="s">
        <v>9096</v>
      </c>
      <c r="K1495" s="11" t="s">
        <v>916</v>
      </c>
      <c r="L1495" s="11" t="s">
        <v>9097</v>
      </c>
      <c r="M1495" s="11"/>
      <c r="N1495" s="14" t="n">
        <v>1</v>
      </c>
      <c r="O1495" s="14" t="n">
        <v>3</v>
      </c>
      <c r="P1495" s="14" t="n">
        <v>5</v>
      </c>
      <c r="Q1495" s="14"/>
      <c r="R1495" s="12" t="n">
        <f aca="false">IF(OR(N1495="",P1495=""),"",ROUND(N1495*O1495/P1495,1))</f>
        <v>0.6</v>
      </c>
      <c r="S1495" s="13" t="n">
        <f aca="false">IF(R1495="","",IF(Q1495="Y",1,IF(P1495&gt;='Read me'!$B$16,3,IF(AND(R1495&gt;='Read me'!$B$14,P1495&lt;='Read me'!$B$15),1,2))))</f>
        <v>3</v>
      </c>
    </row>
    <row r="1496" customFormat="false" ht="23.85" hidden="false" customHeight="false" outlineLevel="0" collapsed="false">
      <c r="A1496" s="11" t="s">
        <v>9098</v>
      </c>
      <c r="B1496" s="11" t="s">
        <v>44</v>
      </c>
      <c r="C1496" s="11" t="s">
        <v>338</v>
      </c>
      <c r="D1496" s="11" t="s">
        <v>339</v>
      </c>
      <c r="E1496" s="11" t="s">
        <v>1133</v>
      </c>
      <c r="F1496" s="11" t="s">
        <v>9099</v>
      </c>
      <c r="G1496" s="11" t="s">
        <v>9100</v>
      </c>
      <c r="H1496" s="11"/>
      <c r="I1496" s="11" t="s">
        <v>512</v>
      </c>
      <c r="J1496" s="11" t="s">
        <v>9101</v>
      </c>
      <c r="K1496" s="11" t="s">
        <v>9102</v>
      </c>
      <c r="L1496" s="11" t="s">
        <v>9103</v>
      </c>
      <c r="M1496" s="11"/>
      <c r="N1496" s="14" t="n">
        <v>1</v>
      </c>
      <c r="O1496" s="14" t="n">
        <v>3</v>
      </c>
      <c r="P1496" s="14" t="n">
        <v>3</v>
      </c>
      <c r="Q1496" s="14"/>
      <c r="R1496" s="12" t="n">
        <f aca="false">IF(OR(N1496="",P1496=""),"",ROUND(N1496*O1496/P1496,1))</f>
        <v>1</v>
      </c>
      <c r="S1496" s="13" t="n">
        <f aca="false">IF(R1496="","",IF(Q1496="Y",1,IF(P1496&gt;='Read me'!$B$16,3,IF(AND(R1496&gt;='Read me'!$B$14,P1496&lt;='Read me'!$B$15),1,2))))</f>
        <v>2</v>
      </c>
    </row>
    <row r="1497" customFormat="false" ht="23.85" hidden="false" customHeight="false" outlineLevel="0" collapsed="false">
      <c r="A1497" s="11" t="s">
        <v>9104</v>
      </c>
      <c r="B1497" s="11" t="s">
        <v>44</v>
      </c>
      <c r="C1497" s="11" t="s">
        <v>338</v>
      </c>
      <c r="D1497" s="11" t="s">
        <v>339</v>
      </c>
      <c r="E1497" s="11" t="s">
        <v>1133</v>
      </c>
      <c r="F1497" s="11" t="s">
        <v>9105</v>
      </c>
      <c r="G1497" s="11" t="s">
        <v>1990</v>
      </c>
      <c r="H1497" s="11"/>
      <c r="I1497" s="11" t="s">
        <v>9106</v>
      </c>
      <c r="J1497" s="11" t="s">
        <v>9107</v>
      </c>
      <c r="K1497" s="11" t="s">
        <v>1028</v>
      </c>
      <c r="L1497" s="11" t="s">
        <v>1410</v>
      </c>
      <c r="M1497" s="11"/>
      <c r="N1497" s="14" t="n">
        <v>1</v>
      </c>
      <c r="O1497" s="14" t="n">
        <v>2</v>
      </c>
      <c r="P1497" s="14" t="n">
        <v>2</v>
      </c>
      <c r="Q1497" s="14"/>
      <c r="R1497" s="12" t="n">
        <f aca="false">IF(OR(N1497="",P1497=""),"",ROUND(N1497*O1497/P1497,1))</f>
        <v>1</v>
      </c>
      <c r="S1497" s="13" t="n">
        <f aca="false">IF(R1497="","",IF(Q1497="Y",1,IF(P1497&gt;='Read me'!$B$16,3,IF(AND(R1497&gt;='Read me'!$B$14,P1497&lt;='Read me'!$B$15),1,2))))</f>
        <v>2</v>
      </c>
    </row>
    <row r="1498" customFormat="false" ht="23.85" hidden="false" customHeight="false" outlineLevel="0" collapsed="false">
      <c r="A1498" s="11" t="s">
        <v>9108</v>
      </c>
      <c r="B1498" s="11" t="s">
        <v>44</v>
      </c>
      <c r="C1498" s="11" t="s">
        <v>338</v>
      </c>
      <c r="D1498" s="11" t="s">
        <v>339</v>
      </c>
      <c r="E1498" s="11" t="s">
        <v>1372</v>
      </c>
      <c r="F1498" s="11" t="s">
        <v>9109</v>
      </c>
      <c r="G1498" s="11"/>
      <c r="H1498" s="11"/>
      <c r="I1498" s="11" t="s">
        <v>9110</v>
      </c>
      <c r="J1498" s="11" t="s">
        <v>9111</v>
      </c>
      <c r="K1498" s="11" t="s">
        <v>1028</v>
      </c>
      <c r="L1498" s="11" t="s">
        <v>8392</v>
      </c>
      <c r="M1498" s="11" t="s">
        <v>9112</v>
      </c>
      <c r="N1498" s="14" t="n">
        <v>1</v>
      </c>
      <c r="O1498" s="14" t="n">
        <v>2</v>
      </c>
      <c r="P1498" s="14" t="n">
        <v>3</v>
      </c>
      <c r="Q1498" s="14"/>
      <c r="R1498" s="12" t="n">
        <f aca="false">IF(OR(N1498="",P1498=""),"",ROUND(N1498*O1498/P1498,1))</f>
        <v>0.7</v>
      </c>
      <c r="S1498" s="13" t="n">
        <f aca="false">IF(R1498="","",IF(Q1498="Y",1,IF(P1498&gt;='Read me'!$B$16,3,IF(AND(R1498&gt;='Read me'!$B$14,P1498&lt;='Read me'!$B$15),1,2))))</f>
        <v>2</v>
      </c>
    </row>
    <row r="1499" customFormat="false" ht="68.65" hidden="false" customHeight="false" outlineLevel="0" collapsed="false">
      <c r="A1499" s="11" t="s">
        <v>9113</v>
      </c>
      <c r="B1499" s="11" t="s">
        <v>45</v>
      </c>
      <c r="C1499" s="11" t="s">
        <v>342</v>
      </c>
      <c r="D1499" s="11" t="s">
        <v>343</v>
      </c>
      <c r="E1499" s="11" t="s">
        <v>476</v>
      </c>
      <c r="F1499" s="11" t="s">
        <v>9114</v>
      </c>
      <c r="G1499" s="11"/>
      <c r="H1499" s="11"/>
      <c r="I1499" s="11" t="s">
        <v>9115</v>
      </c>
      <c r="J1499" s="11" t="s">
        <v>9116</v>
      </c>
      <c r="K1499" s="11" t="s">
        <v>9117</v>
      </c>
      <c r="L1499" s="11" t="s">
        <v>9118</v>
      </c>
      <c r="M1499" s="11" t="s">
        <v>9119</v>
      </c>
      <c r="N1499" s="14" t="n">
        <v>3</v>
      </c>
      <c r="O1499" s="14" t="n">
        <v>3</v>
      </c>
      <c r="P1499" s="14" t="n">
        <v>3</v>
      </c>
      <c r="Q1499" s="14"/>
      <c r="R1499" s="12" t="n">
        <f aca="false">IF(OR(N1499="",P1499=""),"",ROUND(N1499*O1499/P1499,1))</f>
        <v>3</v>
      </c>
      <c r="S1499" s="13" t="n">
        <f aca="false">IF(R1499="","",IF(Q1499="Y",1,IF(P1499&gt;='Read me'!$B$16,3,IF(AND(R1499&gt;='Read me'!$B$14,P1499&lt;='Read me'!$B$15),1,2))))</f>
        <v>2</v>
      </c>
    </row>
    <row r="1500" customFormat="false" ht="35.05" hidden="false" customHeight="false" outlineLevel="0" collapsed="false">
      <c r="A1500" s="11" t="s">
        <v>9120</v>
      </c>
      <c r="B1500" s="11" t="s">
        <v>45</v>
      </c>
      <c r="C1500" s="11" t="s">
        <v>342</v>
      </c>
      <c r="D1500" s="11" t="s">
        <v>343</v>
      </c>
      <c r="E1500" s="11" t="s">
        <v>476</v>
      </c>
      <c r="F1500" s="11" t="s">
        <v>9121</v>
      </c>
      <c r="G1500" s="11" t="s">
        <v>9122</v>
      </c>
      <c r="H1500" s="11"/>
      <c r="I1500" s="11" t="s">
        <v>512</v>
      </c>
      <c r="J1500" s="11" t="s">
        <v>9123</v>
      </c>
      <c r="K1500" s="11" t="s">
        <v>9124</v>
      </c>
      <c r="L1500" s="11" t="s">
        <v>9125</v>
      </c>
      <c r="M1500" s="11" t="s">
        <v>8109</v>
      </c>
      <c r="N1500" s="14" t="n">
        <v>2</v>
      </c>
      <c r="O1500" s="14" t="n">
        <v>3</v>
      </c>
      <c r="P1500" s="14" t="n">
        <v>3</v>
      </c>
      <c r="Q1500" s="14"/>
      <c r="R1500" s="12" t="n">
        <f aca="false">IF(OR(N1500="",P1500=""),"",ROUND(N1500*O1500/P1500,1))</f>
        <v>2</v>
      </c>
      <c r="S1500" s="13" t="n">
        <f aca="false">IF(R1500="","",IF(Q1500="Y",1,IF(P1500&gt;='Read me'!$B$16,3,IF(AND(R1500&gt;='Read me'!$B$14,P1500&lt;='Read me'!$B$15),1,2))))</f>
        <v>2</v>
      </c>
    </row>
    <row r="1501" customFormat="false" ht="23.85" hidden="false" customHeight="false" outlineLevel="0" collapsed="false">
      <c r="A1501" s="11" t="s">
        <v>9126</v>
      </c>
      <c r="B1501" s="11" t="s">
        <v>45</v>
      </c>
      <c r="C1501" s="11" t="s">
        <v>342</v>
      </c>
      <c r="D1501" s="11" t="s">
        <v>343</v>
      </c>
      <c r="E1501" s="11" t="s">
        <v>532</v>
      </c>
      <c r="F1501" s="11" t="s">
        <v>9114</v>
      </c>
      <c r="G1501" s="11" t="s">
        <v>9127</v>
      </c>
      <c r="H1501" s="11"/>
      <c r="I1501" s="11" t="s">
        <v>9128</v>
      </c>
      <c r="J1501" s="11" t="s">
        <v>9129</v>
      </c>
      <c r="K1501" s="11" t="s">
        <v>9130</v>
      </c>
      <c r="L1501" s="11" t="s">
        <v>9131</v>
      </c>
      <c r="M1501" s="11"/>
      <c r="N1501" s="14" t="n">
        <v>3</v>
      </c>
      <c r="O1501" s="14" t="n">
        <v>3</v>
      </c>
      <c r="P1501" s="14" t="n">
        <v>2</v>
      </c>
      <c r="Q1501" s="14"/>
      <c r="R1501" s="12" t="n">
        <f aca="false">IF(OR(N1501="",P1501=""),"",ROUND(N1501*O1501/P1501,1))</f>
        <v>4.5</v>
      </c>
      <c r="S1501" s="13" t="n">
        <f aca="false">IF(R1501="","",IF(Q1501="Y",1,IF(P1501&gt;='Read me'!$B$16,3,IF(AND(R1501&gt;='Read me'!$B$14,P1501&lt;='Read me'!$B$15),1,2))))</f>
        <v>2</v>
      </c>
    </row>
    <row r="1502" customFormat="false" ht="46.25" hidden="false" customHeight="false" outlineLevel="0" collapsed="false">
      <c r="A1502" s="11" t="s">
        <v>9132</v>
      </c>
      <c r="B1502" s="11" t="s">
        <v>45</v>
      </c>
      <c r="C1502" s="11" t="s">
        <v>342</v>
      </c>
      <c r="D1502" s="11" t="s">
        <v>343</v>
      </c>
      <c r="E1502" s="11" t="s">
        <v>751</v>
      </c>
      <c r="F1502" s="11" t="s">
        <v>343</v>
      </c>
      <c r="G1502" s="11" t="s">
        <v>1252</v>
      </c>
      <c r="H1502" s="11"/>
      <c r="I1502" s="11" t="s">
        <v>9133</v>
      </c>
      <c r="J1502" s="11" t="s">
        <v>9134</v>
      </c>
      <c r="K1502" s="11" t="s">
        <v>9135</v>
      </c>
      <c r="L1502" s="11" t="s">
        <v>9136</v>
      </c>
      <c r="M1502" s="11" t="s">
        <v>1577</v>
      </c>
      <c r="N1502" s="14" t="n">
        <v>3</v>
      </c>
      <c r="O1502" s="14" t="n">
        <v>4</v>
      </c>
      <c r="P1502" s="14" t="n">
        <v>3</v>
      </c>
      <c r="Q1502" s="14"/>
      <c r="R1502" s="12" t="n">
        <f aca="false">IF(OR(N1502="",P1502=""),"",ROUND(N1502*O1502/P1502,1))</f>
        <v>4</v>
      </c>
      <c r="S1502" s="13" t="n">
        <f aca="false">IF(R1502="","",IF(Q1502="Y",1,IF(P1502&gt;='Read me'!$B$16,3,IF(AND(R1502&gt;='Read me'!$B$14,P1502&lt;='Read me'!$B$15),1,2))))</f>
        <v>2</v>
      </c>
    </row>
    <row r="1503" customFormat="false" ht="35.05" hidden="false" customHeight="false" outlineLevel="0" collapsed="false">
      <c r="A1503" s="11" t="s">
        <v>9137</v>
      </c>
      <c r="B1503" s="11" t="s">
        <v>45</v>
      </c>
      <c r="C1503" s="11" t="s">
        <v>342</v>
      </c>
      <c r="D1503" s="11" t="s">
        <v>343</v>
      </c>
      <c r="E1503" s="11" t="s">
        <v>751</v>
      </c>
      <c r="F1503" s="11" t="s">
        <v>343</v>
      </c>
      <c r="G1503" s="11" t="s">
        <v>9138</v>
      </c>
      <c r="H1503" s="11"/>
      <c r="I1503" s="11" t="s">
        <v>9139</v>
      </c>
      <c r="J1503" s="11" t="s">
        <v>9140</v>
      </c>
      <c r="K1503" s="11" t="s">
        <v>5634</v>
      </c>
      <c r="L1503" s="11" t="s">
        <v>9141</v>
      </c>
      <c r="M1503" s="11" t="s">
        <v>8222</v>
      </c>
      <c r="N1503" s="14" t="n">
        <v>2</v>
      </c>
      <c r="O1503" s="14" t="n">
        <v>2</v>
      </c>
      <c r="P1503" s="14" t="n">
        <v>3</v>
      </c>
      <c r="Q1503" s="14"/>
      <c r="R1503" s="12" t="n">
        <f aca="false">IF(OR(N1503="",P1503=""),"",ROUND(N1503*O1503/P1503,1))</f>
        <v>1.3</v>
      </c>
      <c r="S1503" s="13" t="n">
        <f aca="false">IF(R1503="","",IF(Q1503="Y",1,IF(P1503&gt;='Read me'!$B$16,3,IF(AND(R1503&gt;='Read me'!$B$14,P1503&lt;='Read me'!$B$15),1,2))))</f>
        <v>2</v>
      </c>
    </row>
    <row r="1504" customFormat="false" ht="35.05" hidden="false" customHeight="false" outlineLevel="0" collapsed="false">
      <c r="A1504" s="11" t="s">
        <v>9142</v>
      </c>
      <c r="B1504" s="11" t="s">
        <v>45</v>
      </c>
      <c r="C1504" s="11" t="s">
        <v>342</v>
      </c>
      <c r="D1504" s="11" t="s">
        <v>343</v>
      </c>
      <c r="E1504" s="11" t="s">
        <v>751</v>
      </c>
      <c r="F1504" s="11" t="s">
        <v>9143</v>
      </c>
      <c r="G1504" s="11" t="s">
        <v>9144</v>
      </c>
      <c r="H1504" s="11"/>
      <c r="I1504" s="11" t="s">
        <v>9145</v>
      </c>
      <c r="J1504" s="11" t="s">
        <v>9146</v>
      </c>
      <c r="K1504" s="11" t="s">
        <v>9147</v>
      </c>
      <c r="L1504" s="11" t="s">
        <v>9148</v>
      </c>
      <c r="M1504" s="11"/>
      <c r="N1504" s="14" t="n">
        <v>1</v>
      </c>
      <c r="O1504" s="14" t="n">
        <v>3</v>
      </c>
      <c r="P1504" s="14" t="n">
        <v>2</v>
      </c>
      <c r="Q1504" s="14"/>
      <c r="R1504" s="12" t="n">
        <f aca="false">IF(OR(N1504="",P1504=""),"",ROUND(N1504*O1504/P1504,1))</f>
        <v>1.5</v>
      </c>
      <c r="S1504" s="13" t="n">
        <f aca="false">IF(R1504="","",IF(Q1504="Y",1,IF(P1504&gt;='Read me'!$B$16,3,IF(AND(R1504&gt;='Read me'!$B$14,P1504&lt;='Read me'!$B$15),1,2))))</f>
        <v>2</v>
      </c>
    </row>
    <row r="1505" customFormat="false" ht="35.05" hidden="false" customHeight="false" outlineLevel="0" collapsed="false">
      <c r="A1505" s="11" t="s">
        <v>9149</v>
      </c>
      <c r="B1505" s="11" t="s">
        <v>45</v>
      </c>
      <c r="C1505" s="11" t="s">
        <v>342</v>
      </c>
      <c r="D1505" s="11" t="s">
        <v>343</v>
      </c>
      <c r="E1505" s="11" t="s">
        <v>751</v>
      </c>
      <c r="F1505" s="11" t="s">
        <v>9150</v>
      </c>
      <c r="G1505" s="11" t="s">
        <v>9151</v>
      </c>
      <c r="H1505" s="11"/>
      <c r="I1505" s="11" t="s">
        <v>9152</v>
      </c>
      <c r="J1505" s="11" t="s">
        <v>9153</v>
      </c>
      <c r="K1505" s="11" t="s">
        <v>9154</v>
      </c>
      <c r="L1505" s="11" t="s">
        <v>9155</v>
      </c>
      <c r="M1505" s="11" t="s">
        <v>9156</v>
      </c>
      <c r="N1505" s="14" t="n">
        <v>1</v>
      </c>
      <c r="O1505" s="14" t="n">
        <v>3</v>
      </c>
      <c r="P1505" s="14" t="n">
        <v>3</v>
      </c>
      <c r="Q1505" s="14"/>
      <c r="R1505" s="12" t="n">
        <f aca="false">IF(OR(N1505="",P1505=""),"",ROUND(N1505*O1505/P1505,1))</f>
        <v>1</v>
      </c>
      <c r="S1505" s="13" t="n">
        <f aca="false">IF(R1505="","",IF(Q1505="Y",1,IF(P1505&gt;='Read me'!$B$16,3,IF(AND(R1505&gt;='Read me'!$B$14,P1505&lt;='Read me'!$B$15),1,2))))</f>
        <v>2</v>
      </c>
    </row>
    <row r="1506" customFormat="false" ht="23.85" hidden="false" customHeight="false" outlineLevel="0" collapsed="false">
      <c r="A1506" s="11" t="s">
        <v>9157</v>
      </c>
      <c r="B1506" s="11" t="s">
        <v>45</v>
      </c>
      <c r="C1506" s="11" t="s">
        <v>342</v>
      </c>
      <c r="D1506" s="11" t="s">
        <v>343</v>
      </c>
      <c r="E1506" s="11" t="s">
        <v>765</v>
      </c>
      <c r="F1506" s="11" t="s">
        <v>9158</v>
      </c>
      <c r="G1506" s="11" t="s">
        <v>1393</v>
      </c>
      <c r="H1506" s="11"/>
      <c r="I1506" s="11" t="s">
        <v>512</v>
      </c>
      <c r="J1506" s="11" t="s">
        <v>9159</v>
      </c>
      <c r="K1506" s="11" t="s">
        <v>9160</v>
      </c>
      <c r="L1506" s="11" t="s">
        <v>9161</v>
      </c>
      <c r="M1506" s="11"/>
      <c r="N1506" s="14" t="n">
        <v>2</v>
      </c>
      <c r="O1506" s="14" t="n">
        <v>3</v>
      </c>
      <c r="P1506" s="14" t="n">
        <v>2</v>
      </c>
      <c r="Q1506" s="14"/>
      <c r="R1506" s="12" t="n">
        <f aca="false">IF(OR(N1506="",P1506=""),"",ROUND(N1506*O1506/P1506,1))</f>
        <v>3</v>
      </c>
      <c r="S1506" s="13" t="n">
        <f aca="false">IF(R1506="","",IF(Q1506="Y",1,IF(P1506&gt;='Read me'!$B$16,3,IF(AND(R1506&gt;='Read me'!$B$14,P1506&lt;='Read me'!$B$15),1,2))))</f>
        <v>2</v>
      </c>
    </row>
    <row r="1507" customFormat="false" ht="23.85" hidden="false" customHeight="false" outlineLevel="0" collapsed="false">
      <c r="A1507" s="11" t="s">
        <v>9162</v>
      </c>
      <c r="B1507" s="11" t="s">
        <v>45</v>
      </c>
      <c r="C1507" s="11" t="s">
        <v>342</v>
      </c>
      <c r="D1507" s="11" t="s">
        <v>343</v>
      </c>
      <c r="E1507" s="11" t="s">
        <v>1187</v>
      </c>
      <c r="F1507" s="11" t="s">
        <v>343</v>
      </c>
      <c r="G1507" s="11"/>
      <c r="H1507" s="11" t="s">
        <v>1259</v>
      </c>
      <c r="I1507" s="11" t="s">
        <v>9163</v>
      </c>
      <c r="J1507" s="11" t="s">
        <v>9164</v>
      </c>
      <c r="K1507" s="11" t="s">
        <v>8764</v>
      </c>
      <c r="L1507" s="11" t="s">
        <v>3497</v>
      </c>
      <c r="M1507" s="11"/>
      <c r="N1507" s="14" t="n">
        <v>2</v>
      </c>
      <c r="O1507" s="14" t="n">
        <v>2</v>
      </c>
      <c r="P1507" s="14" t="n">
        <v>1</v>
      </c>
      <c r="Q1507" s="14"/>
      <c r="R1507" s="12" t="n">
        <f aca="false">IF(OR(N1507="",P1507=""),"",ROUND(N1507*O1507/P1507,1))</f>
        <v>4</v>
      </c>
      <c r="S1507" s="13" t="n">
        <f aca="false">IF(R1507="","",IF(Q1507="Y",1,IF(P1507&gt;='Read me'!$B$16,3,IF(AND(R1507&gt;='Read me'!$B$14,P1507&lt;='Read me'!$B$15),1,2))))</f>
        <v>2</v>
      </c>
    </row>
    <row r="1508" customFormat="false" ht="23.85" hidden="false" customHeight="false" outlineLevel="0" collapsed="false">
      <c r="A1508" s="11" t="s">
        <v>9165</v>
      </c>
      <c r="B1508" s="11" t="s">
        <v>45</v>
      </c>
      <c r="C1508" s="11" t="s">
        <v>342</v>
      </c>
      <c r="D1508" s="11" t="s">
        <v>343</v>
      </c>
      <c r="E1508" s="11" t="s">
        <v>1187</v>
      </c>
      <c r="F1508" s="11" t="s">
        <v>343</v>
      </c>
      <c r="G1508" s="11"/>
      <c r="H1508" s="11" t="s">
        <v>9166</v>
      </c>
      <c r="I1508" s="11" t="s">
        <v>9167</v>
      </c>
      <c r="J1508" s="11" t="s">
        <v>9168</v>
      </c>
      <c r="K1508" s="11" t="s">
        <v>1363</v>
      </c>
      <c r="L1508" s="11" t="s">
        <v>9169</v>
      </c>
      <c r="M1508" s="11"/>
      <c r="N1508" s="14" t="n">
        <v>1</v>
      </c>
      <c r="O1508" s="14" t="n">
        <v>2</v>
      </c>
      <c r="P1508" s="14" t="n">
        <v>3</v>
      </c>
      <c r="Q1508" s="14"/>
      <c r="R1508" s="12" t="n">
        <f aca="false">IF(OR(N1508="",P1508=""),"",ROUND(N1508*O1508/P1508,1))</f>
        <v>0.7</v>
      </c>
      <c r="S1508" s="13" t="n">
        <f aca="false">IF(R1508="","",IF(Q1508="Y",1,IF(P1508&gt;='Read me'!$B$16,3,IF(AND(R1508&gt;='Read me'!$B$14,P1508&lt;='Read me'!$B$15),1,2))))</f>
        <v>2</v>
      </c>
    </row>
    <row r="1509" customFormat="false" ht="23.85" hidden="false" customHeight="false" outlineLevel="0" collapsed="false">
      <c r="A1509" s="11" t="s">
        <v>9170</v>
      </c>
      <c r="B1509" s="11" t="s">
        <v>45</v>
      </c>
      <c r="C1509" s="11" t="s">
        <v>342</v>
      </c>
      <c r="D1509" s="11" t="s">
        <v>343</v>
      </c>
      <c r="E1509" s="11" t="s">
        <v>1187</v>
      </c>
      <c r="F1509" s="11" t="s">
        <v>9171</v>
      </c>
      <c r="G1509" s="11" t="s">
        <v>8191</v>
      </c>
      <c r="H1509" s="11" t="s">
        <v>8192</v>
      </c>
      <c r="I1509" s="11" t="s">
        <v>9172</v>
      </c>
      <c r="J1509" s="11" t="s">
        <v>9173</v>
      </c>
      <c r="K1509" s="11" t="s">
        <v>675</v>
      </c>
      <c r="L1509" s="11" t="s">
        <v>9174</v>
      </c>
      <c r="M1509" s="11"/>
      <c r="N1509" s="14" t="n">
        <v>1</v>
      </c>
      <c r="O1509" s="14" t="n">
        <v>3</v>
      </c>
      <c r="P1509" s="14" t="n">
        <v>3</v>
      </c>
      <c r="Q1509" s="14"/>
      <c r="R1509" s="12" t="n">
        <f aca="false">IF(OR(N1509="",P1509=""),"",ROUND(N1509*O1509/P1509,1))</f>
        <v>1</v>
      </c>
      <c r="S1509" s="13" t="n">
        <f aca="false">IF(R1509="","",IF(Q1509="Y",1,IF(P1509&gt;='Read me'!$B$16,3,IF(AND(R1509&gt;='Read me'!$B$14,P1509&lt;='Read me'!$B$15),1,2))))</f>
        <v>2</v>
      </c>
    </row>
    <row r="1510" customFormat="false" ht="68.65" hidden="false" customHeight="false" outlineLevel="0" collapsed="false">
      <c r="A1510" s="11" t="s">
        <v>9175</v>
      </c>
      <c r="B1510" s="11" t="s">
        <v>45</v>
      </c>
      <c r="C1510" s="11" t="s">
        <v>342</v>
      </c>
      <c r="D1510" s="11" t="s">
        <v>343</v>
      </c>
      <c r="E1510" s="11" t="s">
        <v>1187</v>
      </c>
      <c r="F1510" s="11" t="s">
        <v>9176</v>
      </c>
      <c r="G1510" s="11" t="s">
        <v>9177</v>
      </c>
      <c r="H1510" s="11" t="s">
        <v>9178</v>
      </c>
      <c r="I1510" s="11" t="s">
        <v>512</v>
      </c>
      <c r="J1510" s="11" t="s">
        <v>9179</v>
      </c>
      <c r="K1510" s="11" t="s">
        <v>9006</v>
      </c>
      <c r="L1510" s="11" t="s">
        <v>9180</v>
      </c>
      <c r="M1510" s="11" t="s">
        <v>9119</v>
      </c>
      <c r="N1510" s="14" t="n">
        <v>1</v>
      </c>
      <c r="O1510" s="14" t="n">
        <v>3</v>
      </c>
      <c r="P1510" s="14" t="n">
        <v>4</v>
      </c>
      <c r="Q1510" s="14"/>
      <c r="R1510" s="12" t="n">
        <f aca="false">IF(OR(N1510="",P1510=""),"",ROUND(N1510*O1510/P1510,1))</f>
        <v>0.8</v>
      </c>
      <c r="S1510" s="13" t="n">
        <f aca="false">IF(R1510="","",IF(Q1510="Y",1,IF(P1510&gt;='Read me'!$B$16,3,IF(AND(R1510&gt;='Read me'!$B$14,P1510&lt;='Read me'!$B$15),1,2))))</f>
        <v>3</v>
      </c>
    </row>
    <row r="1511" customFormat="false" ht="35.05" hidden="false" customHeight="false" outlineLevel="0" collapsed="false">
      <c r="A1511" s="11" t="s">
        <v>9181</v>
      </c>
      <c r="B1511" s="11" t="s">
        <v>45</v>
      </c>
      <c r="C1511" s="11" t="s">
        <v>342</v>
      </c>
      <c r="D1511" s="11" t="s">
        <v>343</v>
      </c>
      <c r="E1511" s="11" t="s">
        <v>1187</v>
      </c>
      <c r="F1511" s="11" t="s">
        <v>9182</v>
      </c>
      <c r="G1511" s="11"/>
      <c r="H1511" s="11" t="s">
        <v>8525</v>
      </c>
      <c r="I1511" s="11" t="s">
        <v>9183</v>
      </c>
      <c r="J1511" s="11" t="s">
        <v>9184</v>
      </c>
      <c r="K1511" s="11" t="s">
        <v>675</v>
      </c>
      <c r="L1511" s="11" t="s">
        <v>9185</v>
      </c>
      <c r="M1511" s="11" t="s">
        <v>8201</v>
      </c>
      <c r="N1511" s="14" t="n">
        <v>1</v>
      </c>
      <c r="O1511" s="14" t="n">
        <v>3</v>
      </c>
      <c r="P1511" s="14" t="n">
        <v>5</v>
      </c>
      <c r="Q1511" s="14"/>
      <c r="R1511" s="12" t="n">
        <f aca="false">IF(OR(N1511="",P1511=""),"",ROUND(N1511*O1511/P1511,1))</f>
        <v>0.6</v>
      </c>
      <c r="S1511" s="13" t="n">
        <f aca="false">IF(R1511="","",IF(Q1511="Y",1,IF(P1511&gt;='Read me'!$B$16,3,IF(AND(R1511&gt;='Read me'!$B$14,P1511&lt;='Read me'!$B$15),1,2))))</f>
        <v>3</v>
      </c>
    </row>
    <row r="1512" customFormat="false" ht="23.85" hidden="false" customHeight="false" outlineLevel="0" collapsed="false">
      <c r="A1512" s="11" t="s">
        <v>9186</v>
      </c>
      <c r="B1512" s="11" t="s">
        <v>45</v>
      </c>
      <c r="C1512" s="11" t="s">
        <v>342</v>
      </c>
      <c r="D1512" s="11" t="s">
        <v>343</v>
      </c>
      <c r="E1512" s="11" t="s">
        <v>1133</v>
      </c>
      <c r="F1512" s="11" t="s">
        <v>9187</v>
      </c>
      <c r="G1512" s="11"/>
      <c r="H1512" s="11"/>
      <c r="I1512" s="11" t="s">
        <v>9188</v>
      </c>
      <c r="J1512" s="11" t="s">
        <v>9189</v>
      </c>
      <c r="K1512" s="11" t="s">
        <v>9190</v>
      </c>
      <c r="L1512" s="11" t="s">
        <v>9191</v>
      </c>
      <c r="M1512" s="11"/>
      <c r="N1512" s="14" t="n">
        <v>2</v>
      </c>
      <c r="O1512" s="14" t="n">
        <v>2</v>
      </c>
      <c r="P1512" s="14" t="n">
        <v>1</v>
      </c>
      <c r="Q1512" s="14"/>
      <c r="R1512" s="12" t="n">
        <f aca="false">IF(OR(N1512="",P1512=""),"",ROUND(N1512*O1512/P1512,1))</f>
        <v>4</v>
      </c>
      <c r="S1512" s="13" t="n">
        <f aca="false">IF(R1512="","",IF(Q1512="Y",1,IF(P1512&gt;='Read me'!$B$16,3,IF(AND(R1512&gt;='Read me'!$B$14,P1512&lt;='Read me'!$B$15),1,2))))</f>
        <v>2</v>
      </c>
    </row>
    <row r="1513" customFormat="false" ht="23.85" hidden="false" customHeight="false" outlineLevel="0" collapsed="false">
      <c r="A1513" s="11" t="s">
        <v>9192</v>
      </c>
      <c r="B1513" s="11" t="s">
        <v>45</v>
      </c>
      <c r="C1513" s="11" t="s">
        <v>342</v>
      </c>
      <c r="D1513" s="11" t="s">
        <v>343</v>
      </c>
      <c r="E1513" s="11" t="s">
        <v>1372</v>
      </c>
      <c r="F1513" s="11" t="s">
        <v>9193</v>
      </c>
      <c r="G1513" s="11" t="s">
        <v>9194</v>
      </c>
      <c r="H1513" s="11"/>
      <c r="I1513" s="11" t="s">
        <v>9195</v>
      </c>
      <c r="J1513" s="11" t="s">
        <v>9196</v>
      </c>
      <c r="K1513" s="11" t="s">
        <v>4494</v>
      </c>
      <c r="L1513" s="11" t="s">
        <v>9197</v>
      </c>
      <c r="M1513" s="11"/>
      <c r="N1513" s="14" t="n">
        <v>2</v>
      </c>
      <c r="O1513" s="14" t="n">
        <v>3</v>
      </c>
      <c r="P1513" s="14" t="n">
        <v>2</v>
      </c>
      <c r="Q1513" s="14"/>
      <c r="R1513" s="12" t="n">
        <f aca="false">IF(OR(N1513="",P1513=""),"",ROUND(N1513*O1513/P1513,1))</f>
        <v>3</v>
      </c>
      <c r="S1513" s="13" t="n">
        <f aca="false">IF(R1513="","",IF(Q1513="Y",1,IF(P1513&gt;='Read me'!$B$16,3,IF(AND(R1513&gt;='Read me'!$B$14,P1513&lt;='Read me'!$B$15),1,2))))</f>
        <v>2</v>
      </c>
    </row>
    <row r="1514" customFormat="false" ht="35.05" hidden="false" customHeight="false" outlineLevel="0" collapsed="false">
      <c r="A1514" s="11" t="s">
        <v>9198</v>
      </c>
      <c r="B1514" s="11" t="s">
        <v>45</v>
      </c>
      <c r="C1514" s="11" t="s">
        <v>345</v>
      </c>
      <c r="D1514" s="11" t="s">
        <v>346</v>
      </c>
      <c r="E1514" s="11" t="s">
        <v>751</v>
      </c>
      <c r="F1514" s="11" t="s">
        <v>9199</v>
      </c>
      <c r="G1514" s="11" t="s">
        <v>9200</v>
      </c>
      <c r="H1514" s="11"/>
      <c r="I1514" s="11" t="s">
        <v>9201</v>
      </c>
      <c r="J1514" s="11" t="s">
        <v>9202</v>
      </c>
      <c r="K1514" s="11" t="s">
        <v>9203</v>
      </c>
      <c r="L1514" s="11" t="s">
        <v>9204</v>
      </c>
      <c r="M1514" s="11" t="s">
        <v>1577</v>
      </c>
      <c r="N1514" s="14" t="n">
        <v>2</v>
      </c>
      <c r="O1514" s="14" t="n">
        <v>3</v>
      </c>
      <c r="P1514" s="14" t="n">
        <v>3</v>
      </c>
      <c r="Q1514" s="14"/>
      <c r="R1514" s="12" t="n">
        <f aca="false">IF(OR(N1514="",P1514=""),"",ROUND(N1514*O1514/P1514,1))</f>
        <v>2</v>
      </c>
      <c r="S1514" s="13" t="n">
        <f aca="false">IF(R1514="","",IF(Q1514="Y",1,IF(P1514&gt;='Read me'!$B$16,3,IF(AND(R1514&gt;='Read me'!$B$14,P1514&lt;='Read me'!$B$15),1,2))))</f>
        <v>2</v>
      </c>
    </row>
    <row r="1515" customFormat="false" ht="23.85" hidden="false" customHeight="false" outlineLevel="0" collapsed="false">
      <c r="A1515" s="11" t="s">
        <v>9205</v>
      </c>
      <c r="B1515" s="11" t="s">
        <v>45</v>
      </c>
      <c r="C1515" s="11" t="s">
        <v>345</v>
      </c>
      <c r="D1515" s="11" t="s">
        <v>346</v>
      </c>
      <c r="E1515" s="11" t="s">
        <v>751</v>
      </c>
      <c r="F1515" s="11" t="s">
        <v>9206</v>
      </c>
      <c r="G1515" s="11" t="s">
        <v>9207</v>
      </c>
      <c r="H1515" s="11"/>
      <c r="I1515" s="11" t="s">
        <v>9208</v>
      </c>
      <c r="J1515" s="11" t="s">
        <v>9209</v>
      </c>
      <c r="K1515" s="11" t="s">
        <v>9203</v>
      </c>
      <c r="L1515" s="11" t="s">
        <v>9210</v>
      </c>
      <c r="M1515" s="11" t="s">
        <v>1577</v>
      </c>
      <c r="N1515" s="14" t="n">
        <v>3</v>
      </c>
      <c r="O1515" s="14" t="n">
        <v>3</v>
      </c>
      <c r="P1515" s="14" t="n">
        <v>3</v>
      </c>
      <c r="Q1515" s="14"/>
      <c r="R1515" s="12" t="n">
        <f aca="false">IF(OR(N1515="",P1515=""),"",ROUND(N1515*O1515/P1515,1))</f>
        <v>3</v>
      </c>
      <c r="S1515" s="13" t="n">
        <f aca="false">IF(R1515="","",IF(Q1515="Y",1,IF(P1515&gt;='Read me'!$B$16,3,IF(AND(R1515&gt;='Read me'!$B$14,P1515&lt;='Read me'!$B$15),1,2))))</f>
        <v>2</v>
      </c>
    </row>
    <row r="1516" customFormat="false" ht="35.05" hidden="false" customHeight="false" outlineLevel="0" collapsed="false">
      <c r="A1516" s="11" t="s">
        <v>9211</v>
      </c>
      <c r="B1516" s="11" t="s">
        <v>45</v>
      </c>
      <c r="C1516" s="11" t="s">
        <v>345</v>
      </c>
      <c r="D1516" s="11" t="s">
        <v>346</v>
      </c>
      <c r="E1516" s="11" t="s">
        <v>751</v>
      </c>
      <c r="F1516" s="11" t="s">
        <v>9212</v>
      </c>
      <c r="G1516" s="11" t="s">
        <v>8673</v>
      </c>
      <c r="H1516" s="11"/>
      <c r="I1516" s="11" t="s">
        <v>9213</v>
      </c>
      <c r="J1516" s="11" t="s">
        <v>9214</v>
      </c>
      <c r="K1516" s="11" t="s">
        <v>9215</v>
      </c>
      <c r="L1516" s="11" t="s">
        <v>9216</v>
      </c>
      <c r="M1516" s="11" t="s">
        <v>9217</v>
      </c>
      <c r="N1516" s="14" t="n">
        <v>2</v>
      </c>
      <c r="O1516" s="14" t="n">
        <v>4</v>
      </c>
      <c r="P1516" s="14" t="n">
        <v>3</v>
      </c>
      <c r="Q1516" s="14"/>
      <c r="R1516" s="12" t="n">
        <f aca="false">IF(OR(N1516="",P1516=""),"",ROUND(N1516*O1516/P1516,1))</f>
        <v>2.7</v>
      </c>
      <c r="S1516" s="13" t="n">
        <f aca="false">IF(R1516="","",IF(Q1516="Y",1,IF(P1516&gt;='Read me'!$B$16,3,IF(AND(R1516&gt;='Read me'!$B$14,P1516&lt;='Read me'!$B$15),1,2))))</f>
        <v>2</v>
      </c>
    </row>
    <row r="1517" customFormat="false" ht="23.85" hidden="false" customHeight="false" outlineLevel="0" collapsed="false">
      <c r="A1517" s="11" t="s">
        <v>9218</v>
      </c>
      <c r="B1517" s="11" t="s">
        <v>45</v>
      </c>
      <c r="C1517" s="11" t="s">
        <v>345</v>
      </c>
      <c r="D1517" s="11" t="s">
        <v>346</v>
      </c>
      <c r="E1517" s="11" t="s">
        <v>751</v>
      </c>
      <c r="F1517" s="11" t="s">
        <v>9219</v>
      </c>
      <c r="G1517" s="11" t="s">
        <v>8673</v>
      </c>
      <c r="H1517" s="11"/>
      <c r="I1517" s="11" t="s">
        <v>9220</v>
      </c>
      <c r="J1517" s="11" t="s">
        <v>9221</v>
      </c>
      <c r="K1517" s="11" t="s">
        <v>4369</v>
      </c>
      <c r="L1517" s="11" t="s">
        <v>9222</v>
      </c>
      <c r="M1517" s="11"/>
      <c r="N1517" s="14" t="n">
        <v>2</v>
      </c>
      <c r="O1517" s="14" t="n">
        <v>3</v>
      </c>
      <c r="P1517" s="14" t="n">
        <v>2</v>
      </c>
      <c r="Q1517" s="14"/>
      <c r="R1517" s="12" t="n">
        <f aca="false">IF(OR(N1517="",P1517=""),"",ROUND(N1517*O1517/P1517,1))</f>
        <v>3</v>
      </c>
      <c r="S1517" s="13" t="n">
        <f aca="false">IF(R1517="","",IF(Q1517="Y",1,IF(P1517&gt;='Read me'!$B$16,3,IF(AND(R1517&gt;='Read me'!$B$14,P1517&lt;='Read me'!$B$15),1,2))))</f>
        <v>2</v>
      </c>
    </row>
    <row r="1518" customFormat="false" ht="23.85" hidden="false" customHeight="false" outlineLevel="0" collapsed="false">
      <c r="A1518" s="11" t="s">
        <v>9223</v>
      </c>
      <c r="B1518" s="11" t="s">
        <v>45</v>
      </c>
      <c r="C1518" s="11" t="s">
        <v>345</v>
      </c>
      <c r="D1518" s="11" t="s">
        <v>346</v>
      </c>
      <c r="E1518" s="11" t="s">
        <v>1187</v>
      </c>
      <c r="F1518" s="11" t="s">
        <v>9206</v>
      </c>
      <c r="G1518" s="11"/>
      <c r="H1518" s="11" t="s">
        <v>1284</v>
      </c>
      <c r="I1518" s="11" t="s">
        <v>9224</v>
      </c>
      <c r="J1518" s="11" t="s">
        <v>9225</v>
      </c>
      <c r="K1518" s="11" t="s">
        <v>4793</v>
      </c>
      <c r="L1518" s="11" t="s">
        <v>8504</v>
      </c>
      <c r="M1518" s="11"/>
      <c r="N1518" s="14" t="n">
        <v>1</v>
      </c>
      <c r="O1518" s="14" t="n">
        <v>2</v>
      </c>
      <c r="P1518" s="14" t="n">
        <v>2</v>
      </c>
      <c r="Q1518" s="14"/>
      <c r="R1518" s="12" t="n">
        <f aca="false">IF(OR(N1518="",P1518=""),"",ROUND(N1518*O1518/P1518,1))</f>
        <v>1</v>
      </c>
      <c r="S1518" s="13" t="n">
        <f aca="false">IF(R1518="","",IF(Q1518="Y",1,IF(P1518&gt;='Read me'!$B$16,3,IF(AND(R1518&gt;='Read me'!$B$14,P1518&lt;='Read me'!$B$15),1,2))))</f>
        <v>2</v>
      </c>
    </row>
    <row r="1519" customFormat="false" ht="23.85" hidden="false" customHeight="false" outlineLevel="0" collapsed="false">
      <c r="A1519" s="11" t="s">
        <v>9226</v>
      </c>
      <c r="B1519" s="11" t="s">
        <v>45</v>
      </c>
      <c r="C1519" s="11" t="s">
        <v>345</v>
      </c>
      <c r="D1519" s="11" t="s">
        <v>346</v>
      </c>
      <c r="E1519" s="11" t="s">
        <v>1187</v>
      </c>
      <c r="F1519" s="11" t="s">
        <v>9227</v>
      </c>
      <c r="G1519" s="11"/>
      <c r="H1519" s="11" t="s">
        <v>2912</v>
      </c>
      <c r="I1519" s="11" t="s">
        <v>9228</v>
      </c>
      <c r="J1519" s="11" t="s">
        <v>9229</v>
      </c>
      <c r="K1519" s="11" t="s">
        <v>1417</v>
      </c>
      <c r="L1519" s="11" t="s">
        <v>9230</v>
      </c>
      <c r="M1519" s="11"/>
      <c r="N1519" s="14" t="n">
        <v>1</v>
      </c>
      <c r="O1519" s="14" t="n">
        <v>3</v>
      </c>
      <c r="P1519" s="14" t="n">
        <v>4</v>
      </c>
      <c r="Q1519" s="14"/>
      <c r="R1519" s="12" t="n">
        <f aca="false">IF(OR(N1519="",P1519=""),"",ROUND(N1519*O1519/P1519,1))</f>
        <v>0.8</v>
      </c>
      <c r="S1519" s="13" t="n">
        <f aca="false">IF(R1519="","",IF(Q1519="Y",1,IF(P1519&gt;='Read me'!$B$16,3,IF(AND(R1519&gt;='Read me'!$B$14,P1519&lt;='Read me'!$B$15),1,2))))</f>
        <v>3</v>
      </c>
    </row>
    <row r="1520" customFormat="false" ht="23.85" hidden="false" customHeight="false" outlineLevel="0" collapsed="false">
      <c r="A1520" s="11" t="s">
        <v>9231</v>
      </c>
      <c r="B1520" s="11" t="s">
        <v>45</v>
      </c>
      <c r="C1520" s="11" t="s">
        <v>345</v>
      </c>
      <c r="D1520" s="11" t="s">
        <v>346</v>
      </c>
      <c r="E1520" s="11" t="s">
        <v>1187</v>
      </c>
      <c r="F1520" s="11" t="s">
        <v>9232</v>
      </c>
      <c r="G1520" s="11" t="s">
        <v>1990</v>
      </c>
      <c r="H1520" s="11"/>
      <c r="I1520" s="11" t="s">
        <v>9233</v>
      </c>
      <c r="J1520" s="11" t="s">
        <v>9234</v>
      </c>
      <c r="K1520" s="11" t="s">
        <v>916</v>
      </c>
      <c r="L1520" s="11" t="s">
        <v>9235</v>
      </c>
      <c r="M1520" s="11"/>
      <c r="N1520" s="14" t="n">
        <v>1</v>
      </c>
      <c r="O1520" s="14" t="n">
        <v>2</v>
      </c>
      <c r="P1520" s="14" t="n">
        <v>3</v>
      </c>
      <c r="Q1520" s="14"/>
      <c r="R1520" s="12" t="n">
        <f aca="false">IF(OR(N1520="",P1520=""),"",ROUND(N1520*O1520/P1520,1))</f>
        <v>0.7</v>
      </c>
      <c r="S1520" s="13" t="n">
        <f aca="false">IF(R1520="","",IF(Q1520="Y",1,IF(P1520&gt;='Read me'!$B$16,3,IF(AND(R1520&gt;='Read me'!$B$14,P1520&lt;='Read me'!$B$15),1,2))))</f>
        <v>2</v>
      </c>
    </row>
    <row r="1521" customFormat="false" ht="23.85" hidden="false" customHeight="false" outlineLevel="0" collapsed="false">
      <c r="A1521" s="11" t="s">
        <v>9236</v>
      </c>
      <c r="B1521" s="11" t="s">
        <v>45</v>
      </c>
      <c r="C1521" s="11" t="s">
        <v>345</v>
      </c>
      <c r="D1521" s="11" t="s">
        <v>346</v>
      </c>
      <c r="E1521" s="11" t="s">
        <v>1187</v>
      </c>
      <c r="F1521" s="11" t="s">
        <v>9237</v>
      </c>
      <c r="G1521" s="11" t="s">
        <v>7498</v>
      </c>
      <c r="H1521" s="11"/>
      <c r="I1521" s="11" t="s">
        <v>9238</v>
      </c>
      <c r="J1521" s="11" t="s">
        <v>9239</v>
      </c>
      <c r="K1521" s="11" t="s">
        <v>9240</v>
      </c>
      <c r="L1521" s="11" t="s">
        <v>9241</v>
      </c>
      <c r="M1521" s="11"/>
      <c r="N1521" s="14" t="n">
        <v>1</v>
      </c>
      <c r="O1521" s="14" t="n">
        <v>3</v>
      </c>
      <c r="P1521" s="14" t="n">
        <v>5</v>
      </c>
      <c r="Q1521" s="14"/>
      <c r="R1521" s="12" t="n">
        <f aca="false">IF(OR(N1521="",P1521=""),"",ROUND(N1521*O1521/P1521,1))</f>
        <v>0.6</v>
      </c>
      <c r="S1521" s="13" t="n">
        <f aca="false">IF(R1521="","",IF(Q1521="Y",1,IF(P1521&gt;='Read me'!$B$16,3,IF(AND(R1521&gt;='Read me'!$B$14,P1521&lt;='Read me'!$B$15),1,2))))</f>
        <v>3</v>
      </c>
    </row>
    <row r="1522" customFormat="false" ht="35.05" hidden="false" customHeight="false" outlineLevel="0" collapsed="false">
      <c r="A1522" s="11" t="s">
        <v>9242</v>
      </c>
      <c r="B1522" s="11" t="s">
        <v>45</v>
      </c>
      <c r="C1522" s="11" t="s">
        <v>345</v>
      </c>
      <c r="D1522" s="11" t="s">
        <v>346</v>
      </c>
      <c r="E1522" s="11" t="s">
        <v>1133</v>
      </c>
      <c r="F1522" s="11" t="s">
        <v>9243</v>
      </c>
      <c r="G1522" s="11"/>
      <c r="H1522" s="11"/>
      <c r="I1522" s="11" t="s">
        <v>512</v>
      </c>
      <c r="J1522" s="11" t="s">
        <v>9244</v>
      </c>
      <c r="K1522" s="11" t="s">
        <v>9245</v>
      </c>
      <c r="L1522" s="11" t="s">
        <v>6038</v>
      </c>
      <c r="M1522" s="11" t="s">
        <v>9246</v>
      </c>
      <c r="N1522" s="14" t="n">
        <v>2</v>
      </c>
      <c r="O1522" s="14" t="n">
        <v>2</v>
      </c>
      <c r="P1522" s="14" t="n">
        <v>1</v>
      </c>
      <c r="Q1522" s="14"/>
      <c r="R1522" s="12" t="n">
        <f aca="false">IF(OR(N1522="",P1522=""),"",ROUND(N1522*O1522/P1522,1))</f>
        <v>4</v>
      </c>
      <c r="S1522" s="13" t="n">
        <f aca="false">IF(R1522="","",IF(Q1522="Y",1,IF(P1522&gt;='Read me'!$B$16,3,IF(AND(R1522&gt;='Read me'!$B$14,P1522&lt;='Read me'!$B$15),1,2))))</f>
        <v>2</v>
      </c>
    </row>
    <row r="1523" customFormat="false" ht="35.05" hidden="false" customHeight="false" outlineLevel="0" collapsed="false">
      <c r="A1523" s="11" t="s">
        <v>9247</v>
      </c>
      <c r="B1523" s="11" t="s">
        <v>45</v>
      </c>
      <c r="C1523" s="11" t="s">
        <v>345</v>
      </c>
      <c r="D1523" s="11" t="s">
        <v>346</v>
      </c>
      <c r="E1523" s="11" t="s">
        <v>1372</v>
      </c>
      <c r="F1523" s="11" t="s">
        <v>9248</v>
      </c>
      <c r="G1523" s="11" t="s">
        <v>9249</v>
      </c>
      <c r="H1523" s="11"/>
      <c r="I1523" s="11" t="s">
        <v>9250</v>
      </c>
      <c r="J1523" s="11" t="s">
        <v>9251</v>
      </c>
      <c r="K1523" s="11" t="s">
        <v>9252</v>
      </c>
      <c r="L1523" s="11" t="s">
        <v>9253</v>
      </c>
      <c r="M1523" s="11" t="s">
        <v>1577</v>
      </c>
      <c r="N1523" s="14" t="n">
        <v>2</v>
      </c>
      <c r="O1523" s="14" t="n">
        <v>3</v>
      </c>
      <c r="P1523" s="14" t="n">
        <v>3</v>
      </c>
      <c r="Q1523" s="14"/>
      <c r="R1523" s="12" t="n">
        <f aca="false">IF(OR(N1523="",P1523=""),"",ROUND(N1523*O1523/P1523,1))</f>
        <v>2</v>
      </c>
      <c r="S1523" s="13" t="n">
        <f aca="false">IF(R1523="","",IF(Q1523="Y",1,IF(P1523&gt;='Read me'!$B$16,3,IF(AND(R1523&gt;='Read me'!$B$14,P1523&lt;='Read me'!$B$15),1,2))))</f>
        <v>2</v>
      </c>
    </row>
    <row r="1524" customFormat="false" ht="23.85" hidden="false" customHeight="false" outlineLevel="0" collapsed="false">
      <c r="A1524" s="11" t="s">
        <v>9254</v>
      </c>
      <c r="B1524" s="11" t="s">
        <v>45</v>
      </c>
      <c r="C1524" s="11" t="s">
        <v>345</v>
      </c>
      <c r="D1524" s="11" t="s">
        <v>346</v>
      </c>
      <c r="E1524" s="11" t="s">
        <v>1372</v>
      </c>
      <c r="F1524" s="11" t="s">
        <v>9255</v>
      </c>
      <c r="G1524" s="11" t="s">
        <v>9256</v>
      </c>
      <c r="H1524" s="11"/>
      <c r="I1524" s="11" t="s">
        <v>9257</v>
      </c>
      <c r="J1524" s="11" t="s">
        <v>9258</v>
      </c>
      <c r="K1524" s="11" t="s">
        <v>9259</v>
      </c>
      <c r="L1524" s="11" t="s">
        <v>9260</v>
      </c>
      <c r="M1524" s="11"/>
      <c r="N1524" s="14" t="n">
        <v>2</v>
      </c>
      <c r="O1524" s="14" t="n">
        <v>2</v>
      </c>
      <c r="P1524" s="14" t="n">
        <v>2</v>
      </c>
      <c r="Q1524" s="14"/>
      <c r="R1524" s="12" t="n">
        <f aca="false">IF(OR(N1524="",P1524=""),"",ROUND(N1524*O1524/P1524,1))</f>
        <v>2</v>
      </c>
      <c r="S1524" s="13" t="n">
        <f aca="false">IF(R1524="","",IF(Q1524="Y",1,IF(P1524&gt;='Read me'!$B$16,3,IF(AND(R1524&gt;='Read me'!$B$14,P1524&lt;='Read me'!$B$15),1,2))))</f>
        <v>2</v>
      </c>
    </row>
    <row r="1525" customFormat="false" ht="23.85" hidden="false" customHeight="false" outlineLevel="0" collapsed="false">
      <c r="A1525" s="11" t="s">
        <v>9261</v>
      </c>
      <c r="B1525" s="11" t="s">
        <v>45</v>
      </c>
      <c r="C1525" s="11" t="s">
        <v>345</v>
      </c>
      <c r="D1525" s="11" t="s">
        <v>346</v>
      </c>
      <c r="E1525" s="11" t="s">
        <v>1372</v>
      </c>
      <c r="F1525" s="11" t="s">
        <v>9262</v>
      </c>
      <c r="G1525" s="11" t="s">
        <v>9263</v>
      </c>
      <c r="H1525" s="11"/>
      <c r="I1525" s="11" t="s">
        <v>9264</v>
      </c>
      <c r="J1525" s="11" t="s">
        <v>9265</v>
      </c>
      <c r="K1525" s="11" t="s">
        <v>4369</v>
      </c>
      <c r="L1525" s="11" t="s">
        <v>9266</v>
      </c>
      <c r="M1525" s="11"/>
      <c r="N1525" s="14" t="n">
        <v>2</v>
      </c>
      <c r="O1525" s="14" t="n">
        <v>2</v>
      </c>
      <c r="P1525" s="14" t="n">
        <v>2</v>
      </c>
      <c r="Q1525" s="14"/>
      <c r="R1525" s="12" t="n">
        <f aca="false">IF(OR(N1525="",P1525=""),"",ROUND(N1525*O1525/P1525,1))</f>
        <v>2</v>
      </c>
      <c r="S1525" s="13" t="n">
        <f aca="false">IF(R1525="","",IF(Q1525="Y",1,IF(P1525&gt;='Read me'!$B$16,3,IF(AND(R1525&gt;='Read me'!$B$14,P1525&lt;='Read me'!$B$15),1,2))))</f>
        <v>2</v>
      </c>
    </row>
    <row r="1526" customFormat="false" ht="23.85" hidden="false" customHeight="false" outlineLevel="0" collapsed="false">
      <c r="A1526" s="11" t="s">
        <v>9267</v>
      </c>
      <c r="B1526" s="11" t="s">
        <v>45</v>
      </c>
      <c r="C1526" s="11" t="s">
        <v>345</v>
      </c>
      <c r="D1526" s="11" t="s">
        <v>346</v>
      </c>
      <c r="E1526" s="11" t="s">
        <v>1372</v>
      </c>
      <c r="F1526" s="11" t="s">
        <v>9268</v>
      </c>
      <c r="G1526" s="11" t="s">
        <v>9263</v>
      </c>
      <c r="H1526" s="11"/>
      <c r="I1526" s="11" t="s">
        <v>9269</v>
      </c>
      <c r="J1526" s="11" t="s">
        <v>9270</v>
      </c>
      <c r="K1526" s="11" t="s">
        <v>9271</v>
      </c>
      <c r="L1526" s="11" t="s">
        <v>9272</v>
      </c>
      <c r="M1526" s="11"/>
      <c r="N1526" s="14" t="n">
        <v>1</v>
      </c>
      <c r="O1526" s="14" t="n">
        <v>2</v>
      </c>
      <c r="P1526" s="14" t="n">
        <v>1</v>
      </c>
      <c r="Q1526" s="14"/>
      <c r="R1526" s="12" t="n">
        <f aca="false">IF(OR(N1526="",P1526=""),"",ROUND(N1526*O1526/P1526,1))</f>
        <v>2</v>
      </c>
      <c r="S1526" s="13" t="n">
        <f aca="false">IF(R1526="","",IF(Q1526="Y",1,IF(P1526&gt;='Read me'!$B$16,3,IF(AND(R1526&gt;='Read me'!$B$14,P1526&lt;='Read me'!$B$15),1,2))))</f>
        <v>2</v>
      </c>
    </row>
    <row r="1527" customFormat="false" ht="23.85" hidden="false" customHeight="false" outlineLevel="0" collapsed="false">
      <c r="A1527" s="11" t="s">
        <v>9273</v>
      </c>
      <c r="B1527" s="11" t="s">
        <v>45</v>
      </c>
      <c r="C1527" s="11" t="s">
        <v>345</v>
      </c>
      <c r="D1527" s="11" t="s">
        <v>346</v>
      </c>
      <c r="E1527" s="11" t="s">
        <v>1372</v>
      </c>
      <c r="F1527" s="11" t="s">
        <v>9274</v>
      </c>
      <c r="G1527" s="11" t="s">
        <v>9275</v>
      </c>
      <c r="H1527" s="11"/>
      <c r="I1527" s="11" t="s">
        <v>9276</v>
      </c>
      <c r="J1527" s="11" t="s">
        <v>9277</v>
      </c>
      <c r="K1527" s="11" t="s">
        <v>9278</v>
      </c>
      <c r="L1527" s="11" t="s">
        <v>9272</v>
      </c>
      <c r="M1527" s="11"/>
      <c r="N1527" s="14" t="n">
        <v>1</v>
      </c>
      <c r="O1527" s="14" t="n">
        <v>2</v>
      </c>
      <c r="P1527" s="14" t="n">
        <v>1</v>
      </c>
      <c r="Q1527" s="14"/>
      <c r="R1527" s="12" t="n">
        <f aca="false">IF(OR(N1527="",P1527=""),"",ROUND(N1527*O1527/P1527,1))</f>
        <v>2</v>
      </c>
      <c r="S1527" s="13" t="n">
        <f aca="false">IF(R1527="","",IF(Q1527="Y",1,IF(P1527&gt;='Read me'!$B$16,3,IF(AND(R1527&gt;='Read me'!$B$14,P1527&lt;='Read me'!$B$15),1,2))))</f>
        <v>2</v>
      </c>
    </row>
    <row r="1528" customFormat="false" ht="23.85" hidden="false" customHeight="false" outlineLevel="0" collapsed="false">
      <c r="A1528" s="11" t="s">
        <v>9279</v>
      </c>
      <c r="B1528" s="11" t="s">
        <v>45</v>
      </c>
      <c r="C1528" s="11" t="s">
        <v>345</v>
      </c>
      <c r="D1528" s="11" t="s">
        <v>346</v>
      </c>
      <c r="E1528" s="11" t="s">
        <v>1372</v>
      </c>
      <c r="F1528" s="11" t="s">
        <v>9280</v>
      </c>
      <c r="G1528" s="11" t="s">
        <v>2133</v>
      </c>
      <c r="H1528" s="11"/>
      <c r="I1528" s="11" t="s">
        <v>9281</v>
      </c>
      <c r="J1528" s="11" t="s">
        <v>9282</v>
      </c>
      <c r="K1528" s="11" t="s">
        <v>4941</v>
      </c>
      <c r="L1528" s="11" t="s">
        <v>9283</v>
      </c>
      <c r="M1528" s="11"/>
      <c r="N1528" s="14" t="n">
        <v>2</v>
      </c>
      <c r="O1528" s="14" t="n">
        <v>2</v>
      </c>
      <c r="P1528" s="14" t="n">
        <v>1</v>
      </c>
      <c r="Q1528" s="14"/>
      <c r="R1528" s="12" t="n">
        <f aca="false">IF(OR(N1528="",P1528=""),"",ROUND(N1528*O1528/P1528,1))</f>
        <v>4</v>
      </c>
      <c r="S1528" s="13" t="n">
        <f aca="false">IF(R1528="","",IF(Q1528="Y",1,IF(P1528&gt;='Read me'!$B$16,3,IF(AND(R1528&gt;='Read me'!$B$14,P1528&lt;='Read me'!$B$15),1,2))))</f>
        <v>2</v>
      </c>
    </row>
    <row r="1529" customFormat="false" ht="35.05" hidden="false" customHeight="false" outlineLevel="0" collapsed="false">
      <c r="A1529" s="11" t="s">
        <v>9284</v>
      </c>
      <c r="B1529" s="11" t="s">
        <v>45</v>
      </c>
      <c r="C1529" s="11" t="s">
        <v>349</v>
      </c>
      <c r="D1529" s="11" t="s">
        <v>350</v>
      </c>
      <c r="E1529" s="11" t="s">
        <v>751</v>
      </c>
      <c r="F1529" s="11" t="s">
        <v>9285</v>
      </c>
      <c r="G1529" s="11" t="s">
        <v>9286</v>
      </c>
      <c r="H1529" s="11"/>
      <c r="I1529" s="11" t="s">
        <v>9287</v>
      </c>
      <c r="J1529" s="11" t="s">
        <v>9288</v>
      </c>
      <c r="K1529" s="11" t="s">
        <v>9289</v>
      </c>
      <c r="L1529" s="11" t="s">
        <v>9290</v>
      </c>
      <c r="M1529" s="11" t="s">
        <v>9291</v>
      </c>
      <c r="N1529" s="14" t="n">
        <v>2</v>
      </c>
      <c r="O1529" s="14" t="n">
        <v>4</v>
      </c>
      <c r="P1529" s="14" t="n">
        <v>4</v>
      </c>
      <c r="Q1529" s="14"/>
      <c r="R1529" s="12" t="n">
        <f aca="false">IF(OR(N1529="",P1529=""),"",ROUND(N1529*O1529/P1529,1))</f>
        <v>2</v>
      </c>
      <c r="S1529" s="13" t="n">
        <f aca="false">IF(R1529="","",IF(Q1529="Y",1,IF(P1529&gt;='Read me'!$B$16,3,IF(AND(R1529&gt;='Read me'!$B$14,P1529&lt;='Read me'!$B$15),1,2))))</f>
        <v>3</v>
      </c>
    </row>
    <row r="1530" customFormat="false" ht="23.85" hidden="false" customHeight="false" outlineLevel="0" collapsed="false">
      <c r="A1530" s="11" t="s">
        <v>9292</v>
      </c>
      <c r="B1530" s="11" t="s">
        <v>45</v>
      </c>
      <c r="C1530" s="11" t="s">
        <v>349</v>
      </c>
      <c r="D1530" s="11" t="s">
        <v>350</v>
      </c>
      <c r="E1530" s="11" t="s">
        <v>1187</v>
      </c>
      <c r="F1530" s="11" t="s">
        <v>9285</v>
      </c>
      <c r="G1530" s="11" t="s">
        <v>9286</v>
      </c>
      <c r="H1530" s="11" t="s">
        <v>2118</v>
      </c>
      <c r="I1530" s="11" t="s">
        <v>9293</v>
      </c>
      <c r="J1530" s="11" t="s">
        <v>9294</v>
      </c>
      <c r="K1530" s="11" t="s">
        <v>5663</v>
      </c>
      <c r="L1530" s="11" t="s">
        <v>9295</v>
      </c>
      <c r="M1530" s="11" t="s">
        <v>9296</v>
      </c>
      <c r="N1530" s="14" t="n">
        <v>2</v>
      </c>
      <c r="O1530" s="14" t="n">
        <v>3</v>
      </c>
      <c r="P1530" s="14" t="n">
        <v>3</v>
      </c>
      <c r="Q1530" s="14"/>
      <c r="R1530" s="12" t="n">
        <f aca="false">IF(OR(N1530="",P1530=""),"",ROUND(N1530*O1530/P1530,1))</f>
        <v>2</v>
      </c>
      <c r="S1530" s="13" t="n">
        <f aca="false">IF(R1530="","",IF(Q1530="Y",1,IF(P1530&gt;='Read me'!$B$16,3,IF(AND(R1530&gt;='Read me'!$B$14,P1530&lt;='Read me'!$B$15),1,2))))</f>
        <v>2</v>
      </c>
    </row>
    <row r="1531" customFormat="false" ht="23.85" hidden="false" customHeight="false" outlineLevel="0" collapsed="false">
      <c r="A1531" s="11" t="s">
        <v>9297</v>
      </c>
      <c r="B1531" s="11" t="s">
        <v>45</v>
      </c>
      <c r="C1531" s="11" t="s">
        <v>349</v>
      </c>
      <c r="D1531" s="11" t="s">
        <v>350</v>
      </c>
      <c r="E1531" s="11" t="s">
        <v>1187</v>
      </c>
      <c r="F1531" s="11" t="s">
        <v>9298</v>
      </c>
      <c r="G1531" s="11"/>
      <c r="H1531" s="11" t="s">
        <v>9299</v>
      </c>
      <c r="I1531" s="11" t="s">
        <v>9300</v>
      </c>
      <c r="J1531" s="11" t="s">
        <v>9301</v>
      </c>
      <c r="K1531" s="11" t="s">
        <v>675</v>
      </c>
      <c r="L1531" s="11" t="s">
        <v>9302</v>
      </c>
      <c r="M1531" s="11"/>
      <c r="N1531" s="14" t="n">
        <v>2</v>
      </c>
      <c r="O1531" s="14" t="n">
        <v>2</v>
      </c>
      <c r="P1531" s="14" t="n">
        <v>3</v>
      </c>
      <c r="Q1531" s="14"/>
      <c r="R1531" s="12" t="n">
        <f aca="false">IF(OR(N1531="",P1531=""),"",ROUND(N1531*O1531/P1531,1))</f>
        <v>1.3</v>
      </c>
      <c r="S1531" s="13" t="n">
        <f aca="false">IF(R1531="","",IF(Q1531="Y",1,IF(P1531&gt;='Read me'!$B$16,3,IF(AND(R1531&gt;='Read me'!$B$14,P1531&lt;='Read me'!$B$15),1,2))))</f>
        <v>2</v>
      </c>
    </row>
    <row r="1532" customFormat="false" ht="23.85" hidden="false" customHeight="false" outlineLevel="0" collapsed="false">
      <c r="A1532" s="11" t="s">
        <v>9303</v>
      </c>
      <c r="B1532" s="11" t="s">
        <v>45</v>
      </c>
      <c r="C1532" s="11" t="s">
        <v>349</v>
      </c>
      <c r="D1532" s="11" t="s">
        <v>350</v>
      </c>
      <c r="E1532" s="11" t="s">
        <v>1187</v>
      </c>
      <c r="F1532" s="11" t="s">
        <v>9304</v>
      </c>
      <c r="G1532" s="11" t="s">
        <v>9305</v>
      </c>
      <c r="H1532" s="11"/>
      <c r="I1532" s="11" t="s">
        <v>9306</v>
      </c>
      <c r="J1532" s="11" t="s">
        <v>9307</v>
      </c>
      <c r="K1532" s="11" t="s">
        <v>9308</v>
      </c>
      <c r="L1532" s="11" t="s">
        <v>9309</v>
      </c>
      <c r="M1532" s="11"/>
      <c r="N1532" s="14" t="n">
        <v>1</v>
      </c>
      <c r="O1532" s="14" t="n">
        <v>2</v>
      </c>
      <c r="P1532" s="14" t="n">
        <v>4</v>
      </c>
      <c r="Q1532" s="14"/>
      <c r="R1532" s="12" t="n">
        <f aca="false">IF(OR(N1532="",P1532=""),"",ROUND(N1532*O1532/P1532,1))</f>
        <v>0.5</v>
      </c>
      <c r="S1532" s="13" t="n">
        <f aca="false">IF(R1532="","",IF(Q1532="Y",1,IF(P1532&gt;='Read me'!$B$16,3,IF(AND(R1532&gt;='Read me'!$B$14,P1532&lt;='Read me'!$B$15),1,2))))</f>
        <v>3</v>
      </c>
    </row>
    <row r="1533" customFormat="false" ht="23.85" hidden="false" customHeight="false" outlineLevel="0" collapsed="false">
      <c r="A1533" s="11" t="s">
        <v>9310</v>
      </c>
      <c r="B1533" s="11" t="s">
        <v>45</v>
      </c>
      <c r="C1533" s="11" t="s">
        <v>349</v>
      </c>
      <c r="D1533" s="11" t="s">
        <v>350</v>
      </c>
      <c r="E1533" s="11" t="s">
        <v>1133</v>
      </c>
      <c r="F1533" s="11" t="s">
        <v>9311</v>
      </c>
      <c r="G1533" s="11"/>
      <c r="H1533" s="11"/>
      <c r="I1533" s="11" t="s">
        <v>9312</v>
      </c>
      <c r="J1533" s="11" t="s">
        <v>9313</v>
      </c>
      <c r="K1533" s="11" t="s">
        <v>8824</v>
      </c>
      <c r="L1533" s="11" t="s">
        <v>9314</v>
      </c>
      <c r="M1533" s="11"/>
      <c r="N1533" s="14" t="n">
        <v>3</v>
      </c>
      <c r="O1533" s="14" t="n">
        <v>3</v>
      </c>
      <c r="P1533" s="14" t="n">
        <v>2</v>
      </c>
      <c r="Q1533" s="14"/>
      <c r="R1533" s="12" t="n">
        <f aca="false">IF(OR(N1533="",P1533=""),"",ROUND(N1533*O1533/P1533,1))</f>
        <v>4.5</v>
      </c>
      <c r="S1533" s="13" t="n">
        <f aca="false">IF(R1533="","",IF(Q1533="Y",1,IF(P1533&gt;='Read me'!$B$16,3,IF(AND(R1533&gt;='Read me'!$B$14,P1533&lt;='Read me'!$B$15),1,2))))</f>
        <v>2</v>
      </c>
    </row>
    <row r="1534" customFormat="false" ht="35.05" hidden="false" customHeight="false" outlineLevel="0" collapsed="false">
      <c r="A1534" s="11" t="s">
        <v>9315</v>
      </c>
      <c r="B1534" s="11" t="s">
        <v>45</v>
      </c>
      <c r="C1534" s="11" t="s">
        <v>349</v>
      </c>
      <c r="D1534" s="11" t="s">
        <v>350</v>
      </c>
      <c r="E1534" s="11" t="s">
        <v>1133</v>
      </c>
      <c r="F1534" s="11" t="s">
        <v>9316</v>
      </c>
      <c r="G1534" s="11" t="s">
        <v>9317</v>
      </c>
      <c r="H1534" s="11"/>
      <c r="I1534" s="11" t="s">
        <v>9318</v>
      </c>
      <c r="J1534" s="11" t="s">
        <v>9319</v>
      </c>
      <c r="K1534" s="11" t="s">
        <v>9308</v>
      </c>
      <c r="L1534" s="11" t="s">
        <v>9320</v>
      </c>
      <c r="M1534" s="11" t="s">
        <v>9321</v>
      </c>
      <c r="N1534" s="14" t="n">
        <v>1</v>
      </c>
      <c r="O1534" s="14" t="n">
        <v>3</v>
      </c>
      <c r="P1534" s="14" t="n">
        <v>3</v>
      </c>
      <c r="Q1534" s="14"/>
      <c r="R1534" s="12" t="n">
        <f aca="false">IF(OR(N1534="",P1534=""),"",ROUND(N1534*O1534/P1534,1))</f>
        <v>1</v>
      </c>
      <c r="S1534" s="13" t="n">
        <f aca="false">IF(R1534="","",IF(Q1534="Y",1,IF(P1534&gt;='Read me'!$B$16,3,IF(AND(R1534&gt;='Read me'!$B$14,P1534&lt;='Read me'!$B$15),1,2))))</f>
        <v>2</v>
      </c>
    </row>
    <row r="1535" customFormat="false" ht="35.05" hidden="false" customHeight="false" outlineLevel="0" collapsed="false">
      <c r="A1535" s="11" t="s">
        <v>9322</v>
      </c>
      <c r="B1535" s="11" t="s">
        <v>45</v>
      </c>
      <c r="C1535" s="11" t="s">
        <v>349</v>
      </c>
      <c r="D1535" s="11" t="s">
        <v>350</v>
      </c>
      <c r="E1535" s="11" t="s">
        <v>1133</v>
      </c>
      <c r="F1535" s="11" t="s">
        <v>9323</v>
      </c>
      <c r="G1535" s="11" t="s">
        <v>9324</v>
      </c>
      <c r="H1535" s="11"/>
      <c r="I1535" s="11" t="s">
        <v>512</v>
      </c>
      <c r="J1535" s="11" t="s">
        <v>9325</v>
      </c>
      <c r="K1535" s="11" t="s">
        <v>9326</v>
      </c>
      <c r="L1535" s="11" t="s">
        <v>9327</v>
      </c>
      <c r="M1535" s="11" t="s">
        <v>9246</v>
      </c>
      <c r="N1535" s="14" t="n">
        <v>2</v>
      </c>
      <c r="O1535" s="14" t="n">
        <v>3</v>
      </c>
      <c r="P1535" s="14" t="n">
        <v>3</v>
      </c>
      <c r="Q1535" s="14"/>
      <c r="R1535" s="12" t="n">
        <f aca="false">IF(OR(N1535="",P1535=""),"",ROUND(N1535*O1535/P1535,1))</f>
        <v>2</v>
      </c>
      <c r="S1535" s="13" t="n">
        <f aca="false">IF(R1535="","",IF(Q1535="Y",1,IF(P1535&gt;='Read me'!$B$16,3,IF(AND(R1535&gt;='Read me'!$B$14,P1535&lt;='Read me'!$B$15),1,2))))</f>
        <v>2</v>
      </c>
    </row>
    <row r="1536" customFormat="false" ht="35.05" hidden="false" customHeight="false" outlineLevel="0" collapsed="false">
      <c r="A1536" s="11" t="s">
        <v>9328</v>
      </c>
      <c r="B1536" s="11" t="s">
        <v>45</v>
      </c>
      <c r="C1536" s="11" t="s">
        <v>349</v>
      </c>
      <c r="D1536" s="11" t="s">
        <v>350</v>
      </c>
      <c r="E1536" s="11" t="s">
        <v>1133</v>
      </c>
      <c r="F1536" s="11" t="s">
        <v>9329</v>
      </c>
      <c r="G1536" s="11" t="s">
        <v>9330</v>
      </c>
      <c r="H1536" s="11"/>
      <c r="I1536" s="11" t="s">
        <v>9331</v>
      </c>
      <c r="J1536" s="11" t="s">
        <v>9332</v>
      </c>
      <c r="K1536" s="11" t="s">
        <v>9333</v>
      </c>
      <c r="L1536" s="11" t="s">
        <v>9334</v>
      </c>
      <c r="M1536" s="11" t="s">
        <v>9335</v>
      </c>
      <c r="N1536" s="14" t="n">
        <v>2</v>
      </c>
      <c r="O1536" s="14" t="n">
        <v>3</v>
      </c>
      <c r="P1536" s="14" t="n">
        <v>4</v>
      </c>
      <c r="Q1536" s="14"/>
      <c r="R1536" s="12" t="n">
        <f aca="false">IF(OR(N1536="",P1536=""),"",ROUND(N1536*O1536/P1536,1))</f>
        <v>1.5</v>
      </c>
      <c r="S1536" s="13" t="n">
        <f aca="false">IF(R1536="","",IF(Q1536="Y",1,IF(P1536&gt;='Read me'!$B$16,3,IF(AND(R1536&gt;='Read me'!$B$14,P1536&lt;='Read me'!$B$15),1,2))))</f>
        <v>3</v>
      </c>
    </row>
    <row r="1537" customFormat="false" ht="35.05" hidden="false" customHeight="false" outlineLevel="0" collapsed="false">
      <c r="A1537" s="11" t="s">
        <v>9336</v>
      </c>
      <c r="B1537" s="11" t="s">
        <v>45</v>
      </c>
      <c r="C1537" s="11" t="s">
        <v>349</v>
      </c>
      <c r="D1537" s="11" t="s">
        <v>350</v>
      </c>
      <c r="E1537" s="11" t="s">
        <v>1133</v>
      </c>
      <c r="F1537" s="11" t="s">
        <v>9337</v>
      </c>
      <c r="G1537" s="11" t="s">
        <v>9338</v>
      </c>
      <c r="H1537" s="11"/>
      <c r="I1537" s="11" t="s">
        <v>9339</v>
      </c>
      <c r="J1537" s="11" t="s">
        <v>9340</v>
      </c>
      <c r="K1537" s="11" t="s">
        <v>9341</v>
      </c>
      <c r="L1537" s="11" t="s">
        <v>9342</v>
      </c>
      <c r="M1537" s="11" t="s">
        <v>9343</v>
      </c>
      <c r="N1537" s="14" t="n">
        <v>2</v>
      </c>
      <c r="O1537" s="14" t="n">
        <v>3</v>
      </c>
      <c r="P1537" s="14" t="n">
        <v>4</v>
      </c>
      <c r="Q1537" s="14"/>
      <c r="R1537" s="12" t="n">
        <f aca="false">IF(OR(N1537="",P1537=""),"",ROUND(N1537*O1537/P1537,1))</f>
        <v>1.5</v>
      </c>
      <c r="S1537" s="13" t="n">
        <f aca="false">IF(R1537="","",IF(Q1537="Y",1,IF(P1537&gt;='Read me'!$B$16,3,IF(AND(R1537&gt;='Read me'!$B$14,P1537&lt;='Read me'!$B$15),1,2))))</f>
        <v>3</v>
      </c>
    </row>
    <row r="1538" customFormat="false" ht="23.85" hidden="false" customHeight="false" outlineLevel="0" collapsed="false">
      <c r="A1538" s="11" t="s">
        <v>9344</v>
      </c>
      <c r="B1538" s="11" t="s">
        <v>45</v>
      </c>
      <c r="C1538" s="11" t="s">
        <v>349</v>
      </c>
      <c r="D1538" s="11" t="s">
        <v>350</v>
      </c>
      <c r="E1538" s="11" t="s">
        <v>1133</v>
      </c>
      <c r="F1538" s="11" t="s">
        <v>9345</v>
      </c>
      <c r="G1538" s="11" t="s">
        <v>9346</v>
      </c>
      <c r="H1538" s="11"/>
      <c r="I1538" s="11" t="s">
        <v>9347</v>
      </c>
      <c r="J1538" s="11" t="s">
        <v>9348</v>
      </c>
      <c r="K1538" s="11" t="s">
        <v>9349</v>
      </c>
      <c r="L1538" s="11" t="s">
        <v>9350</v>
      </c>
      <c r="M1538" s="11" t="s">
        <v>9351</v>
      </c>
      <c r="N1538" s="14" t="n">
        <v>1</v>
      </c>
      <c r="O1538" s="14" t="n">
        <v>3</v>
      </c>
      <c r="P1538" s="14" t="n">
        <v>3</v>
      </c>
      <c r="Q1538" s="14"/>
      <c r="R1538" s="12" t="n">
        <f aca="false">IF(OR(N1538="",P1538=""),"",ROUND(N1538*O1538/P1538,1))</f>
        <v>1</v>
      </c>
      <c r="S1538" s="13" t="n">
        <f aca="false">IF(R1538="","",IF(Q1538="Y",1,IF(P1538&gt;='Read me'!$B$16,3,IF(AND(R1538&gt;='Read me'!$B$14,P1538&lt;='Read me'!$B$15),1,2))))</f>
        <v>2</v>
      </c>
    </row>
    <row r="1539" customFormat="false" ht="23.85" hidden="false" customHeight="false" outlineLevel="0" collapsed="false">
      <c r="A1539" s="11" t="s">
        <v>9352</v>
      </c>
      <c r="B1539" s="11" t="s">
        <v>45</v>
      </c>
      <c r="C1539" s="11" t="s">
        <v>349</v>
      </c>
      <c r="D1539" s="11" t="s">
        <v>350</v>
      </c>
      <c r="E1539" s="11" t="s">
        <v>1133</v>
      </c>
      <c r="F1539" s="11" t="s">
        <v>9353</v>
      </c>
      <c r="G1539" s="11" t="s">
        <v>9354</v>
      </c>
      <c r="H1539" s="11"/>
      <c r="I1539" s="11" t="s">
        <v>9355</v>
      </c>
      <c r="J1539" s="11" t="s">
        <v>9356</v>
      </c>
      <c r="K1539" s="11" t="s">
        <v>7768</v>
      </c>
      <c r="L1539" s="11" t="s">
        <v>8392</v>
      </c>
      <c r="M1539" s="11" t="s">
        <v>9357</v>
      </c>
      <c r="N1539" s="14" t="n">
        <v>1</v>
      </c>
      <c r="O1539" s="14" t="n">
        <v>2</v>
      </c>
      <c r="P1539" s="14" t="n">
        <v>2</v>
      </c>
      <c r="Q1539" s="14"/>
      <c r="R1539" s="12" t="n">
        <f aca="false">IF(OR(N1539="",P1539=""),"",ROUND(N1539*O1539/P1539,1))</f>
        <v>1</v>
      </c>
      <c r="S1539" s="13" t="n">
        <f aca="false">IF(R1539="","",IF(Q1539="Y",1,IF(P1539&gt;='Read me'!$B$16,3,IF(AND(R1539&gt;='Read me'!$B$14,P1539&lt;='Read me'!$B$15),1,2))))</f>
        <v>2</v>
      </c>
    </row>
    <row r="1540" customFormat="false" ht="23.85" hidden="false" customHeight="false" outlineLevel="0" collapsed="false">
      <c r="A1540" s="11" t="s">
        <v>9358</v>
      </c>
      <c r="B1540" s="11" t="s">
        <v>45</v>
      </c>
      <c r="C1540" s="11" t="s">
        <v>349</v>
      </c>
      <c r="D1540" s="11" t="s">
        <v>350</v>
      </c>
      <c r="E1540" s="11" t="s">
        <v>1133</v>
      </c>
      <c r="F1540" s="11" t="s">
        <v>9359</v>
      </c>
      <c r="G1540" s="11" t="s">
        <v>9360</v>
      </c>
      <c r="H1540" s="11"/>
      <c r="I1540" s="11" t="s">
        <v>9361</v>
      </c>
      <c r="J1540" s="11" t="s">
        <v>9362</v>
      </c>
      <c r="K1540" s="11" t="s">
        <v>7768</v>
      </c>
      <c r="L1540" s="11" t="s">
        <v>8392</v>
      </c>
      <c r="M1540" s="11" t="s">
        <v>9363</v>
      </c>
      <c r="N1540" s="14" t="n">
        <v>1</v>
      </c>
      <c r="O1540" s="14" t="n">
        <v>3</v>
      </c>
      <c r="P1540" s="14" t="n">
        <v>3</v>
      </c>
      <c r="Q1540" s="14"/>
      <c r="R1540" s="12" t="n">
        <f aca="false">IF(OR(N1540="",P1540=""),"",ROUND(N1540*O1540/P1540,1))</f>
        <v>1</v>
      </c>
      <c r="S1540" s="13" t="n">
        <f aca="false">IF(R1540="","",IF(Q1540="Y",1,IF(P1540&gt;='Read me'!$B$16,3,IF(AND(R1540&gt;='Read me'!$B$14,P1540&lt;='Read me'!$B$15),1,2))))</f>
        <v>2</v>
      </c>
    </row>
    <row r="1541" customFormat="false" ht="23.85" hidden="false" customHeight="false" outlineLevel="0" collapsed="false">
      <c r="A1541" s="11" t="s">
        <v>9364</v>
      </c>
      <c r="B1541" s="11" t="s">
        <v>45</v>
      </c>
      <c r="C1541" s="11" t="s">
        <v>349</v>
      </c>
      <c r="D1541" s="11" t="s">
        <v>350</v>
      </c>
      <c r="E1541" s="11" t="s">
        <v>1133</v>
      </c>
      <c r="F1541" s="11" t="s">
        <v>9365</v>
      </c>
      <c r="G1541" s="11" t="s">
        <v>9366</v>
      </c>
      <c r="H1541" s="11"/>
      <c r="I1541" s="11" t="s">
        <v>9367</v>
      </c>
      <c r="J1541" s="11" t="s">
        <v>9368</v>
      </c>
      <c r="K1541" s="11" t="s">
        <v>9369</v>
      </c>
      <c r="L1541" s="11" t="s">
        <v>1044</v>
      </c>
      <c r="M1541" s="11"/>
      <c r="N1541" s="14" t="n">
        <v>1</v>
      </c>
      <c r="O1541" s="14" t="n">
        <v>2</v>
      </c>
      <c r="P1541" s="14" t="n">
        <v>2</v>
      </c>
      <c r="Q1541" s="14"/>
      <c r="R1541" s="12" t="n">
        <f aca="false">IF(OR(N1541="",P1541=""),"",ROUND(N1541*O1541/P1541,1))</f>
        <v>1</v>
      </c>
      <c r="S1541" s="13" t="n">
        <f aca="false">IF(R1541="","",IF(Q1541="Y",1,IF(P1541&gt;='Read me'!$B$16,3,IF(AND(R1541&gt;='Read me'!$B$14,P1541&lt;='Read me'!$B$15),1,2))))</f>
        <v>2</v>
      </c>
    </row>
    <row r="1542" customFormat="false" ht="23.85" hidden="false" customHeight="false" outlineLevel="0" collapsed="false">
      <c r="A1542" s="11" t="s">
        <v>9370</v>
      </c>
      <c r="B1542" s="11" t="s">
        <v>45</v>
      </c>
      <c r="C1542" s="11" t="s">
        <v>349</v>
      </c>
      <c r="D1542" s="11" t="s">
        <v>350</v>
      </c>
      <c r="E1542" s="11" t="s">
        <v>1372</v>
      </c>
      <c r="F1542" s="11" t="s">
        <v>9371</v>
      </c>
      <c r="G1542" s="11" t="s">
        <v>9372</v>
      </c>
      <c r="H1542" s="11"/>
      <c r="I1542" s="11" t="s">
        <v>9373</v>
      </c>
      <c r="J1542" s="11" t="s">
        <v>9374</v>
      </c>
      <c r="K1542" s="11" t="s">
        <v>4369</v>
      </c>
      <c r="L1542" s="11" t="s">
        <v>9375</v>
      </c>
      <c r="M1542" s="11" t="s">
        <v>9376</v>
      </c>
      <c r="N1542" s="14" t="n">
        <v>1</v>
      </c>
      <c r="O1542" s="14" t="n">
        <v>2</v>
      </c>
      <c r="P1542" s="14" t="n">
        <v>3</v>
      </c>
      <c r="Q1542" s="14"/>
      <c r="R1542" s="12" t="n">
        <f aca="false">IF(OR(N1542="",P1542=""),"",ROUND(N1542*O1542/P1542,1))</f>
        <v>0.7</v>
      </c>
      <c r="S1542" s="13" t="n">
        <f aca="false">IF(R1542="","",IF(Q1542="Y",1,IF(P1542&gt;='Read me'!$B$16,3,IF(AND(R1542&gt;='Read me'!$B$14,P1542&lt;='Read me'!$B$15),1,2))))</f>
        <v>2</v>
      </c>
    </row>
    <row r="1543" customFormat="false" ht="23.85" hidden="false" customHeight="false" outlineLevel="0" collapsed="false">
      <c r="A1543" s="11" t="s">
        <v>9377</v>
      </c>
      <c r="B1543" s="11" t="s">
        <v>46</v>
      </c>
      <c r="C1543" s="11" t="s">
        <v>352</v>
      </c>
      <c r="D1543" s="11" t="s">
        <v>353</v>
      </c>
      <c r="E1543" s="11" t="s">
        <v>476</v>
      </c>
      <c r="F1543" s="11" t="s">
        <v>9378</v>
      </c>
      <c r="G1543" s="11" t="s">
        <v>9379</v>
      </c>
      <c r="H1543" s="11"/>
      <c r="I1543" s="11" t="s">
        <v>9380</v>
      </c>
      <c r="J1543" s="11" t="s">
        <v>9381</v>
      </c>
      <c r="K1543" s="11" t="s">
        <v>1028</v>
      </c>
      <c r="L1543" s="11" t="s">
        <v>9382</v>
      </c>
      <c r="M1543" s="11" t="s">
        <v>9383</v>
      </c>
      <c r="N1543" s="14" t="n">
        <v>5</v>
      </c>
      <c r="O1543" s="14" t="n">
        <v>4</v>
      </c>
      <c r="P1543" s="14" t="n">
        <v>4</v>
      </c>
      <c r="Q1543" s="14"/>
      <c r="R1543" s="12" t="n">
        <f aca="false">IF(OR(N1543="",P1543=""),"",ROUND(N1543*O1543/P1543,1))</f>
        <v>5</v>
      </c>
      <c r="S1543" s="13" t="n">
        <f aca="false">IF(R1543="","",IF(Q1543="Y",1,IF(P1543&gt;='Read me'!$B$16,3,IF(AND(R1543&gt;='Read me'!$B$14,P1543&lt;='Read me'!$B$15),1,2))))</f>
        <v>3</v>
      </c>
    </row>
    <row r="1544" customFormat="false" ht="23.85" hidden="false" customHeight="false" outlineLevel="0" collapsed="false">
      <c r="A1544" s="11" t="s">
        <v>9384</v>
      </c>
      <c r="B1544" s="11" t="s">
        <v>46</v>
      </c>
      <c r="C1544" s="11" t="s">
        <v>352</v>
      </c>
      <c r="D1544" s="11" t="s">
        <v>353</v>
      </c>
      <c r="E1544" s="11" t="s">
        <v>476</v>
      </c>
      <c r="F1544" s="11" t="s">
        <v>9385</v>
      </c>
      <c r="G1544" s="11" t="s">
        <v>9386</v>
      </c>
      <c r="H1544" s="11"/>
      <c r="I1544" s="11" t="s">
        <v>9387</v>
      </c>
      <c r="J1544" s="11" t="s">
        <v>9388</v>
      </c>
      <c r="K1544" s="11" t="s">
        <v>9389</v>
      </c>
      <c r="L1544" s="11" t="s">
        <v>9390</v>
      </c>
      <c r="M1544" s="11"/>
      <c r="N1544" s="14" t="n">
        <v>3</v>
      </c>
      <c r="O1544" s="14" t="n">
        <v>3</v>
      </c>
      <c r="P1544" s="14" t="n">
        <v>3</v>
      </c>
      <c r="Q1544" s="14"/>
      <c r="R1544" s="12" t="n">
        <f aca="false">IF(OR(N1544="",P1544=""),"",ROUND(N1544*O1544/P1544,1))</f>
        <v>3</v>
      </c>
      <c r="S1544" s="13" t="n">
        <f aca="false">IF(R1544="","",IF(Q1544="Y",1,IF(P1544&gt;='Read me'!$B$16,3,IF(AND(R1544&gt;='Read me'!$B$14,P1544&lt;='Read me'!$B$15),1,2))))</f>
        <v>2</v>
      </c>
    </row>
    <row r="1545" customFormat="false" ht="46.25" hidden="false" customHeight="false" outlineLevel="0" collapsed="false">
      <c r="A1545" s="11" t="s">
        <v>9391</v>
      </c>
      <c r="B1545" s="11" t="s">
        <v>46</v>
      </c>
      <c r="C1545" s="11" t="s">
        <v>352</v>
      </c>
      <c r="D1545" s="11" t="s">
        <v>353</v>
      </c>
      <c r="E1545" s="11" t="s">
        <v>532</v>
      </c>
      <c r="F1545" s="11" t="s">
        <v>9392</v>
      </c>
      <c r="G1545" s="11" t="s">
        <v>9393</v>
      </c>
      <c r="H1545" s="11"/>
      <c r="I1545" s="11" t="s">
        <v>9394</v>
      </c>
      <c r="J1545" s="11" t="s">
        <v>9395</v>
      </c>
      <c r="K1545" s="11" t="s">
        <v>9396</v>
      </c>
      <c r="L1545" s="11" t="s">
        <v>9397</v>
      </c>
      <c r="M1545" s="11" t="s">
        <v>9398</v>
      </c>
      <c r="N1545" s="14" t="n">
        <v>4</v>
      </c>
      <c r="O1545" s="14" t="n">
        <v>4</v>
      </c>
      <c r="P1545" s="14" t="n">
        <v>4</v>
      </c>
      <c r="Q1545" s="14"/>
      <c r="R1545" s="12" t="n">
        <f aca="false">IF(OR(N1545="",P1545=""),"",ROUND(N1545*O1545/P1545,1))</f>
        <v>4</v>
      </c>
      <c r="S1545" s="13" t="n">
        <f aca="false">IF(R1545="","",IF(Q1545="Y",1,IF(P1545&gt;='Read me'!$B$16,3,IF(AND(R1545&gt;='Read me'!$B$14,P1545&lt;='Read me'!$B$15),1,2))))</f>
        <v>3</v>
      </c>
    </row>
    <row r="1546" customFormat="false" ht="23.85" hidden="false" customHeight="false" outlineLevel="0" collapsed="false">
      <c r="A1546" s="11" t="s">
        <v>9399</v>
      </c>
      <c r="B1546" s="11" t="s">
        <v>46</v>
      </c>
      <c r="C1546" s="11" t="s">
        <v>352</v>
      </c>
      <c r="D1546" s="11" t="s">
        <v>353</v>
      </c>
      <c r="E1546" s="11" t="s">
        <v>751</v>
      </c>
      <c r="F1546" s="11" t="s">
        <v>9400</v>
      </c>
      <c r="G1546" s="11" t="s">
        <v>2253</v>
      </c>
      <c r="H1546" s="11"/>
      <c r="I1546" s="11" t="s">
        <v>9401</v>
      </c>
      <c r="J1546" s="11" t="s">
        <v>9402</v>
      </c>
      <c r="K1546" s="11" t="s">
        <v>1262</v>
      </c>
      <c r="L1546" s="11" t="s">
        <v>9403</v>
      </c>
      <c r="M1546" s="11" t="s">
        <v>1577</v>
      </c>
      <c r="N1546" s="14" t="n">
        <v>2</v>
      </c>
      <c r="O1546" s="14" t="n">
        <v>3</v>
      </c>
      <c r="P1546" s="14" t="n">
        <v>3</v>
      </c>
      <c r="Q1546" s="14"/>
      <c r="R1546" s="12" t="n">
        <f aca="false">IF(OR(N1546="",P1546=""),"",ROUND(N1546*O1546/P1546,1))</f>
        <v>2</v>
      </c>
      <c r="S1546" s="13" t="n">
        <f aca="false">IF(R1546="","",IF(Q1546="Y",1,IF(P1546&gt;='Read me'!$B$16,3,IF(AND(R1546&gt;='Read me'!$B$14,P1546&lt;='Read me'!$B$15),1,2))))</f>
        <v>2</v>
      </c>
    </row>
    <row r="1547" customFormat="false" ht="23.85" hidden="false" customHeight="false" outlineLevel="0" collapsed="false">
      <c r="A1547" s="11" t="s">
        <v>9404</v>
      </c>
      <c r="B1547" s="11" t="s">
        <v>46</v>
      </c>
      <c r="C1547" s="11" t="s">
        <v>352</v>
      </c>
      <c r="D1547" s="11" t="s">
        <v>353</v>
      </c>
      <c r="E1547" s="11" t="s">
        <v>765</v>
      </c>
      <c r="F1547" s="11" t="s">
        <v>9405</v>
      </c>
      <c r="G1547" s="11" t="s">
        <v>9406</v>
      </c>
      <c r="H1547" s="11"/>
      <c r="I1547" s="11" t="s">
        <v>9407</v>
      </c>
      <c r="J1547" s="11" t="s">
        <v>9408</v>
      </c>
      <c r="K1547" s="11" t="s">
        <v>9409</v>
      </c>
      <c r="L1547" s="11" t="s">
        <v>9410</v>
      </c>
      <c r="M1547" s="11"/>
      <c r="N1547" s="14" t="n">
        <v>3</v>
      </c>
      <c r="O1547" s="14" t="n">
        <v>4</v>
      </c>
      <c r="P1547" s="14" t="n">
        <v>4</v>
      </c>
      <c r="Q1547" s="14"/>
      <c r="R1547" s="12" t="n">
        <f aca="false">IF(OR(N1547="",P1547=""),"",ROUND(N1547*O1547/P1547,1))</f>
        <v>3</v>
      </c>
      <c r="S1547" s="13" t="n">
        <f aca="false">IF(R1547="","",IF(Q1547="Y",1,IF(P1547&gt;='Read me'!$B$16,3,IF(AND(R1547&gt;='Read me'!$B$14,P1547&lt;='Read me'!$B$15),1,2))))</f>
        <v>3</v>
      </c>
    </row>
    <row r="1548" customFormat="false" ht="23.85" hidden="false" customHeight="false" outlineLevel="0" collapsed="false">
      <c r="A1548" s="11" t="s">
        <v>9411</v>
      </c>
      <c r="B1548" s="11" t="s">
        <v>46</v>
      </c>
      <c r="C1548" s="11" t="s">
        <v>352</v>
      </c>
      <c r="D1548" s="11" t="s">
        <v>353</v>
      </c>
      <c r="E1548" s="11" t="s">
        <v>765</v>
      </c>
      <c r="F1548" s="11" t="s">
        <v>9412</v>
      </c>
      <c r="G1548" s="11" t="s">
        <v>9413</v>
      </c>
      <c r="H1548" s="11"/>
      <c r="I1548" s="11" t="s">
        <v>9414</v>
      </c>
      <c r="J1548" s="11" t="s">
        <v>9415</v>
      </c>
      <c r="K1548" s="11" t="s">
        <v>9416</v>
      </c>
      <c r="L1548" s="11" t="s">
        <v>9417</v>
      </c>
      <c r="M1548" s="11"/>
      <c r="N1548" s="14" t="n">
        <v>2</v>
      </c>
      <c r="O1548" s="14" t="n">
        <v>4</v>
      </c>
      <c r="P1548" s="14" t="n">
        <v>4</v>
      </c>
      <c r="Q1548" s="14"/>
      <c r="R1548" s="12" t="n">
        <f aca="false">IF(OR(N1548="",P1548=""),"",ROUND(N1548*O1548/P1548,1))</f>
        <v>2</v>
      </c>
      <c r="S1548" s="13" t="n">
        <f aca="false">IF(R1548="","",IF(Q1548="Y",1,IF(P1548&gt;='Read me'!$B$16,3,IF(AND(R1548&gt;='Read me'!$B$14,P1548&lt;='Read me'!$B$15),1,2))))</f>
        <v>3</v>
      </c>
    </row>
    <row r="1549" customFormat="false" ht="35.05" hidden="false" customHeight="false" outlineLevel="0" collapsed="false">
      <c r="A1549" s="11" t="s">
        <v>9418</v>
      </c>
      <c r="B1549" s="11" t="s">
        <v>46</v>
      </c>
      <c r="C1549" s="11" t="s">
        <v>352</v>
      </c>
      <c r="D1549" s="11" t="s">
        <v>353</v>
      </c>
      <c r="E1549" s="11" t="s">
        <v>765</v>
      </c>
      <c r="F1549" s="11" t="s">
        <v>9419</v>
      </c>
      <c r="G1549" s="11" t="s">
        <v>9420</v>
      </c>
      <c r="H1549" s="11"/>
      <c r="I1549" s="11" t="s">
        <v>9421</v>
      </c>
      <c r="J1549" s="11" t="s">
        <v>9422</v>
      </c>
      <c r="K1549" s="11" t="s">
        <v>9423</v>
      </c>
      <c r="L1549" s="11" t="s">
        <v>9410</v>
      </c>
      <c r="M1549" s="11" t="s">
        <v>9424</v>
      </c>
      <c r="N1549" s="14" t="n">
        <v>3</v>
      </c>
      <c r="O1549" s="14" t="n">
        <v>4</v>
      </c>
      <c r="P1549" s="14" t="n">
        <v>4</v>
      </c>
      <c r="Q1549" s="14"/>
      <c r="R1549" s="12" t="n">
        <f aca="false">IF(OR(N1549="",P1549=""),"",ROUND(N1549*O1549/P1549,1))</f>
        <v>3</v>
      </c>
      <c r="S1549" s="13" t="n">
        <f aca="false">IF(R1549="","",IF(Q1549="Y",1,IF(P1549&gt;='Read me'!$B$16,3,IF(AND(R1549&gt;='Read me'!$B$14,P1549&lt;='Read me'!$B$15),1,2))))</f>
        <v>3</v>
      </c>
    </row>
    <row r="1550" customFormat="false" ht="23.85" hidden="false" customHeight="false" outlineLevel="0" collapsed="false">
      <c r="A1550" s="11" t="s">
        <v>9425</v>
      </c>
      <c r="B1550" s="11" t="s">
        <v>46</v>
      </c>
      <c r="C1550" s="11" t="s">
        <v>352</v>
      </c>
      <c r="D1550" s="11" t="s">
        <v>353</v>
      </c>
      <c r="E1550" s="11" t="s">
        <v>765</v>
      </c>
      <c r="F1550" s="11" t="s">
        <v>9426</v>
      </c>
      <c r="G1550" s="11" t="s">
        <v>9427</v>
      </c>
      <c r="H1550" s="11"/>
      <c r="I1550" s="11" t="s">
        <v>9428</v>
      </c>
      <c r="J1550" s="11" t="s">
        <v>9429</v>
      </c>
      <c r="K1550" s="11" t="s">
        <v>9430</v>
      </c>
      <c r="L1550" s="11" t="s">
        <v>9431</v>
      </c>
      <c r="M1550" s="11"/>
      <c r="N1550" s="14" t="n">
        <v>2</v>
      </c>
      <c r="O1550" s="14" t="n">
        <v>3</v>
      </c>
      <c r="P1550" s="14" t="n">
        <v>3</v>
      </c>
      <c r="Q1550" s="14"/>
      <c r="R1550" s="12" t="n">
        <f aca="false">IF(OR(N1550="",P1550=""),"",ROUND(N1550*O1550/P1550,1))</f>
        <v>2</v>
      </c>
      <c r="S1550" s="13" t="n">
        <f aca="false">IF(R1550="","",IF(Q1550="Y",1,IF(P1550&gt;='Read me'!$B$16,3,IF(AND(R1550&gt;='Read me'!$B$14,P1550&lt;='Read me'!$B$15),1,2))))</f>
        <v>2</v>
      </c>
    </row>
    <row r="1551" customFormat="false" ht="23.85" hidden="false" customHeight="false" outlineLevel="0" collapsed="false">
      <c r="A1551" s="11" t="s">
        <v>9432</v>
      </c>
      <c r="B1551" s="11" t="s">
        <v>46</v>
      </c>
      <c r="C1551" s="11" t="s">
        <v>352</v>
      </c>
      <c r="D1551" s="11" t="s">
        <v>353</v>
      </c>
      <c r="E1551" s="11" t="s">
        <v>765</v>
      </c>
      <c r="F1551" s="11" t="s">
        <v>9433</v>
      </c>
      <c r="G1551" s="11" t="s">
        <v>1304</v>
      </c>
      <c r="H1551" s="11"/>
      <c r="I1551" s="11" t="s">
        <v>9434</v>
      </c>
      <c r="J1551" s="11" t="s">
        <v>9435</v>
      </c>
      <c r="K1551" s="11" t="s">
        <v>916</v>
      </c>
      <c r="L1551" s="11" t="s">
        <v>9436</v>
      </c>
      <c r="M1551" s="11"/>
      <c r="N1551" s="14" t="n">
        <v>2</v>
      </c>
      <c r="O1551" s="14" t="n">
        <v>4</v>
      </c>
      <c r="P1551" s="14" t="n">
        <v>5</v>
      </c>
      <c r="Q1551" s="14"/>
      <c r="R1551" s="12" t="n">
        <f aca="false">IF(OR(N1551="",P1551=""),"",ROUND(N1551*O1551/P1551,1))</f>
        <v>1.6</v>
      </c>
      <c r="S1551" s="13" t="n">
        <f aca="false">IF(R1551="","",IF(Q1551="Y",1,IF(P1551&gt;='Read me'!$B$16,3,IF(AND(R1551&gt;='Read me'!$B$14,P1551&lt;='Read me'!$B$15),1,2))))</f>
        <v>3</v>
      </c>
    </row>
    <row r="1552" customFormat="false" ht="23.85" hidden="false" customHeight="false" outlineLevel="0" collapsed="false">
      <c r="A1552" s="11" t="s">
        <v>9437</v>
      </c>
      <c r="B1552" s="11" t="s">
        <v>46</v>
      </c>
      <c r="C1552" s="11" t="s">
        <v>352</v>
      </c>
      <c r="D1552" s="11" t="s">
        <v>353</v>
      </c>
      <c r="E1552" s="11" t="s">
        <v>765</v>
      </c>
      <c r="F1552" s="11" t="s">
        <v>9438</v>
      </c>
      <c r="G1552" s="11" t="s">
        <v>9439</v>
      </c>
      <c r="H1552" s="11"/>
      <c r="I1552" s="11" t="s">
        <v>9440</v>
      </c>
      <c r="J1552" s="11" t="s">
        <v>9441</v>
      </c>
      <c r="K1552" s="11" t="s">
        <v>916</v>
      </c>
      <c r="L1552" s="11" t="s">
        <v>9442</v>
      </c>
      <c r="M1552" s="11"/>
      <c r="N1552" s="14" t="n">
        <v>1</v>
      </c>
      <c r="O1552" s="14" t="n">
        <v>3</v>
      </c>
      <c r="P1552" s="14" t="n">
        <v>4</v>
      </c>
      <c r="Q1552" s="14"/>
      <c r="R1552" s="12" t="n">
        <f aca="false">IF(OR(N1552="",P1552=""),"",ROUND(N1552*O1552/P1552,1))</f>
        <v>0.8</v>
      </c>
      <c r="S1552" s="13" t="n">
        <f aca="false">IF(R1552="","",IF(Q1552="Y",1,IF(P1552&gt;='Read me'!$B$16,3,IF(AND(R1552&gt;='Read me'!$B$14,P1552&lt;='Read me'!$B$15),1,2))))</f>
        <v>3</v>
      </c>
    </row>
    <row r="1553" customFormat="false" ht="35.05" hidden="false" customHeight="false" outlineLevel="0" collapsed="false">
      <c r="A1553" s="11" t="s">
        <v>9443</v>
      </c>
      <c r="B1553" s="11" t="s">
        <v>46</v>
      </c>
      <c r="C1553" s="11" t="s">
        <v>352</v>
      </c>
      <c r="D1553" s="11" t="s">
        <v>353</v>
      </c>
      <c r="E1553" s="11" t="s">
        <v>765</v>
      </c>
      <c r="F1553" s="11" t="s">
        <v>9444</v>
      </c>
      <c r="G1553" s="11" t="s">
        <v>9445</v>
      </c>
      <c r="H1553" s="11"/>
      <c r="I1553" s="11" t="s">
        <v>512</v>
      </c>
      <c r="J1553" s="11" t="s">
        <v>9446</v>
      </c>
      <c r="K1553" s="11" t="s">
        <v>9447</v>
      </c>
      <c r="L1553" s="11" t="s">
        <v>9448</v>
      </c>
      <c r="M1553" s="11" t="s">
        <v>9449</v>
      </c>
      <c r="N1553" s="14" t="n">
        <v>3</v>
      </c>
      <c r="O1553" s="14" t="n">
        <v>3</v>
      </c>
      <c r="P1553" s="14" t="n">
        <v>3</v>
      </c>
      <c r="Q1553" s="14"/>
      <c r="R1553" s="12" t="n">
        <f aca="false">IF(OR(N1553="",P1553=""),"",ROUND(N1553*O1553/P1553,1))</f>
        <v>3</v>
      </c>
      <c r="S1553" s="13" t="n">
        <f aca="false">IF(R1553="","",IF(Q1553="Y",1,IF(P1553&gt;='Read me'!$B$16,3,IF(AND(R1553&gt;='Read me'!$B$14,P1553&lt;='Read me'!$B$15),1,2))))</f>
        <v>2</v>
      </c>
    </row>
    <row r="1554" customFormat="false" ht="23.85" hidden="false" customHeight="false" outlineLevel="0" collapsed="false">
      <c r="A1554" s="11" t="s">
        <v>9450</v>
      </c>
      <c r="B1554" s="11" t="s">
        <v>46</v>
      </c>
      <c r="C1554" s="11" t="s">
        <v>352</v>
      </c>
      <c r="D1554" s="11" t="s">
        <v>353</v>
      </c>
      <c r="E1554" s="11" t="s">
        <v>765</v>
      </c>
      <c r="F1554" s="11" t="s">
        <v>9451</v>
      </c>
      <c r="G1554" s="11" t="s">
        <v>9452</v>
      </c>
      <c r="H1554" s="11"/>
      <c r="I1554" s="11" t="s">
        <v>512</v>
      </c>
      <c r="J1554" s="11" t="s">
        <v>9453</v>
      </c>
      <c r="K1554" s="11" t="s">
        <v>9454</v>
      </c>
      <c r="L1554" s="11" t="s">
        <v>9455</v>
      </c>
      <c r="M1554" s="11"/>
      <c r="N1554" s="14" t="n">
        <v>2</v>
      </c>
      <c r="O1554" s="14" t="n">
        <v>4</v>
      </c>
      <c r="P1554" s="14" t="n">
        <v>4</v>
      </c>
      <c r="Q1554" s="14"/>
      <c r="R1554" s="12" t="n">
        <f aca="false">IF(OR(N1554="",P1554=""),"",ROUND(N1554*O1554/P1554,1))</f>
        <v>2</v>
      </c>
      <c r="S1554" s="13" t="n">
        <f aca="false">IF(R1554="","",IF(Q1554="Y",1,IF(P1554&gt;='Read me'!$B$16,3,IF(AND(R1554&gt;='Read me'!$B$14,P1554&lt;='Read me'!$B$15),1,2))))</f>
        <v>3</v>
      </c>
    </row>
    <row r="1555" customFormat="false" ht="23.85" hidden="false" customHeight="false" outlineLevel="0" collapsed="false">
      <c r="A1555" s="11" t="s">
        <v>9456</v>
      </c>
      <c r="B1555" s="11" t="s">
        <v>46</v>
      </c>
      <c r="C1555" s="11" t="s">
        <v>352</v>
      </c>
      <c r="D1555" s="11" t="s">
        <v>353</v>
      </c>
      <c r="E1555" s="11" t="s">
        <v>765</v>
      </c>
      <c r="F1555" s="11" t="s">
        <v>9457</v>
      </c>
      <c r="G1555" s="11" t="s">
        <v>9458</v>
      </c>
      <c r="H1555" s="11"/>
      <c r="I1555" s="11" t="s">
        <v>9459</v>
      </c>
      <c r="J1555" s="11" t="s">
        <v>9460</v>
      </c>
      <c r="K1555" s="11" t="s">
        <v>990</v>
      </c>
      <c r="L1555" s="11" t="s">
        <v>9461</v>
      </c>
      <c r="M1555" s="11"/>
      <c r="N1555" s="14" t="n">
        <v>1</v>
      </c>
      <c r="O1555" s="14" t="n">
        <v>2</v>
      </c>
      <c r="P1555" s="14" t="n">
        <v>3</v>
      </c>
      <c r="Q1555" s="14"/>
      <c r="R1555" s="12" t="n">
        <f aca="false">IF(OR(N1555="",P1555=""),"",ROUND(N1555*O1555/P1555,1))</f>
        <v>0.7</v>
      </c>
      <c r="S1555" s="13" t="n">
        <f aca="false">IF(R1555="","",IF(Q1555="Y",1,IF(P1555&gt;='Read me'!$B$16,3,IF(AND(R1555&gt;='Read me'!$B$14,P1555&lt;='Read me'!$B$15),1,2))))</f>
        <v>2</v>
      </c>
    </row>
    <row r="1556" customFormat="false" ht="23.85" hidden="false" customHeight="false" outlineLevel="0" collapsed="false">
      <c r="A1556" s="11" t="s">
        <v>9462</v>
      </c>
      <c r="B1556" s="11" t="s">
        <v>46</v>
      </c>
      <c r="C1556" s="11" t="s">
        <v>352</v>
      </c>
      <c r="D1556" s="11" t="s">
        <v>353</v>
      </c>
      <c r="E1556" s="11" t="s">
        <v>1081</v>
      </c>
      <c r="F1556" s="11" t="s">
        <v>9463</v>
      </c>
      <c r="G1556" s="11" t="s">
        <v>9464</v>
      </c>
      <c r="H1556" s="11"/>
      <c r="I1556" s="11" t="s">
        <v>9465</v>
      </c>
      <c r="J1556" s="11" t="s">
        <v>9466</v>
      </c>
      <c r="K1556" s="11" t="s">
        <v>9467</v>
      </c>
      <c r="L1556" s="11" t="s">
        <v>9468</v>
      </c>
      <c r="M1556" s="11"/>
      <c r="N1556" s="14" t="n">
        <v>3</v>
      </c>
      <c r="O1556" s="14" t="n">
        <v>3</v>
      </c>
      <c r="P1556" s="14" t="n">
        <v>3</v>
      </c>
      <c r="Q1556" s="14"/>
      <c r="R1556" s="12" t="n">
        <f aca="false">IF(OR(N1556="",P1556=""),"",ROUND(N1556*O1556/P1556,1))</f>
        <v>3</v>
      </c>
      <c r="S1556" s="13" t="n">
        <f aca="false">IF(R1556="","",IF(Q1556="Y",1,IF(P1556&gt;='Read me'!$B$16,3,IF(AND(R1556&gt;='Read me'!$B$14,P1556&lt;='Read me'!$B$15),1,2))))</f>
        <v>2</v>
      </c>
    </row>
    <row r="1557" customFormat="false" ht="23.85" hidden="false" customHeight="false" outlineLevel="0" collapsed="false">
      <c r="A1557" s="11" t="s">
        <v>9469</v>
      </c>
      <c r="B1557" s="11" t="s">
        <v>46</v>
      </c>
      <c r="C1557" s="11" t="s">
        <v>352</v>
      </c>
      <c r="D1557" s="11" t="s">
        <v>353</v>
      </c>
      <c r="E1557" s="11" t="s">
        <v>1081</v>
      </c>
      <c r="F1557" s="11" t="s">
        <v>9470</v>
      </c>
      <c r="G1557" s="11" t="s">
        <v>9471</v>
      </c>
      <c r="H1557" s="11"/>
      <c r="I1557" s="11" t="s">
        <v>9472</v>
      </c>
      <c r="J1557" s="11" t="s">
        <v>9473</v>
      </c>
      <c r="K1557" s="11" t="s">
        <v>916</v>
      </c>
      <c r="L1557" s="11" t="s">
        <v>9410</v>
      </c>
      <c r="M1557" s="11"/>
      <c r="N1557" s="14" t="n">
        <v>1</v>
      </c>
      <c r="O1557" s="14" t="n">
        <v>3</v>
      </c>
      <c r="P1557" s="14" t="n">
        <v>5</v>
      </c>
      <c r="Q1557" s="14"/>
      <c r="R1557" s="12" t="n">
        <f aca="false">IF(OR(N1557="",P1557=""),"",ROUND(N1557*O1557/P1557,1))</f>
        <v>0.6</v>
      </c>
      <c r="S1557" s="13" t="n">
        <f aca="false">IF(R1557="","",IF(Q1557="Y",1,IF(P1557&gt;='Read me'!$B$16,3,IF(AND(R1557&gt;='Read me'!$B$14,P1557&lt;='Read me'!$B$15),1,2))))</f>
        <v>3</v>
      </c>
    </row>
    <row r="1558" customFormat="false" ht="23.85" hidden="false" customHeight="false" outlineLevel="0" collapsed="false">
      <c r="A1558" s="11" t="s">
        <v>9474</v>
      </c>
      <c r="B1558" s="11" t="s">
        <v>46</v>
      </c>
      <c r="C1558" s="11" t="s">
        <v>352</v>
      </c>
      <c r="D1558" s="11" t="s">
        <v>353</v>
      </c>
      <c r="E1558" s="11" t="s">
        <v>1187</v>
      </c>
      <c r="F1558" s="11" t="s">
        <v>9392</v>
      </c>
      <c r="G1558" s="11"/>
      <c r="H1558" s="11" t="s">
        <v>9475</v>
      </c>
      <c r="I1558" s="11" t="s">
        <v>9476</v>
      </c>
      <c r="J1558" s="11" t="s">
        <v>9477</v>
      </c>
      <c r="K1558" s="11" t="s">
        <v>9478</v>
      </c>
      <c r="L1558" s="11" t="s">
        <v>9479</v>
      </c>
      <c r="M1558" s="11"/>
      <c r="N1558" s="14" t="n">
        <v>2</v>
      </c>
      <c r="O1558" s="14" t="n">
        <v>3</v>
      </c>
      <c r="P1558" s="14" t="n">
        <v>3</v>
      </c>
      <c r="Q1558" s="14"/>
      <c r="R1558" s="12" t="n">
        <f aca="false">IF(OR(N1558="",P1558=""),"",ROUND(N1558*O1558/P1558,1))</f>
        <v>2</v>
      </c>
      <c r="S1558" s="13" t="n">
        <f aca="false">IF(R1558="","",IF(Q1558="Y",1,IF(P1558&gt;='Read me'!$B$16,3,IF(AND(R1558&gt;='Read me'!$B$14,P1558&lt;='Read me'!$B$15),1,2))))</f>
        <v>2</v>
      </c>
    </row>
    <row r="1559" customFormat="false" ht="35.05" hidden="false" customHeight="false" outlineLevel="0" collapsed="false">
      <c r="A1559" s="11" t="s">
        <v>9480</v>
      </c>
      <c r="B1559" s="11" t="s">
        <v>46</v>
      </c>
      <c r="C1559" s="11" t="s">
        <v>352</v>
      </c>
      <c r="D1559" s="11" t="s">
        <v>353</v>
      </c>
      <c r="E1559" s="11" t="s">
        <v>1187</v>
      </c>
      <c r="F1559" s="11" t="s">
        <v>9463</v>
      </c>
      <c r="G1559" s="11" t="s">
        <v>9481</v>
      </c>
      <c r="H1559" s="11" t="s">
        <v>9482</v>
      </c>
      <c r="I1559" s="11" t="s">
        <v>512</v>
      </c>
      <c r="J1559" s="11" t="s">
        <v>9483</v>
      </c>
      <c r="K1559" s="11" t="s">
        <v>9484</v>
      </c>
      <c r="L1559" s="11" t="s">
        <v>9485</v>
      </c>
      <c r="M1559" s="11"/>
      <c r="N1559" s="14" t="n">
        <v>2</v>
      </c>
      <c r="O1559" s="14" t="n">
        <v>4</v>
      </c>
      <c r="P1559" s="14" t="n">
        <v>5</v>
      </c>
      <c r="Q1559" s="14"/>
      <c r="R1559" s="12" t="n">
        <f aca="false">IF(OR(N1559="",P1559=""),"",ROUND(N1559*O1559/P1559,1))</f>
        <v>1.6</v>
      </c>
      <c r="S1559" s="13" t="n">
        <f aca="false">IF(R1559="","",IF(Q1559="Y",1,IF(P1559&gt;='Read me'!$B$16,3,IF(AND(R1559&gt;='Read me'!$B$14,P1559&lt;='Read me'!$B$15),1,2))))</f>
        <v>3</v>
      </c>
    </row>
    <row r="1560" customFormat="false" ht="35.05" hidden="false" customHeight="false" outlineLevel="0" collapsed="false">
      <c r="A1560" s="11" t="s">
        <v>9486</v>
      </c>
      <c r="B1560" s="11" t="s">
        <v>46</v>
      </c>
      <c r="C1560" s="11" t="s">
        <v>352</v>
      </c>
      <c r="D1560" s="11" t="s">
        <v>353</v>
      </c>
      <c r="E1560" s="11" t="s">
        <v>1187</v>
      </c>
      <c r="F1560" s="11" t="s">
        <v>9487</v>
      </c>
      <c r="G1560" s="11"/>
      <c r="H1560" s="11" t="s">
        <v>9488</v>
      </c>
      <c r="I1560" s="11" t="s">
        <v>9489</v>
      </c>
      <c r="J1560" s="11" t="s">
        <v>9490</v>
      </c>
      <c r="K1560" s="11" t="s">
        <v>916</v>
      </c>
      <c r="L1560" s="11" t="s">
        <v>9491</v>
      </c>
      <c r="M1560" s="11"/>
      <c r="N1560" s="14" t="n">
        <v>1</v>
      </c>
      <c r="O1560" s="14" t="n">
        <v>4</v>
      </c>
      <c r="P1560" s="14" t="n">
        <v>5</v>
      </c>
      <c r="Q1560" s="14"/>
      <c r="R1560" s="12" t="n">
        <f aca="false">IF(OR(N1560="",P1560=""),"",ROUND(N1560*O1560/P1560,1))</f>
        <v>0.8</v>
      </c>
      <c r="S1560" s="13" t="n">
        <f aca="false">IF(R1560="","",IF(Q1560="Y",1,IF(P1560&gt;='Read me'!$B$16,3,IF(AND(R1560&gt;='Read me'!$B$14,P1560&lt;='Read me'!$B$15),1,2))))</f>
        <v>3</v>
      </c>
    </row>
    <row r="1561" customFormat="false" ht="35.05" hidden="false" customHeight="false" outlineLevel="0" collapsed="false">
      <c r="A1561" s="11" t="s">
        <v>9492</v>
      </c>
      <c r="B1561" s="11" t="s">
        <v>46</v>
      </c>
      <c r="C1561" s="11" t="s">
        <v>352</v>
      </c>
      <c r="D1561" s="11" t="s">
        <v>353</v>
      </c>
      <c r="E1561" s="11" t="s">
        <v>1187</v>
      </c>
      <c r="F1561" s="11" t="s">
        <v>9493</v>
      </c>
      <c r="G1561" s="11"/>
      <c r="H1561" s="11" t="s">
        <v>9494</v>
      </c>
      <c r="I1561" s="11" t="s">
        <v>9495</v>
      </c>
      <c r="J1561" s="11" t="s">
        <v>9496</v>
      </c>
      <c r="K1561" s="11" t="s">
        <v>675</v>
      </c>
      <c r="L1561" s="11" t="s">
        <v>9497</v>
      </c>
      <c r="M1561" s="11"/>
      <c r="N1561" s="14" t="n">
        <v>1</v>
      </c>
      <c r="O1561" s="14" t="n">
        <v>4</v>
      </c>
      <c r="P1561" s="14" t="n">
        <v>5</v>
      </c>
      <c r="Q1561" s="14"/>
      <c r="R1561" s="12" t="n">
        <f aca="false">IF(OR(N1561="",P1561=""),"",ROUND(N1561*O1561/P1561,1))</f>
        <v>0.8</v>
      </c>
      <c r="S1561" s="13" t="n">
        <f aca="false">IF(R1561="","",IF(Q1561="Y",1,IF(P1561&gt;='Read me'!$B$16,3,IF(AND(R1561&gt;='Read me'!$B$14,P1561&lt;='Read me'!$B$15),1,2))))</f>
        <v>3</v>
      </c>
    </row>
    <row r="1562" customFormat="false" ht="23.85" hidden="false" customHeight="false" outlineLevel="0" collapsed="false">
      <c r="A1562" s="11" t="s">
        <v>9498</v>
      </c>
      <c r="B1562" s="11" t="s">
        <v>46</v>
      </c>
      <c r="C1562" s="11" t="s">
        <v>352</v>
      </c>
      <c r="D1562" s="11" t="s">
        <v>353</v>
      </c>
      <c r="E1562" s="11" t="s">
        <v>1187</v>
      </c>
      <c r="F1562" s="11" t="s">
        <v>9392</v>
      </c>
      <c r="G1562" s="11"/>
      <c r="H1562" s="11" t="s">
        <v>612</v>
      </c>
      <c r="I1562" s="11" t="s">
        <v>9499</v>
      </c>
      <c r="J1562" s="11" t="s">
        <v>9500</v>
      </c>
      <c r="K1562" s="11" t="s">
        <v>935</v>
      </c>
      <c r="L1562" s="11" t="s">
        <v>9501</v>
      </c>
      <c r="M1562" s="11"/>
      <c r="N1562" s="14" t="n">
        <v>1</v>
      </c>
      <c r="O1562" s="14" t="n">
        <v>2</v>
      </c>
      <c r="P1562" s="14" t="n">
        <v>2</v>
      </c>
      <c r="Q1562" s="14"/>
      <c r="R1562" s="12" t="n">
        <f aca="false">IF(OR(N1562="",P1562=""),"",ROUND(N1562*O1562/P1562,1))</f>
        <v>1</v>
      </c>
      <c r="S1562" s="13" t="n">
        <f aca="false">IF(R1562="","",IF(Q1562="Y",1,IF(P1562&gt;='Read me'!$B$16,3,IF(AND(R1562&gt;='Read me'!$B$14,P1562&lt;='Read me'!$B$15),1,2))))</f>
        <v>2</v>
      </c>
    </row>
    <row r="1563" customFormat="false" ht="23.85" hidden="false" customHeight="false" outlineLevel="0" collapsed="false">
      <c r="A1563" s="11" t="s">
        <v>9502</v>
      </c>
      <c r="B1563" s="11" t="s">
        <v>46</v>
      </c>
      <c r="C1563" s="11" t="s">
        <v>357</v>
      </c>
      <c r="D1563" s="11" t="s">
        <v>358</v>
      </c>
      <c r="E1563" s="11" t="s">
        <v>476</v>
      </c>
      <c r="F1563" s="11" t="s">
        <v>9503</v>
      </c>
      <c r="G1563" s="11" t="s">
        <v>9504</v>
      </c>
      <c r="H1563" s="11"/>
      <c r="I1563" s="11" t="s">
        <v>9505</v>
      </c>
      <c r="J1563" s="11" t="s">
        <v>9506</v>
      </c>
      <c r="K1563" s="11" t="s">
        <v>9507</v>
      </c>
      <c r="L1563" s="11" t="s">
        <v>9508</v>
      </c>
      <c r="M1563" s="11" t="s">
        <v>9509</v>
      </c>
      <c r="N1563" s="14" t="n">
        <v>3</v>
      </c>
      <c r="O1563" s="14" t="n">
        <v>3</v>
      </c>
      <c r="P1563" s="14" t="n">
        <v>3</v>
      </c>
      <c r="Q1563" s="14"/>
      <c r="R1563" s="12" t="n">
        <f aca="false">IF(OR(N1563="",P1563=""),"",ROUND(N1563*O1563/P1563,1))</f>
        <v>3</v>
      </c>
      <c r="S1563" s="13" t="n">
        <f aca="false">IF(R1563="","",IF(Q1563="Y",1,IF(P1563&gt;='Read me'!$B$16,3,IF(AND(R1563&gt;='Read me'!$B$14,P1563&lt;='Read me'!$B$15),1,2))))</f>
        <v>2</v>
      </c>
    </row>
    <row r="1564" customFormat="false" ht="23.85" hidden="false" customHeight="false" outlineLevel="0" collapsed="false">
      <c r="A1564" s="11" t="s">
        <v>9510</v>
      </c>
      <c r="B1564" s="11" t="s">
        <v>46</v>
      </c>
      <c r="C1564" s="11" t="s">
        <v>357</v>
      </c>
      <c r="D1564" s="11" t="s">
        <v>358</v>
      </c>
      <c r="E1564" s="11" t="s">
        <v>532</v>
      </c>
      <c r="F1564" s="11" t="s">
        <v>9511</v>
      </c>
      <c r="G1564" s="11" t="s">
        <v>8630</v>
      </c>
      <c r="H1564" s="11"/>
      <c r="I1564" s="11" t="s">
        <v>9512</v>
      </c>
      <c r="J1564" s="11" t="s">
        <v>9513</v>
      </c>
      <c r="K1564" s="11" t="s">
        <v>9514</v>
      </c>
      <c r="L1564" s="11" t="s">
        <v>9515</v>
      </c>
      <c r="M1564" s="11" t="s">
        <v>9516</v>
      </c>
      <c r="N1564" s="14" t="n">
        <v>2</v>
      </c>
      <c r="O1564" s="14" t="n">
        <v>3</v>
      </c>
      <c r="P1564" s="14" t="n">
        <v>4</v>
      </c>
      <c r="Q1564" s="14"/>
      <c r="R1564" s="12" t="n">
        <f aca="false">IF(OR(N1564="",P1564=""),"",ROUND(N1564*O1564/P1564,1))</f>
        <v>1.5</v>
      </c>
      <c r="S1564" s="13" t="n">
        <f aca="false">IF(R1564="","",IF(Q1564="Y",1,IF(P1564&gt;='Read me'!$B$16,3,IF(AND(R1564&gt;='Read me'!$B$14,P1564&lt;='Read me'!$B$15),1,2))))</f>
        <v>3</v>
      </c>
    </row>
    <row r="1565" customFormat="false" ht="23.85" hidden="false" customHeight="false" outlineLevel="0" collapsed="false">
      <c r="A1565" s="11" t="s">
        <v>9517</v>
      </c>
      <c r="B1565" s="11" t="s">
        <v>46</v>
      </c>
      <c r="C1565" s="11" t="s">
        <v>357</v>
      </c>
      <c r="D1565" s="11" t="s">
        <v>358</v>
      </c>
      <c r="E1565" s="11" t="s">
        <v>751</v>
      </c>
      <c r="F1565" s="11" t="s">
        <v>9518</v>
      </c>
      <c r="G1565" s="11" t="s">
        <v>9519</v>
      </c>
      <c r="H1565" s="11"/>
      <c r="I1565" s="11" t="s">
        <v>9520</v>
      </c>
      <c r="J1565" s="11" t="s">
        <v>9521</v>
      </c>
      <c r="K1565" s="11" t="s">
        <v>9522</v>
      </c>
      <c r="L1565" s="11" t="s">
        <v>9523</v>
      </c>
      <c r="M1565" s="11" t="s">
        <v>1577</v>
      </c>
      <c r="N1565" s="14" t="n">
        <v>3</v>
      </c>
      <c r="O1565" s="14" t="n">
        <v>3</v>
      </c>
      <c r="P1565" s="14" t="n">
        <v>3</v>
      </c>
      <c r="Q1565" s="14"/>
      <c r="R1565" s="12" t="n">
        <f aca="false">IF(OR(N1565="",P1565=""),"",ROUND(N1565*O1565/P1565,1))</f>
        <v>3</v>
      </c>
      <c r="S1565" s="13" t="n">
        <f aca="false">IF(R1565="","",IF(Q1565="Y",1,IF(P1565&gt;='Read me'!$B$16,3,IF(AND(R1565&gt;='Read me'!$B$14,P1565&lt;='Read me'!$B$15),1,2))))</f>
        <v>2</v>
      </c>
    </row>
    <row r="1566" customFormat="false" ht="23.85" hidden="false" customHeight="false" outlineLevel="0" collapsed="false">
      <c r="A1566" s="11" t="s">
        <v>9524</v>
      </c>
      <c r="B1566" s="11" t="s">
        <v>46</v>
      </c>
      <c r="C1566" s="11" t="s">
        <v>357</v>
      </c>
      <c r="D1566" s="11" t="s">
        <v>358</v>
      </c>
      <c r="E1566" s="11" t="s">
        <v>751</v>
      </c>
      <c r="F1566" s="11" t="s">
        <v>9518</v>
      </c>
      <c r="G1566" s="11"/>
      <c r="H1566" s="11" t="s">
        <v>9525</v>
      </c>
      <c r="I1566" s="11" t="s">
        <v>9526</v>
      </c>
      <c r="J1566" s="11" t="s">
        <v>9527</v>
      </c>
      <c r="K1566" s="11" t="s">
        <v>9528</v>
      </c>
      <c r="L1566" s="11" t="s">
        <v>9529</v>
      </c>
      <c r="M1566" s="11"/>
      <c r="N1566" s="14" t="n">
        <v>2</v>
      </c>
      <c r="O1566" s="14" t="n">
        <v>3</v>
      </c>
      <c r="P1566" s="14" t="n">
        <v>3</v>
      </c>
      <c r="Q1566" s="14"/>
      <c r="R1566" s="12" t="n">
        <f aca="false">IF(OR(N1566="",P1566=""),"",ROUND(N1566*O1566/P1566,1))</f>
        <v>2</v>
      </c>
      <c r="S1566" s="13" t="n">
        <f aca="false">IF(R1566="","",IF(Q1566="Y",1,IF(P1566&gt;='Read me'!$B$16,3,IF(AND(R1566&gt;='Read me'!$B$14,P1566&lt;='Read me'!$B$15),1,2))))</f>
        <v>2</v>
      </c>
    </row>
    <row r="1567" customFormat="false" ht="23.85" hidden="false" customHeight="false" outlineLevel="0" collapsed="false">
      <c r="A1567" s="11" t="s">
        <v>9530</v>
      </c>
      <c r="B1567" s="11" t="s">
        <v>46</v>
      </c>
      <c r="C1567" s="11" t="s">
        <v>357</v>
      </c>
      <c r="D1567" s="11" t="s">
        <v>358</v>
      </c>
      <c r="E1567" s="11" t="s">
        <v>751</v>
      </c>
      <c r="F1567" s="11" t="s">
        <v>9531</v>
      </c>
      <c r="G1567" s="11" t="s">
        <v>2253</v>
      </c>
      <c r="H1567" s="11"/>
      <c r="I1567" s="11" t="s">
        <v>9532</v>
      </c>
      <c r="J1567" s="11" t="s">
        <v>9533</v>
      </c>
      <c r="K1567" s="11" t="s">
        <v>1262</v>
      </c>
      <c r="L1567" s="11" t="s">
        <v>1410</v>
      </c>
      <c r="M1567" s="11"/>
      <c r="N1567" s="14" t="n">
        <v>1</v>
      </c>
      <c r="O1567" s="14" t="n">
        <v>2</v>
      </c>
      <c r="P1567" s="14" t="n">
        <v>2</v>
      </c>
      <c r="Q1567" s="14"/>
      <c r="R1567" s="12" t="n">
        <f aca="false">IF(OR(N1567="",P1567=""),"",ROUND(N1567*O1567/P1567,1))</f>
        <v>1</v>
      </c>
      <c r="S1567" s="13" t="n">
        <f aca="false">IF(R1567="","",IF(Q1567="Y",1,IF(P1567&gt;='Read me'!$B$16,3,IF(AND(R1567&gt;='Read me'!$B$14,P1567&lt;='Read me'!$B$15),1,2))))</f>
        <v>2</v>
      </c>
    </row>
    <row r="1568" customFormat="false" ht="23.85" hidden="false" customHeight="false" outlineLevel="0" collapsed="false">
      <c r="A1568" s="11" t="s">
        <v>9534</v>
      </c>
      <c r="B1568" s="11" t="s">
        <v>46</v>
      </c>
      <c r="C1568" s="11" t="s">
        <v>357</v>
      </c>
      <c r="D1568" s="11" t="s">
        <v>358</v>
      </c>
      <c r="E1568" s="11" t="s">
        <v>751</v>
      </c>
      <c r="F1568" s="11" t="s">
        <v>9535</v>
      </c>
      <c r="G1568" s="11" t="s">
        <v>9536</v>
      </c>
      <c r="H1568" s="11"/>
      <c r="I1568" s="11" t="s">
        <v>9537</v>
      </c>
      <c r="J1568" s="11" t="s">
        <v>9538</v>
      </c>
      <c r="K1568" s="11" t="s">
        <v>9539</v>
      </c>
      <c r="L1568" s="11" t="s">
        <v>9540</v>
      </c>
      <c r="M1568" s="11" t="s">
        <v>9541</v>
      </c>
      <c r="N1568" s="14" t="n">
        <v>2</v>
      </c>
      <c r="O1568" s="14" t="n">
        <v>3</v>
      </c>
      <c r="P1568" s="14" t="n">
        <v>3</v>
      </c>
      <c r="Q1568" s="14"/>
      <c r="R1568" s="12" t="n">
        <f aca="false">IF(OR(N1568="",P1568=""),"",ROUND(N1568*O1568/P1568,1))</f>
        <v>2</v>
      </c>
      <c r="S1568" s="13" t="n">
        <f aca="false">IF(R1568="","",IF(Q1568="Y",1,IF(P1568&gt;='Read me'!$B$16,3,IF(AND(R1568&gt;='Read me'!$B$14,P1568&lt;='Read me'!$B$15),1,2))))</f>
        <v>2</v>
      </c>
    </row>
    <row r="1569" customFormat="false" ht="35.05" hidden="false" customHeight="false" outlineLevel="0" collapsed="false">
      <c r="A1569" s="11" t="s">
        <v>9542</v>
      </c>
      <c r="B1569" s="11" t="s">
        <v>46</v>
      </c>
      <c r="C1569" s="11" t="s">
        <v>357</v>
      </c>
      <c r="D1569" s="11" t="s">
        <v>358</v>
      </c>
      <c r="E1569" s="11" t="s">
        <v>765</v>
      </c>
      <c r="F1569" s="11" t="s">
        <v>9543</v>
      </c>
      <c r="G1569" s="11" t="s">
        <v>2160</v>
      </c>
      <c r="H1569" s="11"/>
      <c r="I1569" s="11" t="s">
        <v>512</v>
      </c>
      <c r="J1569" s="11" t="s">
        <v>9544</v>
      </c>
      <c r="K1569" s="11" t="s">
        <v>9545</v>
      </c>
      <c r="L1569" s="11" t="s">
        <v>9546</v>
      </c>
      <c r="M1569" s="11"/>
      <c r="N1569" s="14" t="n">
        <v>3</v>
      </c>
      <c r="O1569" s="14" t="n">
        <v>3</v>
      </c>
      <c r="P1569" s="14" t="n">
        <v>2</v>
      </c>
      <c r="Q1569" s="14"/>
      <c r="R1569" s="12" t="n">
        <f aca="false">IF(OR(N1569="",P1569=""),"",ROUND(N1569*O1569/P1569,1))</f>
        <v>4.5</v>
      </c>
      <c r="S1569" s="13" t="n">
        <f aca="false">IF(R1569="","",IF(Q1569="Y",1,IF(P1569&gt;='Read me'!$B$16,3,IF(AND(R1569&gt;='Read me'!$B$14,P1569&lt;='Read me'!$B$15),1,2))))</f>
        <v>2</v>
      </c>
    </row>
    <row r="1570" customFormat="false" ht="15" hidden="false" customHeight="false" outlineLevel="0" collapsed="false">
      <c r="A1570" s="11" t="s">
        <v>9547</v>
      </c>
      <c r="B1570" s="11" t="s">
        <v>46</v>
      </c>
      <c r="C1570" s="11" t="s">
        <v>357</v>
      </c>
      <c r="D1570" s="11" t="s">
        <v>358</v>
      </c>
      <c r="E1570" s="11" t="s">
        <v>765</v>
      </c>
      <c r="F1570" s="11" t="s">
        <v>9548</v>
      </c>
      <c r="G1570" s="11" t="s">
        <v>9549</v>
      </c>
      <c r="H1570" s="11"/>
      <c r="I1570" s="11" t="s">
        <v>9550</v>
      </c>
      <c r="J1570" s="11" t="s">
        <v>9551</v>
      </c>
      <c r="K1570" s="11" t="s">
        <v>9552</v>
      </c>
      <c r="L1570" s="11" t="s">
        <v>9553</v>
      </c>
      <c r="M1570" s="11"/>
      <c r="N1570" s="14" t="n">
        <v>2</v>
      </c>
      <c r="O1570" s="14" t="n">
        <v>2</v>
      </c>
      <c r="P1570" s="14" t="n">
        <v>1</v>
      </c>
      <c r="Q1570" s="14"/>
      <c r="R1570" s="12" t="n">
        <f aca="false">IF(OR(N1570="",P1570=""),"",ROUND(N1570*O1570/P1570,1))</f>
        <v>4</v>
      </c>
      <c r="S1570" s="13" t="n">
        <f aca="false">IF(R1570="","",IF(Q1570="Y",1,IF(P1570&gt;='Read me'!$B$16,3,IF(AND(R1570&gt;='Read me'!$B$14,P1570&lt;='Read me'!$B$15),1,2))))</f>
        <v>2</v>
      </c>
    </row>
    <row r="1571" customFormat="false" ht="15" hidden="false" customHeight="false" outlineLevel="0" collapsed="false">
      <c r="A1571" s="11" t="s">
        <v>9554</v>
      </c>
      <c r="B1571" s="11" t="s">
        <v>46</v>
      </c>
      <c r="C1571" s="11" t="s">
        <v>357</v>
      </c>
      <c r="D1571" s="11" t="s">
        <v>358</v>
      </c>
      <c r="E1571" s="11" t="s">
        <v>1081</v>
      </c>
      <c r="F1571" s="11" t="s">
        <v>9555</v>
      </c>
      <c r="G1571" s="11" t="s">
        <v>3515</v>
      </c>
      <c r="H1571" s="11"/>
      <c r="I1571" s="11" t="s">
        <v>9556</v>
      </c>
      <c r="J1571" s="11" t="s">
        <v>9557</v>
      </c>
      <c r="K1571" s="11" t="s">
        <v>4599</v>
      </c>
      <c r="L1571" s="11" t="s">
        <v>9558</v>
      </c>
      <c r="M1571" s="11"/>
      <c r="N1571" s="14" t="n">
        <v>3</v>
      </c>
      <c r="O1571" s="14" t="n">
        <v>2</v>
      </c>
      <c r="P1571" s="14" t="n">
        <v>1</v>
      </c>
      <c r="Q1571" s="14"/>
      <c r="R1571" s="12" t="n">
        <f aca="false">IF(OR(N1571="",P1571=""),"",ROUND(N1571*O1571/P1571,1))</f>
        <v>6</v>
      </c>
      <c r="S1571" s="13" t="n">
        <f aca="false">IF(R1571="","",IF(Q1571="Y",1,IF(P1571&gt;='Read me'!$B$16,3,IF(AND(R1571&gt;='Read me'!$B$14,P1571&lt;='Read me'!$B$15),1,2))))</f>
        <v>1</v>
      </c>
    </row>
    <row r="1572" customFormat="false" ht="35.05" hidden="false" customHeight="false" outlineLevel="0" collapsed="false">
      <c r="A1572" s="11" t="s">
        <v>9559</v>
      </c>
      <c r="B1572" s="11" t="s">
        <v>46</v>
      </c>
      <c r="C1572" s="11" t="s">
        <v>357</v>
      </c>
      <c r="D1572" s="11" t="s">
        <v>358</v>
      </c>
      <c r="E1572" s="11" t="s">
        <v>1081</v>
      </c>
      <c r="F1572" s="11" t="s">
        <v>9560</v>
      </c>
      <c r="G1572" s="11" t="s">
        <v>9561</v>
      </c>
      <c r="H1572" s="11"/>
      <c r="I1572" s="11" t="s">
        <v>9562</v>
      </c>
      <c r="J1572" s="11" t="s">
        <v>9563</v>
      </c>
      <c r="K1572" s="11" t="s">
        <v>890</v>
      </c>
      <c r="L1572" s="11" t="s">
        <v>1062</v>
      </c>
      <c r="M1572" s="11"/>
      <c r="N1572" s="14" t="n">
        <v>3</v>
      </c>
      <c r="O1572" s="14" t="n">
        <v>3</v>
      </c>
      <c r="P1572" s="14" t="n">
        <v>2</v>
      </c>
      <c r="Q1572" s="14"/>
      <c r="R1572" s="12" t="n">
        <f aca="false">IF(OR(N1572="",P1572=""),"",ROUND(N1572*O1572/P1572,1))</f>
        <v>4.5</v>
      </c>
      <c r="S1572" s="13" t="n">
        <f aca="false">IF(R1572="","",IF(Q1572="Y",1,IF(P1572&gt;='Read me'!$B$16,3,IF(AND(R1572&gt;='Read me'!$B$14,P1572&lt;='Read me'!$B$15),1,2))))</f>
        <v>2</v>
      </c>
    </row>
    <row r="1573" customFormat="false" ht="23.85" hidden="false" customHeight="false" outlineLevel="0" collapsed="false">
      <c r="A1573" s="11" t="s">
        <v>9564</v>
      </c>
      <c r="B1573" s="11" t="s">
        <v>46</v>
      </c>
      <c r="C1573" s="11" t="s">
        <v>357</v>
      </c>
      <c r="D1573" s="11" t="s">
        <v>358</v>
      </c>
      <c r="E1573" s="11" t="s">
        <v>1081</v>
      </c>
      <c r="F1573" s="11" t="s">
        <v>9565</v>
      </c>
      <c r="G1573" s="11" t="s">
        <v>3515</v>
      </c>
      <c r="H1573" s="11"/>
      <c r="I1573" s="11" t="s">
        <v>9566</v>
      </c>
      <c r="J1573" s="11" t="s">
        <v>9567</v>
      </c>
      <c r="K1573" s="11" t="s">
        <v>890</v>
      </c>
      <c r="L1573" s="11" t="s">
        <v>9568</v>
      </c>
      <c r="M1573" s="11"/>
      <c r="N1573" s="14" t="n">
        <v>2</v>
      </c>
      <c r="O1573" s="14" t="n">
        <v>2</v>
      </c>
      <c r="P1573" s="14" t="n">
        <v>2</v>
      </c>
      <c r="Q1573" s="14"/>
      <c r="R1573" s="12" t="n">
        <f aca="false">IF(OR(N1573="",P1573=""),"",ROUND(N1573*O1573/P1573,1))</f>
        <v>2</v>
      </c>
      <c r="S1573" s="13" t="n">
        <f aca="false">IF(R1573="","",IF(Q1573="Y",1,IF(P1573&gt;='Read me'!$B$16,3,IF(AND(R1573&gt;='Read me'!$B$14,P1573&lt;='Read me'!$B$15),1,2))))</f>
        <v>2</v>
      </c>
    </row>
    <row r="1574" customFormat="false" ht="23.85" hidden="false" customHeight="false" outlineLevel="0" collapsed="false">
      <c r="A1574" s="11" t="s">
        <v>9569</v>
      </c>
      <c r="B1574" s="11" t="s">
        <v>46</v>
      </c>
      <c r="C1574" s="11" t="s">
        <v>357</v>
      </c>
      <c r="D1574" s="11" t="s">
        <v>358</v>
      </c>
      <c r="E1574" s="11" t="s">
        <v>1187</v>
      </c>
      <c r="F1574" s="11" t="s">
        <v>9570</v>
      </c>
      <c r="G1574" s="11" t="s">
        <v>3515</v>
      </c>
      <c r="H1574" s="11" t="s">
        <v>9571</v>
      </c>
      <c r="I1574" s="11" t="s">
        <v>9572</v>
      </c>
      <c r="J1574" s="11" t="s">
        <v>9573</v>
      </c>
      <c r="K1574" s="11" t="s">
        <v>675</v>
      </c>
      <c r="L1574" s="11" t="s">
        <v>9574</v>
      </c>
      <c r="M1574" s="11"/>
      <c r="N1574" s="14" t="n">
        <v>2</v>
      </c>
      <c r="O1574" s="14" t="n">
        <v>4</v>
      </c>
      <c r="P1574" s="14" t="n">
        <v>4</v>
      </c>
      <c r="Q1574" s="14"/>
      <c r="R1574" s="12" t="n">
        <f aca="false">IF(OR(N1574="",P1574=""),"",ROUND(N1574*O1574/P1574,1))</f>
        <v>2</v>
      </c>
      <c r="S1574" s="13" t="n">
        <f aca="false">IF(R1574="","",IF(Q1574="Y",1,IF(P1574&gt;='Read me'!$B$16,3,IF(AND(R1574&gt;='Read me'!$B$14,P1574&lt;='Read me'!$B$15),1,2))))</f>
        <v>3</v>
      </c>
    </row>
    <row r="1575" customFormat="false" ht="35.05" hidden="false" customHeight="false" outlineLevel="0" collapsed="false">
      <c r="A1575" s="11" t="s">
        <v>9575</v>
      </c>
      <c r="B1575" s="11" t="s">
        <v>46</v>
      </c>
      <c r="C1575" s="11" t="s">
        <v>357</v>
      </c>
      <c r="D1575" s="11" t="s">
        <v>358</v>
      </c>
      <c r="E1575" s="11" t="s">
        <v>1187</v>
      </c>
      <c r="F1575" s="11" t="s">
        <v>9576</v>
      </c>
      <c r="G1575" s="11" t="s">
        <v>3515</v>
      </c>
      <c r="H1575" s="11" t="s">
        <v>9577</v>
      </c>
      <c r="I1575" s="11" t="s">
        <v>9578</v>
      </c>
      <c r="J1575" s="11" t="s">
        <v>9579</v>
      </c>
      <c r="K1575" s="11" t="s">
        <v>675</v>
      </c>
      <c r="L1575" s="11" t="s">
        <v>9580</v>
      </c>
      <c r="M1575" s="11"/>
      <c r="N1575" s="14" t="n">
        <v>1</v>
      </c>
      <c r="O1575" s="14" t="n">
        <v>4</v>
      </c>
      <c r="P1575" s="14" t="n">
        <v>5</v>
      </c>
      <c r="Q1575" s="14"/>
      <c r="R1575" s="12" t="n">
        <f aca="false">IF(OR(N1575="",P1575=""),"",ROUND(N1575*O1575/P1575,1))</f>
        <v>0.8</v>
      </c>
      <c r="S1575" s="13" t="n">
        <f aca="false">IF(R1575="","",IF(Q1575="Y",1,IF(P1575&gt;='Read me'!$B$16,3,IF(AND(R1575&gt;='Read me'!$B$14,P1575&lt;='Read me'!$B$15),1,2))))</f>
        <v>3</v>
      </c>
    </row>
    <row r="1576" customFormat="false" ht="23.85" hidden="false" customHeight="false" outlineLevel="0" collapsed="false">
      <c r="A1576" s="11" t="s">
        <v>9581</v>
      </c>
      <c r="B1576" s="11" t="s">
        <v>46</v>
      </c>
      <c r="C1576" s="11" t="s">
        <v>357</v>
      </c>
      <c r="D1576" s="11" t="s">
        <v>358</v>
      </c>
      <c r="E1576" s="11" t="s">
        <v>1187</v>
      </c>
      <c r="F1576" s="11" t="s">
        <v>9582</v>
      </c>
      <c r="G1576" s="11"/>
      <c r="H1576" s="11" t="s">
        <v>5469</v>
      </c>
      <c r="I1576" s="11" t="s">
        <v>9583</v>
      </c>
      <c r="J1576" s="11" t="s">
        <v>9584</v>
      </c>
      <c r="K1576" s="11" t="s">
        <v>1417</v>
      </c>
      <c r="L1576" s="11" t="s">
        <v>9585</v>
      </c>
      <c r="M1576" s="11" t="s">
        <v>8201</v>
      </c>
      <c r="N1576" s="14" t="n">
        <v>1</v>
      </c>
      <c r="O1576" s="14" t="n">
        <v>4</v>
      </c>
      <c r="P1576" s="14" t="n">
        <v>5</v>
      </c>
      <c r="Q1576" s="14"/>
      <c r="R1576" s="12" t="n">
        <f aca="false">IF(OR(N1576="",P1576=""),"",ROUND(N1576*O1576/P1576,1))</f>
        <v>0.8</v>
      </c>
      <c r="S1576" s="13" t="n">
        <f aca="false">IF(R1576="","",IF(Q1576="Y",1,IF(P1576&gt;='Read me'!$B$16,3,IF(AND(R1576&gt;='Read me'!$B$14,P1576&lt;='Read me'!$B$15),1,2))))</f>
        <v>3</v>
      </c>
    </row>
    <row r="1577" customFormat="false" ht="23.85" hidden="false" customHeight="false" outlineLevel="0" collapsed="false">
      <c r="A1577" s="11" t="s">
        <v>9586</v>
      </c>
      <c r="B1577" s="11" t="s">
        <v>46</v>
      </c>
      <c r="C1577" s="11" t="s">
        <v>357</v>
      </c>
      <c r="D1577" s="11" t="s">
        <v>358</v>
      </c>
      <c r="E1577" s="11" t="s">
        <v>1187</v>
      </c>
      <c r="F1577" s="11" t="s">
        <v>9587</v>
      </c>
      <c r="G1577" s="11"/>
      <c r="H1577" s="11" t="s">
        <v>9588</v>
      </c>
      <c r="I1577" s="11" t="s">
        <v>9589</v>
      </c>
      <c r="J1577" s="11" t="s">
        <v>9590</v>
      </c>
      <c r="K1577" s="11" t="s">
        <v>9591</v>
      </c>
      <c r="L1577" s="11" t="s">
        <v>9592</v>
      </c>
      <c r="M1577" s="11"/>
      <c r="N1577" s="14" t="n">
        <v>1</v>
      </c>
      <c r="O1577" s="14" t="n">
        <v>2</v>
      </c>
      <c r="P1577" s="14" t="n">
        <v>2</v>
      </c>
      <c r="Q1577" s="14"/>
      <c r="R1577" s="12" t="n">
        <f aca="false">IF(OR(N1577="",P1577=""),"",ROUND(N1577*O1577/P1577,1))</f>
        <v>1</v>
      </c>
      <c r="S1577" s="13" t="n">
        <f aca="false">IF(R1577="","",IF(Q1577="Y",1,IF(P1577&gt;='Read me'!$B$16,3,IF(AND(R1577&gt;='Read me'!$B$14,P1577&lt;='Read me'!$B$15),1,2))))</f>
        <v>2</v>
      </c>
    </row>
    <row r="1578" customFormat="false" ht="23.85" hidden="false" customHeight="false" outlineLevel="0" collapsed="false">
      <c r="A1578" s="11" t="s">
        <v>9593</v>
      </c>
      <c r="B1578" s="11" t="s">
        <v>46</v>
      </c>
      <c r="C1578" s="11" t="s">
        <v>357</v>
      </c>
      <c r="D1578" s="11" t="s">
        <v>358</v>
      </c>
      <c r="E1578" s="11" t="s">
        <v>1133</v>
      </c>
      <c r="F1578" s="11" t="s">
        <v>9594</v>
      </c>
      <c r="G1578" s="11" t="s">
        <v>9595</v>
      </c>
      <c r="H1578" s="11"/>
      <c r="I1578" s="11" t="s">
        <v>9596</v>
      </c>
      <c r="J1578" s="11" t="s">
        <v>9597</v>
      </c>
      <c r="K1578" s="11" t="s">
        <v>9598</v>
      </c>
      <c r="L1578" s="11" t="s">
        <v>9599</v>
      </c>
      <c r="M1578" s="11"/>
      <c r="N1578" s="14" t="n">
        <v>2</v>
      </c>
      <c r="O1578" s="14" t="n">
        <v>2</v>
      </c>
      <c r="P1578" s="14" t="n">
        <v>2</v>
      </c>
      <c r="Q1578" s="14"/>
      <c r="R1578" s="12" t="n">
        <f aca="false">IF(OR(N1578="",P1578=""),"",ROUND(N1578*O1578/P1578,1))</f>
        <v>2</v>
      </c>
      <c r="S1578" s="13" t="n">
        <f aca="false">IF(R1578="","",IF(Q1578="Y",1,IF(P1578&gt;='Read me'!$B$16,3,IF(AND(R1578&gt;='Read me'!$B$14,P1578&lt;='Read me'!$B$15),1,2))))</f>
        <v>2</v>
      </c>
    </row>
    <row r="1579" customFormat="false" ht="23.85" hidden="false" customHeight="false" outlineLevel="0" collapsed="false">
      <c r="A1579" s="11" t="s">
        <v>9600</v>
      </c>
      <c r="B1579" s="11" t="s">
        <v>46</v>
      </c>
      <c r="C1579" s="11" t="s">
        <v>357</v>
      </c>
      <c r="D1579" s="11" t="s">
        <v>358</v>
      </c>
      <c r="E1579" s="11" t="s">
        <v>1133</v>
      </c>
      <c r="F1579" s="11" t="s">
        <v>9601</v>
      </c>
      <c r="G1579" s="11" t="s">
        <v>9602</v>
      </c>
      <c r="H1579" s="11"/>
      <c r="I1579" s="11" t="s">
        <v>9603</v>
      </c>
      <c r="J1579" s="11" t="s">
        <v>9604</v>
      </c>
      <c r="K1579" s="11" t="s">
        <v>9605</v>
      </c>
      <c r="L1579" s="11" t="s">
        <v>9606</v>
      </c>
      <c r="M1579" s="11"/>
      <c r="N1579" s="14" t="n">
        <v>1</v>
      </c>
      <c r="O1579" s="14" t="n">
        <v>2</v>
      </c>
      <c r="P1579" s="14" t="n">
        <v>2</v>
      </c>
      <c r="Q1579" s="14"/>
      <c r="R1579" s="12" t="n">
        <f aca="false">IF(OR(N1579="",P1579=""),"",ROUND(N1579*O1579/P1579,1))</f>
        <v>1</v>
      </c>
      <c r="S1579" s="13" t="n">
        <f aca="false">IF(R1579="","",IF(Q1579="Y",1,IF(P1579&gt;='Read me'!$B$16,3,IF(AND(R1579&gt;='Read me'!$B$14,P1579&lt;='Read me'!$B$15),1,2))))</f>
        <v>2</v>
      </c>
    </row>
    <row r="1580" customFormat="false" ht="23.85" hidden="false" customHeight="false" outlineLevel="0" collapsed="false">
      <c r="A1580" s="11" t="s">
        <v>9607</v>
      </c>
      <c r="B1580" s="11" t="s">
        <v>46</v>
      </c>
      <c r="C1580" s="11" t="s">
        <v>360</v>
      </c>
      <c r="D1580" s="11" t="s">
        <v>361</v>
      </c>
      <c r="E1580" s="11" t="s">
        <v>476</v>
      </c>
      <c r="F1580" s="11" t="s">
        <v>9608</v>
      </c>
      <c r="G1580" s="11" t="s">
        <v>887</v>
      </c>
      <c r="H1580" s="11"/>
      <c r="I1580" s="11" t="s">
        <v>9609</v>
      </c>
      <c r="J1580" s="11" t="s">
        <v>9610</v>
      </c>
      <c r="K1580" s="11" t="s">
        <v>1061</v>
      </c>
      <c r="L1580" s="11" t="s">
        <v>9611</v>
      </c>
      <c r="M1580" s="11"/>
      <c r="N1580" s="14" t="n">
        <v>4</v>
      </c>
      <c r="O1580" s="14" t="n">
        <v>4</v>
      </c>
      <c r="P1580" s="14" t="n">
        <v>4</v>
      </c>
      <c r="Q1580" s="14"/>
      <c r="R1580" s="12" t="n">
        <f aca="false">IF(OR(N1580="",P1580=""),"",ROUND(N1580*O1580/P1580,1))</f>
        <v>4</v>
      </c>
      <c r="S1580" s="13" t="n">
        <f aca="false">IF(R1580="","",IF(Q1580="Y",1,IF(P1580&gt;='Read me'!$B$16,3,IF(AND(R1580&gt;='Read me'!$B$14,P1580&lt;='Read me'!$B$15),1,2))))</f>
        <v>3</v>
      </c>
    </row>
    <row r="1581" customFormat="false" ht="68.65" hidden="false" customHeight="false" outlineLevel="0" collapsed="false">
      <c r="A1581" s="11" t="s">
        <v>9612</v>
      </c>
      <c r="B1581" s="11" t="s">
        <v>46</v>
      </c>
      <c r="C1581" s="11" t="s">
        <v>360</v>
      </c>
      <c r="D1581" s="11" t="s">
        <v>361</v>
      </c>
      <c r="E1581" s="11" t="s">
        <v>532</v>
      </c>
      <c r="F1581" s="11" t="s">
        <v>9613</v>
      </c>
      <c r="G1581" s="11" t="s">
        <v>9614</v>
      </c>
      <c r="H1581" s="11"/>
      <c r="I1581" s="11" t="s">
        <v>9615</v>
      </c>
      <c r="J1581" s="11" t="s">
        <v>9616</v>
      </c>
      <c r="K1581" s="11" t="s">
        <v>9617</v>
      </c>
      <c r="L1581" s="11" t="s">
        <v>9618</v>
      </c>
      <c r="M1581" s="11" t="s">
        <v>9619</v>
      </c>
      <c r="N1581" s="14" t="n">
        <v>3</v>
      </c>
      <c r="O1581" s="14" t="n">
        <v>4</v>
      </c>
      <c r="P1581" s="14" t="n">
        <v>4</v>
      </c>
      <c r="Q1581" s="14"/>
      <c r="R1581" s="12" t="n">
        <f aca="false">IF(OR(N1581="",P1581=""),"",ROUND(N1581*O1581/P1581,1))</f>
        <v>3</v>
      </c>
      <c r="S1581" s="13" t="n">
        <f aca="false">IF(R1581="","",IF(Q1581="Y",1,IF(P1581&gt;='Read me'!$B$16,3,IF(AND(R1581&gt;='Read me'!$B$14,P1581&lt;='Read me'!$B$15),1,2))))</f>
        <v>3</v>
      </c>
    </row>
    <row r="1582" customFormat="false" ht="68.65" hidden="false" customHeight="false" outlineLevel="0" collapsed="false">
      <c r="A1582" s="11" t="s">
        <v>9620</v>
      </c>
      <c r="B1582" s="11" t="s">
        <v>46</v>
      </c>
      <c r="C1582" s="11" t="s">
        <v>360</v>
      </c>
      <c r="D1582" s="11" t="s">
        <v>361</v>
      </c>
      <c r="E1582" s="11" t="s">
        <v>532</v>
      </c>
      <c r="F1582" s="11" t="s">
        <v>9613</v>
      </c>
      <c r="G1582" s="11" t="s">
        <v>9621</v>
      </c>
      <c r="H1582" s="11"/>
      <c r="I1582" s="11" t="s">
        <v>9622</v>
      </c>
      <c r="J1582" s="11" t="s">
        <v>9623</v>
      </c>
      <c r="K1582" s="11" t="s">
        <v>9624</v>
      </c>
      <c r="L1582" s="11" t="s">
        <v>9625</v>
      </c>
      <c r="M1582" s="11" t="s">
        <v>9619</v>
      </c>
      <c r="N1582" s="14" t="n">
        <v>2</v>
      </c>
      <c r="O1582" s="14" t="n">
        <v>4</v>
      </c>
      <c r="P1582" s="14" t="n">
        <v>3</v>
      </c>
      <c r="Q1582" s="14"/>
      <c r="R1582" s="12" t="n">
        <f aca="false">IF(OR(N1582="",P1582=""),"",ROUND(N1582*O1582/P1582,1))</f>
        <v>2.7</v>
      </c>
      <c r="S1582" s="13" t="n">
        <f aca="false">IF(R1582="","",IF(Q1582="Y",1,IF(P1582&gt;='Read me'!$B$16,3,IF(AND(R1582&gt;='Read me'!$B$14,P1582&lt;='Read me'!$B$15),1,2))))</f>
        <v>2</v>
      </c>
    </row>
    <row r="1583" customFormat="false" ht="23.85" hidden="false" customHeight="false" outlineLevel="0" collapsed="false">
      <c r="A1583" s="11" t="s">
        <v>9626</v>
      </c>
      <c r="B1583" s="11" t="s">
        <v>46</v>
      </c>
      <c r="C1583" s="11" t="s">
        <v>360</v>
      </c>
      <c r="D1583" s="11" t="s">
        <v>361</v>
      </c>
      <c r="E1583" s="11" t="s">
        <v>532</v>
      </c>
      <c r="F1583" s="11" t="s">
        <v>9613</v>
      </c>
      <c r="G1583" s="11" t="s">
        <v>497</v>
      </c>
      <c r="H1583" s="11"/>
      <c r="I1583" s="11" t="s">
        <v>9627</v>
      </c>
      <c r="J1583" s="11" t="s">
        <v>9628</v>
      </c>
      <c r="K1583" s="11" t="s">
        <v>9629</v>
      </c>
      <c r="L1583" s="11" t="s">
        <v>9625</v>
      </c>
      <c r="M1583" s="11"/>
      <c r="N1583" s="14" t="n">
        <v>2</v>
      </c>
      <c r="O1583" s="14" t="n">
        <v>4</v>
      </c>
      <c r="P1583" s="14" t="n">
        <v>3</v>
      </c>
      <c r="Q1583" s="14"/>
      <c r="R1583" s="12" t="n">
        <f aca="false">IF(OR(N1583="",P1583=""),"",ROUND(N1583*O1583/P1583,1))</f>
        <v>2.7</v>
      </c>
      <c r="S1583" s="13" t="n">
        <f aca="false">IF(R1583="","",IF(Q1583="Y",1,IF(P1583&gt;='Read me'!$B$16,3,IF(AND(R1583&gt;='Read me'!$B$14,P1583&lt;='Read me'!$B$15),1,2))))</f>
        <v>2</v>
      </c>
    </row>
    <row r="1584" customFormat="false" ht="23.85" hidden="false" customHeight="false" outlineLevel="0" collapsed="false">
      <c r="A1584" s="11" t="s">
        <v>9630</v>
      </c>
      <c r="B1584" s="11" t="s">
        <v>46</v>
      </c>
      <c r="C1584" s="11" t="s">
        <v>360</v>
      </c>
      <c r="D1584" s="11" t="s">
        <v>361</v>
      </c>
      <c r="E1584" s="11" t="s">
        <v>532</v>
      </c>
      <c r="F1584" s="11" t="s">
        <v>9613</v>
      </c>
      <c r="G1584" s="11" t="s">
        <v>9631</v>
      </c>
      <c r="H1584" s="11"/>
      <c r="I1584" s="11" t="s">
        <v>9632</v>
      </c>
      <c r="J1584" s="11" t="s">
        <v>9633</v>
      </c>
      <c r="K1584" s="11" t="s">
        <v>9629</v>
      </c>
      <c r="L1584" s="11" t="s">
        <v>9634</v>
      </c>
      <c r="M1584" s="11"/>
      <c r="N1584" s="14" t="n">
        <v>2</v>
      </c>
      <c r="O1584" s="14" t="n">
        <v>4</v>
      </c>
      <c r="P1584" s="14" t="n">
        <v>4</v>
      </c>
      <c r="Q1584" s="14"/>
      <c r="R1584" s="12" t="n">
        <f aca="false">IF(OR(N1584="",P1584=""),"",ROUND(N1584*O1584/P1584,1))</f>
        <v>2</v>
      </c>
      <c r="S1584" s="13" t="n">
        <f aca="false">IF(R1584="","",IF(Q1584="Y",1,IF(P1584&gt;='Read me'!$B$16,3,IF(AND(R1584&gt;='Read me'!$B$14,P1584&lt;='Read me'!$B$15),1,2))))</f>
        <v>3</v>
      </c>
    </row>
    <row r="1585" customFormat="false" ht="23.85" hidden="false" customHeight="false" outlineLevel="0" collapsed="false">
      <c r="A1585" s="11" t="s">
        <v>9635</v>
      </c>
      <c r="B1585" s="11" t="s">
        <v>46</v>
      </c>
      <c r="C1585" s="11" t="s">
        <v>360</v>
      </c>
      <c r="D1585" s="11" t="s">
        <v>361</v>
      </c>
      <c r="E1585" s="11" t="s">
        <v>626</v>
      </c>
      <c r="F1585" s="11" t="s">
        <v>9636</v>
      </c>
      <c r="G1585" s="11" t="s">
        <v>9637</v>
      </c>
      <c r="H1585" s="11"/>
      <c r="I1585" s="11" t="s">
        <v>9638</v>
      </c>
      <c r="J1585" s="11" t="s">
        <v>9639</v>
      </c>
      <c r="K1585" s="11" t="s">
        <v>916</v>
      </c>
      <c r="L1585" s="11" t="s">
        <v>9640</v>
      </c>
      <c r="M1585" s="11"/>
      <c r="N1585" s="14" t="n">
        <v>2</v>
      </c>
      <c r="O1585" s="14" t="n">
        <v>4</v>
      </c>
      <c r="P1585" s="14" t="n">
        <v>5</v>
      </c>
      <c r="Q1585" s="14"/>
      <c r="R1585" s="12" t="n">
        <f aca="false">IF(OR(N1585="",P1585=""),"",ROUND(N1585*O1585/P1585,1))</f>
        <v>1.6</v>
      </c>
      <c r="S1585" s="13" t="n">
        <f aca="false">IF(R1585="","",IF(Q1585="Y",1,IF(P1585&gt;='Read me'!$B$16,3,IF(AND(R1585&gt;='Read me'!$B$14,P1585&lt;='Read me'!$B$15),1,2))))</f>
        <v>3</v>
      </c>
    </row>
    <row r="1586" customFormat="false" ht="23.85" hidden="false" customHeight="false" outlineLevel="0" collapsed="false">
      <c r="A1586" s="11" t="s">
        <v>9641</v>
      </c>
      <c r="B1586" s="11" t="s">
        <v>46</v>
      </c>
      <c r="C1586" s="11" t="s">
        <v>360</v>
      </c>
      <c r="D1586" s="11" t="s">
        <v>361</v>
      </c>
      <c r="E1586" s="11" t="s">
        <v>626</v>
      </c>
      <c r="F1586" s="11" t="s">
        <v>9642</v>
      </c>
      <c r="G1586" s="11" t="s">
        <v>9643</v>
      </c>
      <c r="H1586" s="11"/>
      <c r="I1586" s="11" t="s">
        <v>9644</v>
      </c>
      <c r="J1586" s="11" t="s">
        <v>9645</v>
      </c>
      <c r="K1586" s="11" t="s">
        <v>9646</v>
      </c>
      <c r="L1586" s="11" t="s">
        <v>9647</v>
      </c>
      <c r="M1586" s="11"/>
      <c r="N1586" s="14" t="n">
        <v>2</v>
      </c>
      <c r="O1586" s="14" t="n">
        <v>3</v>
      </c>
      <c r="P1586" s="14" t="n">
        <v>4</v>
      </c>
      <c r="Q1586" s="14"/>
      <c r="R1586" s="12" t="n">
        <f aca="false">IF(OR(N1586="",P1586=""),"",ROUND(N1586*O1586/P1586,1))</f>
        <v>1.5</v>
      </c>
      <c r="S1586" s="13" t="n">
        <f aca="false">IF(R1586="","",IF(Q1586="Y",1,IF(P1586&gt;='Read me'!$B$16,3,IF(AND(R1586&gt;='Read me'!$B$14,P1586&lt;='Read me'!$B$15),1,2))))</f>
        <v>3</v>
      </c>
    </row>
    <row r="1587" customFormat="false" ht="23.85" hidden="false" customHeight="false" outlineLevel="0" collapsed="false">
      <c r="A1587" s="11" t="s">
        <v>9648</v>
      </c>
      <c r="B1587" s="11" t="s">
        <v>46</v>
      </c>
      <c r="C1587" s="11" t="s">
        <v>360</v>
      </c>
      <c r="D1587" s="11" t="s">
        <v>361</v>
      </c>
      <c r="E1587" s="11" t="s">
        <v>626</v>
      </c>
      <c r="F1587" s="11" t="s">
        <v>9649</v>
      </c>
      <c r="G1587" s="11" t="s">
        <v>9650</v>
      </c>
      <c r="H1587" s="11"/>
      <c r="I1587" s="11" t="s">
        <v>9651</v>
      </c>
      <c r="J1587" s="11" t="s">
        <v>9652</v>
      </c>
      <c r="K1587" s="11" t="s">
        <v>9653</v>
      </c>
      <c r="L1587" s="11" t="s">
        <v>9654</v>
      </c>
      <c r="M1587" s="11"/>
      <c r="N1587" s="14" t="n">
        <v>3</v>
      </c>
      <c r="O1587" s="14" t="n">
        <v>4</v>
      </c>
      <c r="P1587" s="14" t="n">
        <v>4</v>
      </c>
      <c r="Q1587" s="14"/>
      <c r="R1587" s="12" t="n">
        <f aca="false">IF(OR(N1587="",P1587=""),"",ROUND(N1587*O1587/P1587,1))</f>
        <v>3</v>
      </c>
      <c r="S1587" s="13" t="n">
        <f aca="false">IF(R1587="","",IF(Q1587="Y",1,IF(P1587&gt;='Read me'!$B$16,3,IF(AND(R1587&gt;='Read me'!$B$14,P1587&lt;='Read me'!$B$15),1,2))))</f>
        <v>3</v>
      </c>
    </row>
    <row r="1588" customFormat="false" ht="23.85" hidden="false" customHeight="false" outlineLevel="0" collapsed="false">
      <c r="A1588" s="11" t="s">
        <v>9655</v>
      </c>
      <c r="B1588" s="11" t="s">
        <v>46</v>
      </c>
      <c r="C1588" s="11" t="s">
        <v>360</v>
      </c>
      <c r="D1588" s="11" t="s">
        <v>361</v>
      </c>
      <c r="E1588" s="11" t="s">
        <v>626</v>
      </c>
      <c r="F1588" s="11" t="s">
        <v>9656</v>
      </c>
      <c r="G1588" s="11"/>
      <c r="H1588" s="11" t="s">
        <v>9657</v>
      </c>
      <c r="I1588" s="11" t="s">
        <v>9658</v>
      </c>
      <c r="J1588" s="11" t="s">
        <v>9659</v>
      </c>
      <c r="K1588" s="11" t="s">
        <v>9660</v>
      </c>
      <c r="L1588" s="11" t="s">
        <v>9661</v>
      </c>
      <c r="M1588" s="11"/>
      <c r="N1588" s="14" t="n">
        <v>1</v>
      </c>
      <c r="O1588" s="14" t="n">
        <v>4</v>
      </c>
      <c r="P1588" s="14" t="n">
        <v>4</v>
      </c>
      <c r="Q1588" s="14"/>
      <c r="R1588" s="12" t="n">
        <f aca="false">IF(OR(N1588="",P1588=""),"",ROUND(N1588*O1588/P1588,1))</f>
        <v>1</v>
      </c>
      <c r="S1588" s="13" t="n">
        <f aca="false">IF(R1588="","",IF(Q1588="Y",1,IF(P1588&gt;='Read me'!$B$16,3,IF(AND(R1588&gt;='Read me'!$B$14,P1588&lt;='Read me'!$B$15),1,2))))</f>
        <v>3</v>
      </c>
    </row>
    <row r="1589" customFormat="false" ht="79.85" hidden="false" customHeight="false" outlineLevel="0" collapsed="false">
      <c r="A1589" s="11" t="s">
        <v>9662</v>
      </c>
      <c r="B1589" s="11" t="s">
        <v>46</v>
      </c>
      <c r="C1589" s="11" t="s">
        <v>360</v>
      </c>
      <c r="D1589" s="11" t="s">
        <v>361</v>
      </c>
      <c r="E1589" s="11" t="s">
        <v>751</v>
      </c>
      <c r="F1589" s="11" t="s">
        <v>9663</v>
      </c>
      <c r="G1589" s="11" t="s">
        <v>9664</v>
      </c>
      <c r="H1589" s="11"/>
      <c r="I1589" s="11" t="s">
        <v>9665</v>
      </c>
      <c r="J1589" s="11" t="s">
        <v>9666</v>
      </c>
      <c r="K1589" s="11" t="s">
        <v>9667</v>
      </c>
      <c r="L1589" s="11" t="s">
        <v>9668</v>
      </c>
      <c r="M1589" s="11" t="s">
        <v>9669</v>
      </c>
      <c r="N1589" s="14" t="n">
        <v>3</v>
      </c>
      <c r="O1589" s="14" t="n">
        <v>4</v>
      </c>
      <c r="P1589" s="14" t="n">
        <v>4</v>
      </c>
      <c r="Q1589" s="14"/>
      <c r="R1589" s="12" t="n">
        <f aca="false">IF(OR(N1589="",P1589=""),"",ROUND(N1589*O1589/P1589,1))</f>
        <v>3</v>
      </c>
      <c r="S1589" s="13" t="n">
        <f aca="false">IF(R1589="","",IF(Q1589="Y",1,IF(P1589&gt;='Read me'!$B$16,3,IF(AND(R1589&gt;='Read me'!$B$14,P1589&lt;='Read me'!$B$15),1,2))))</f>
        <v>3</v>
      </c>
    </row>
    <row r="1590" customFormat="false" ht="23.85" hidden="false" customHeight="false" outlineLevel="0" collapsed="false">
      <c r="A1590" s="11" t="s">
        <v>9670</v>
      </c>
      <c r="B1590" s="11" t="s">
        <v>46</v>
      </c>
      <c r="C1590" s="11" t="s">
        <v>360</v>
      </c>
      <c r="D1590" s="11" t="s">
        <v>361</v>
      </c>
      <c r="E1590" s="11" t="s">
        <v>765</v>
      </c>
      <c r="F1590" s="11" t="s">
        <v>9671</v>
      </c>
      <c r="G1590" s="11" t="s">
        <v>9672</v>
      </c>
      <c r="H1590" s="11"/>
      <c r="I1590" s="11" t="s">
        <v>9673</v>
      </c>
      <c r="J1590" s="11" t="s">
        <v>9674</v>
      </c>
      <c r="K1590" s="11" t="s">
        <v>9660</v>
      </c>
      <c r="L1590" s="11" t="s">
        <v>9675</v>
      </c>
      <c r="M1590" s="11" t="s">
        <v>9676</v>
      </c>
      <c r="N1590" s="14" t="n">
        <v>2</v>
      </c>
      <c r="O1590" s="14" t="n">
        <v>4</v>
      </c>
      <c r="P1590" s="14" t="n">
        <v>4</v>
      </c>
      <c r="Q1590" s="14"/>
      <c r="R1590" s="12" t="n">
        <f aca="false">IF(OR(N1590="",P1590=""),"",ROUND(N1590*O1590/P1590,1))</f>
        <v>2</v>
      </c>
      <c r="S1590" s="13" t="n">
        <f aca="false">IF(R1590="","",IF(Q1590="Y",1,IF(P1590&gt;='Read me'!$B$16,3,IF(AND(R1590&gt;='Read me'!$B$14,P1590&lt;='Read me'!$B$15),1,2))))</f>
        <v>3</v>
      </c>
    </row>
    <row r="1591" customFormat="false" ht="23.85" hidden="false" customHeight="false" outlineLevel="0" collapsed="false">
      <c r="A1591" s="11" t="s">
        <v>9677</v>
      </c>
      <c r="B1591" s="11" t="s">
        <v>46</v>
      </c>
      <c r="C1591" s="11" t="s">
        <v>360</v>
      </c>
      <c r="D1591" s="11" t="s">
        <v>361</v>
      </c>
      <c r="E1591" s="11" t="s">
        <v>765</v>
      </c>
      <c r="F1591" s="11" t="s">
        <v>9678</v>
      </c>
      <c r="G1591" s="11" t="s">
        <v>9679</v>
      </c>
      <c r="H1591" s="11"/>
      <c r="I1591" s="11" t="s">
        <v>9680</v>
      </c>
      <c r="J1591" s="11" t="s">
        <v>9681</v>
      </c>
      <c r="K1591" s="11" t="s">
        <v>9682</v>
      </c>
      <c r="L1591" s="11" t="s">
        <v>9625</v>
      </c>
      <c r="M1591" s="11"/>
      <c r="N1591" s="14" t="n">
        <v>2</v>
      </c>
      <c r="O1591" s="14" t="n">
        <v>2</v>
      </c>
      <c r="P1591" s="14" t="n">
        <v>1</v>
      </c>
      <c r="Q1591" s="14"/>
      <c r="R1591" s="12" t="n">
        <f aca="false">IF(OR(N1591="",P1591=""),"",ROUND(N1591*O1591/P1591,1))</f>
        <v>4</v>
      </c>
      <c r="S1591" s="13" t="n">
        <f aca="false">IF(R1591="","",IF(Q1591="Y",1,IF(P1591&gt;='Read me'!$B$16,3,IF(AND(R1591&gt;='Read me'!$B$14,P1591&lt;='Read me'!$B$15),1,2))))</f>
        <v>2</v>
      </c>
    </row>
    <row r="1592" customFormat="false" ht="35.05" hidden="false" customHeight="false" outlineLevel="0" collapsed="false">
      <c r="A1592" s="11" t="s">
        <v>9683</v>
      </c>
      <c r="B1592" s="11" t="s">
        <v>46</v>
      </c>
      <c r="C1592" s="11" t="s">
        <v>360</v>
      </c>
      <c r="D1592" s="11" t="s">
        <v>361</v>
      </c>
      <c r="E1592" s="11" t="s">
        <v>765</v>
      </c>
      <c r="F1592" s="11" t="s">
        <v>9684</v>
      </c>
      <c r="G1592" s="11" t="s">
        <v>2160</v>
      </c>
      <c r="H1592" s="11"/>
      <c r="I1592" s="11" t="s">
        <v>512</v>
      </c>
      <c r="J1592" s="11" t="s">
        <v>9685</v>
      </c>
      <c r="K1592" s="11" t="s">
        <v>9686</v>
      </c>
      <c r="L1592" s="11" t="s">
        <v>9687</v>
      </c>
      <c r="M1592" s="11" t="s">
        <v>8109</v>
      </c>
      <c r="N1592" s="14" t="n">
        <v>3</v>
      </c>
      <c r="O1592" s="14" t="n">
        <v>4</v>
      </c>
      <c r="P1592" s="14" t="n">
        <v>3</v>
      </c>
      <c r="Q1592" s="14"/>
      <c r="R1592" s="12" t="n">
        <f aca="false">IF(OR(N1592="",P1592=""),"",ROUND(N1592*O1592/P1592,1))</f>
        <v>4</v>
      </c>
      <c r="S1592" s="13" t="n">
        <f aca="false">IF(R1592="","",IF(Q1592="Y",1,IF(P1592&gt;='Read me'!$B$16,3,IF(AND(R1592&gt;='Read me'!$B$14,P1592&lt;='Read me'!$B$15),1,2))))</f>
        <v>2</v>
      </c>
    </row>
    <row r="1593" customFormat="false" ht="23.85" hidden="false" customHeight="false" outlineLevel="0" collapsed="false">
      <c r="A1593" s="11" t="s">
        <v>9688</v>
      </c>
      <c r="B1593" s="11" t="s">
        <v>46</v>
      </c>
      <c r="C1593" s="11" t="s">
        <v>360</v>
      </c>
      <c r="D1593" s="11" t="s">
        <v>361</v>
      </c>
      <c r="E1593" s="11" t="s">
        <v>765</v>
      </c>
      <c r="F1593" s="11" t="s">
        <v>9689</v>
      </c>
      <c r="G1593" s="11" t="s">
        <v>9690</v>
      </c>
      <c r="H1593" s="11"/>
      <c r="I1593" s="11" t="s">
        <v>9691</v>
      </c>
      <c r="J1593" s="11" t="s">
        <v>9692</v>
      </c>
      <c r="K1593" s="11" t="s">
        <v>9693</v>
      </c>
      <c r="L1593" s="11" t="s">
        <v>9694</v>
      </c>
      <c r="M1593" s="11"/>
      <c r="N1593" s="14" t="n">
        <v>1</v>
      </c>
      <c r="O1593" s="14" t="n">
        <v>3</v>
      </c>
      <c r="P1593" s="14" t="n">
        <v>3</v>
      </c>
      <c r="Q1593" s="14"/>
      <c r="R1593" s="12" t="n">
        <f aca="false">IF(OR(N1593="",P1593=""),"",ROUND(N1593*O1593/P1593,1))</f>
        <v>1</v>
      </c>
      <c r="S1593" s="13" t="n">
        <f aca="false">IF(R1593="","",IF(Q1593="Y",1,IF(P1593&gt;='Read me'!$B$16,3,IF(AND(R1593&gt;='Read me'!$B$14,P1593&lt;='Read me'!$B$15),1,2))))</f>
        <v>2</v>
      </c>
    </row>
    <row r="1594" customFormat="false" ht="23.85" hidden="false" customHeight="false" outlineLevel="0" collapsed="false">
      <c r="A1594" s="11" t="s">
        <v>9695</v>
      </c>
      <c r="B1594" s="11" t="s">
        <v>46</v>
      </c>
      <c r="C1594" s="11" t="s">
        <v>360</v>
      </c>
      <c r="D1594" s="11" t="s">
        <v>361</v>
      </c>
      <c r="E1594" s="11" t="s">
        <v>765</v>
      </c>
      <c r="F1594" s="11" t="s">
        <v>9696</v>
      </c>
      <c r="G1594" s="11" t="s">
        <v>1990</v>
      </c>
      <c r="H1594" s="11"/>
      <c r="I1594" s="11" t="s">
        <v>9697</v>
      </c>
      <c r="J1594" s="11" t="s">
        <v>9698</v>
      </c>
      <c r="K1594" s="11" t="s">
        <v>9699</v>
      </c>
      <c r="L1594" s="11" t="s">
        <v>9700</v>
      </c>
      <c r="M1594" s="11" t="s">
        <v>9701</v>
      </c>
      <c r="N1594" s="14" t="n">
        <v>2</v>
      </c>
      <c r="O1594" s="14" t="n">
        <v>3</v>
      </c>
      <c r="P1594" s="14" t="n">
        <v>3</v>
      </c>
      <c r="Q1594" s="14"/>
      <c r="R1594" s="12" t="n">
        <f aca="false">IF(OR(N1594="",P1594=""),"",ROUND(N1594*O1594/P1594,1))</f>
        <v>2</v>
      </c>
      <c r="S1594" s="13" t="n">
        <f aca="false">IF(R1594="","",IF(Q1594="Y",1,IF(P1594&gt;='Read me'!$B$16,3,IF(AND(R1594&gt;='Read me'!$B$14,P1594&lt;='Read me'!$B$15),1,2))))</f>
        <v>2</v>
      </c>
    </row>
    <row r="1595" customFormat="false" ht="23.85" hidden="false" customHeight="false" outlineLevel="0" collapsed="false">
      <c r="A1595" s="11" t="s">
        <v>9702</v>
      </c>
      <c r="B1595" s="11" t="s">
        <v>46</v>
      </c>
      <c r="C1595" s="11" t="s">
        <v>360</v>
      </c>
      <c r="D1595" s="11" t="s">
        <v>361</v>
      </c>
      <c r="E1595" s="11" t="s">
        <v>765</v>
      </c>
      <c r="F1595" s="11" t="s">
        <v>9703</v>
      </c>
      <c r="G1595" s="11" t="s">
        <v>9704</v>
      </c>
      <c r="H1595" s="11"/>
      <c r="I1595" s="11" t="s">
        <v>9705</v>
      </c>
      <c r="J1595" s="11" t="s">
        <v>9706</v>
      </c>
      <c r="K1595" s="11" t="s">
        <v>7464</v>
      </c>
      <c r="L1595" s="11" t="s">
        <v>9707</v>
      </c>
      <c r="M1595" s="11"/>
      <c r="N1595" s="14" t="n">
        <v>1</v>
      </c>
      <c r="O1595" s="14" t="n">
        <v>3</v>
      </c>
      <c r="P1595" s="14" t="n">
        <v>3</v>
      </c>
      <c r="Q1595" s="14"/>
      <c r="R1595" s="12" t="n">
        <f aca="false">IF(OR(N1595="",P1595=""),"",ROUND(N1595*O1595/P1595,1))</f>
        <v>1</v>
      </c>
      <c r="S1595" s="13" t="n">
        <f aca="false">IF(R1595="","",IF(Q1595="Y",1,IF(P1595&gt;='Read me'!$B$16,3,IF(AND(R1595&gt;='Read me'!$B$14,P1595&lt;='Read me'!$B$15),1,2))))</f>
        <v>2</v>
      </c>
    </row>
    <row r="1596" customFormat="false" ht="23.85" hidden="false" customHeight="false" outlineLevel="0" collapsed="false">
      <c r="A1596" s="11" t="s">
        <v>9708</v>
      </c>
      <c r="B1596" s="11" t="s">
        <v>46</v>
      </c>
      <c r="C1596" s="11" t="s">
        <v>360</v>
      </c>
      <c r="D1596" s="11" t="s">
        <v>361</v>
      </c>
      <c r="E1596" s="11" t="s">
        <v>1081</v>
      </c>
      <c r="F1596" s="11" t="s">
        <v>9709</v>
      </c>
      <c r="G1596" s="11" t="s">
        <v>2776</v>
      </c>
      <c r="H1596" s="11"/>
      <c r="I1596" s="11" t="s">
        <v>9710</v>
      </c>
      <c r="J1596" s="11" t="s">
        <v>9711</v>
      </c>
      <c r="K1596" s="11" t="s">
        <v>9712</v>
      </c>
      <c r="L1596" s="11" t="s">
        <v>9713</v>
      </c>
      <c r="M1596" s="11"/>
      <c r="N1596" s="14" t="n">
        <v>1</v>
      </c>
      <c r="O1596" s="14" t="n">
        <v>5</v>
      </c>
      <c r="P1596" s="14" t="n">
        <v>5</v>
      </c>
      <c r="Q1596" s="14"/>
      <c r="R1596" s="12" t="n">
        <f aca="false">IF(OR(N1596="",P1596=""),"",ROUND(N1596*O1596/P1596,1))</f>
        <v>1</v>
      </c>
      <c r="S1596" s="13" t="n">
        <f aca="false">IF(R1596="","",IF(Q1596="Y",1,IF(P1596&gt;='Read me'!$B$16,3,IF(AND(R1596&gt;='Read me'!$B$14,P1596&lt;='Read me'!$B$15),1,2))))</f>
        <v>3</v>
      </c>
    </row>
    <row r="1597" customFormat="false" ht="23.85" hidden="false" customHeight="false" outlineLevel="0" collapsed="false">
      <c r="A1597" s="11" t="s">
        <v>9714</v>
      </c>
      <c r="B1597" s="11" t="s">
        <v>46</v>
      </c>
      <c r="C1597" s="11" t="s">
        <v>360</v>
      </c>
      <c r="D1597" s="11" t="s">
        <v>361</v>
      </c>
      <c r="E1597" s="11" t="s">
        <v>1187</v>
      </c>
      <c r="F1597" s="11" t="s">
        <v>9613</v>
      </c>
      <c r="G1597" s="11" t="s">
        <v>9471</v>
      </c>
      <c r="H1597" s="11" t="s">
        <v>9715</v>
      </c>
      <c r="I1597" s="11" t="s">
        <v>9716</v>
      </c>
      <c r="J1597" s="11" t="s">
        <v>9717</v>
      </c>
      <c r="K1597" s="11" t="s">
        <v>9718</v>
      </c>
      <c r="L1597" s="11" t="s">
        <v>9719</v>
      </c>
      <c r="M1597" s="11"/>
      <c r="N1597" s="14" t="n">
        <v>1</v>
      </c>
      <c r="O1597" s="14" t="n">
        <v>3</v>
      </c>
      <c r="P1597" s="14" t="n">
        <v>4</v>
      </c>
      <c r="Q1597" s="14"/>
      <c r="R1597" s="12" t="n">
        <f aca="false">IF(OR(N1597="",P1597=""),"",ROUND(N1597*O1597/P1597,1))</f>
        <v>0.8</v>
      </c>
      <c r="S1597" s="13" t="n">
        <f aca="false">IF(R1597="","",IF(Q1597="Y",1,IF(P1597&gt;='Read me'!$B$16,3,IF(AND(R1597&gt;='Read me'!$B$14,P1597&lt;='Read me'!$B$15),1,2))))</f>
        <v>3</v>
      </c>
    </row>
    <row r="1598" customFormat="false" ht="23.85" hidden="false" customHeight="false" outlineLevel="0" collapsed="false">
      <c r="A1598" s="11" t="s">
        <v>9720</v>
      </c>
      <c r="B1598" s="11" t="s">
        <v>46</v>
      </c>
      <c r="C1598" s="11" t="s">
        <v>360</v>
      </c>
      <c r="D1598" s="11" t="s">
        <v>361</v>
      </c>
      <c r="E1598" s="11" t="s">
        <v>1187</v>
      </c>
      <c r="F1598" s="11" t="s">
        <v>9613</v>
      </c>
      <c r="G1598" s="11" t="s">
        <v>9721</v>
      </c>
      <c r="H1598" s="11" t="s">
        <v>9722</v>
      </c>
      <c r="I1598" s="11" t="s">
        <v>9723</v>
      </c>
      <c r="J1598" s="11" t="s">
        <v>9724</v>
      </c>
      <c r="K1598" s="11" t="s">
        <v>5663</v>
      </c>
      <c r="L1598" s="11" t="s">
        <v>9725</v>
      </c>
      <c r="M1598" s="11"/>
      <c r="N1598" s="14" t="n">
        <v>1</v>
      </c>
      <c r="O1598" s="14" t="n">
        <v>3</v>
      </c>
      <c r="P1598" s="14" t="n">
        <v>4</v>
      </c>
      <c r="Q1598" s="14"/>
      <c r="R1598" s="12" t="n">
        <f aca="false">IF(OR(N1598="",P1598=""),"",ROUND(N1598*O1598/P1598,1))</f>
        <v>0.8</v>
      </c>
      <c r="S1598" s="13" t="n">
        <f aca="false">IF(R1598="","",IF(Q1598="Y",1,IF(P1598&gt;='Read me'!$B$16,3,IF(AND(R1598&gt;='Read me'!$B$14,P1598&lt;='Read me'!$B$15),1,2))))</f>
        <v>3</v>
      </c>
    </row>
    <row r="1599" customFormat="false" ht="23.85" hidden="false" customHeight="false" outlineLevel="0" collapsed="false">
      <c r="A1599" s="11" t="s">
        <v>9726</v>
      </c>
      <c r="B1599" s="11" t="s">
        <v>46</v>
      </c>
      <c r="C1599" s="11" t="s">
        <v>360</v>
      </c>
      <c r="D1599" s="11" t="s">
        <v>361</v>
      </c>
      <c r="E1599" s="11" t="s">
        <v>1187</v>
      </c>
      <c r="F1599" s="11" t="s">
        <v>9727</v>
      </c>
      <c r="G1599" s="11" t="s">
        <v>9728</v>
      </c>
      <c r="H1599" s="11"/>
      <c r="I1599" s="11" t="s">
        <v>9729</v>
      </c>
      <c r="J1599" s="11" t="s">
        <v>9730</v>
      </c>
      <c r="K1599" s="11" t="s">
        <v>9731</v>
      </c>
      <c r="L1599" s="11" t="s">
        <v>9732</v>
      </c>
      <c r="M1599" s="11"/>
      <c r="N1599" s="14" t="n">
        <v>2</v>
      </c>
      <c r="O1599" s="14" t="n">
        <v>4</v>
      </c>
      <c r="P1599" s="14" t="n">
        <v>4</v>
      </c>
      <c r="Q1599" s="14"/>
      <c r="R1599" s="12" t="n">
        <f aca="false">IF(OR(N1599="",P1599=""),"",ROUND(N1599*O1599/P1599,1))</f>
        <v>2</v>
      </c>
      <c r="S1599" s="13" t="n">
        <f aca="false">IF(R1599="","",IF(Q1599="Y",1,IF(P1599&gt;='Read me'!$B$16,3,IF(AND(R1599&gt;='Read me'!$B$14,P1599&lt;='Read me'!$B$15),1,2))))</f>
        <v>3</v>
      </c>
    </row>
    <row r="1600" customFormat="false" ht="23.85" hidden="false" customHeight="false" outlineLevel="0" collapsed="false">
      <c r="A1600" s="11" t="s">
        <v>9733</v>
      </c>
      <c r="B1600" s="11" t="s">
        <v>46</v>
      </c>
      <c r="C1600" s="11" t="s">
        <v>360</v>
      </c>
      <c r="D1600" s="11" t="s">
        <v>361</v>
      </c>
      <c r="E1600" s="11" t="s">
        <v>1187</v>
      </c>
      <c r="F1600" s="11" t="s">
        <v>9734</v>
      </c>
      <c r="G1600" s="11" t="s">
        <v>9458</v>
      </c>
      <c r="H1600" s="11"/>
      <c r="I1600" s="11" t="s">
        <v>9735</v>
      </c>
      <c r="J1600" s="11" t="s">
        <v>9736</v>
      </c>
      <c r="K1600" s="11" t="s">
        <v>9731</v>
      </c>
      <c r="L1600" s="11" t="s">
        <v>9737</v>
      </c>
      <c r="M1600" s="11"/>
      <c r="N1600" s="14" t="n">
        <v>2</v>
      </c>
      <c r="O1600" s="14" t="n">
        <v>4</v>
      </c>
      <c r="P1600" s="14" t="n">
        <v>4</v>
      </c>
      <c r="Q1600" s="14"/>
      <c r="R1600" s="12" t="n">
        <f aca="false">IF(OR(N1600="",P1600=""),"",ROUND(N1600*O1600/P1600,1))</f>
        <v>2</v>
      </c>
      <c r="S1600" s="13" t="n">
        <f aca="false">IF(R1600="","",IF(Q1600="Y",1,IF(P1600&gt;='Read me'!$B$16,3,IF(AND(R1600&gt;='Read me'!$B$14,P1600&lt;='Read me'!$B$15),1,2))))</f>
        <v>3</v>
      </c>
    </row>
    <row r="1601" customFormat="false" ht="23.85" hidden="false" customHeight="false" outlineLevel="0" collapsed="false">
      <c r="A1601" s="11" t="s">
        <v>9738</v>
      </c>
      <c r="B1601" s="11" t="s">
        <v>46</v>
      </c>
      <c r="C1601" s="11" t="s">
        <v>360</v>
      </c>
      <c r="D1601" s="11" t="s">
        <v>361</v>
      </c>
      <c r="E1601" s="11" t="s">
        <v>1187</v>
      </c>
      <c r="F1601" s="11" t="s">
        <v>9739</v>
      </c>
      <c r="G1601" s="11" t="s">
        <v>9740</v>
      </c>
      <c r="H1601" s="11"/>
      <c r="I1601" s="11" t="s">
        <v>9741</v>
      </c>
      <c r="J1601" s="11" t="s">
        <v>9742</v>
      </c>
      <c r="K1601" s="11" t="s">
        <v>9467</v>
      </c>
      <c r="L1601" s="11" t="s">
        <v>9743</v>
      </c>
      <c r="M1601" s="11"/>
      <c r="N1601" s="14" t="n">
        <v>2</v>
      </c>
      <c r="O1601" s="14" t="n">
        <v>3</v>
      </c>
      <c r="P1601" s="14" t="n">
        <v>3</v>
      </c>
      <c r="Q1601" s="14"/>
      <c r="R1601" s="12" t="n">
        <f aca="false">IF(OR(N1601="",P1601=""),"",ROUND(N1601*O1601/P1601,1))</f>
        <v>2</v>
      </c>
      <c r="S1601" s="13" t="n">
        <f aca="false">IF(R1601="","",IF(Q1601="Y",1,IF(P1601&gt;='Read me'!$B$16,3,IF(AND(R1601&gt;='Read me'!$B$14,P1601&lt;='Read me'!$B$15),1,2))))</f>
        <v>2</v>
      </c>
    </row>
    <row r="1602" customFormat="false" ht="35.05" hidden="false" customHeight="false" outlineLevel="0" collapsed="false">
      <c r="A1602" s="11" t="s">
        <v>9744</v>
      </c>
      <c r="B1602" s="11" t="s">
        <v>46</v>
      </c>
      <c r="C1602" s="11" t="s">
        <v>360</v>
      </c>
      <c r="D1602" s="11" t="s">
        <v>361</v>
      </c>
      <c r="E1602" s="11" t="s">
        <v>1187</v>
      </c>
      <c r="F1602" s="11" t="s">
        <v>9745</v>
      </c>
      <c r="G1602" s="11"/>
      <c r="H1602" s="11" t="s">
        <v>9746</v>
      </c>
      <c r="I1602" s="11" t="s">
        <v>9747</v>
      </c>
      <c r="J1602" s="11" t="s">
        <v>9748</v>
      </c>
      <c r="K1602" s="11" t="s">
        <v>916</v>
      </c>
      <c r="L1602" s="11" t="s">
        <v>9749</v>
      </c>
      <c r="M1602" s="11" t="s">
        <v>9750</v>
      </c>
      <c r="N1602" s="14" t="n">
        <v>1</v>
      </c>
      <c r="O1602" s="14" t="n">
        <v>4</v>
      </c>
      <c r="P1602" s="14" t="n">
        <v>5</v>
      </c>
      <c r="Q1602" s="14"/>
      <c r="R1602" s="12" t="n">
        <f aca="false">IF(OR(N1602="",P1602=""),"",ROUND(N1602*O1602/P1602,1))</f>
        <v>0.8</v>
      </c>
      <c r="S1602" s="13" t="n">
        <f aca="false">IF(R1602="","",IF(Q1602="Y",1,IF(P1602&gt;='Read me'!$B$16,3,IF(AND(R1602&gt;='Read me'!$B$14,P1602&lt;='Read me'!$B$15),1,2))))</f>
        <v>3</v>
      </c>
    </row>
    <row r="1603" customFormat="false" ht="23.85" hidden="false" customHeight="false" outlineLevel="0" collapsed="false">
      <c r="A1603" s="11" t="s">
        <v>9751</v>
      </c>
      <c r="B1603" s="11" t="s">
        <v>46</v>
      </c>
      <c r="C1603" s="11" t="s">
        <v>364</v>
      </c>
      <c r="D1603" s="11" t="s">
        <v>365</v>
      </c>
      <c r="E1603" s="11" t="s">
        <v>476</v>
      </c>
      <c r="F1603" s="11" t="s">
        <v>9752</v>
      </c>
      <c r="G1603" s="11" t="s">
        <v>9379</v>
      </c>
      <c r="H1603" s="11"/>
      <c r="I1603" s="11" t="s">
        <v>9753</v>
      </c>
      <c r="J1603" s="11" t="s">
        <v>9754</v>
      </c>
      <c r="K1603" s="11" t="s">
        <v>9755</v>
      </c>
      <c r="L1603" s="11" t="s">
        <v>9756</v>
      </c>
      <c r="M1603" s="11"/>
      <c r="N1603" s="14" t="n">
        <v>3</v>
      </c>
      <c r="O1603" s="14" t="n">
        <v>3</v>
      </c>
      <c r="P1603" s="14" t="n">
        <v>2</v>
      </c>
      <c r="Q1603" s="14"/>
      <c r="R1603" s="12" t="n">
        <f aca="false">IF(OR(N1603="",P1603=""),"",ROUND(N1603*O1603/P1603,1))</f>
        <v>4.5</v>
      </c>
      <c r="S1603" s="13" t="n">
        <f aca="false">IF(R1603="","",IF(Q1603="Y",1,IF(P1603&gt;='Read me'!$B$16,3,IF(AND(R1603&gt;='Read me'!$B$14,P1603&lt;='Read me'!$B$15),1,2))))</f>
        <v>2</v>
      </c>
    </row>
    <row r="1604" customFormat="false" ht="23.85" hidden="false" customHeight="false" outlineLevel="0" collapsed="false">
      <c r="A1604" s="11" t="s">
        <v>9757</v>
      </c>
      <c r="B1604" s="11" t="s">
        <v>46</v>
      </c>
      <c r="C1604" s="11" t="s">
        <v>364</v>
      </c>
      <c r="D1604" s="11" t="s">
        <v>365</v>
      </c>
      <c r="E1604" s="11" t="s">
        <v>476</v>
      </c>
      <c r="F1604" s="11" t="s">
        <v>9758</v>
      </c>
      <c r="G1604" s="11" t="s">
        <v>2160</v>
      </c>
      <c r="H1604" s="11"/>
      <c r="I1604" s="11" t="s">
        <v>512</v>
      </c>
      <c r="J1604" s="11" t="s">
        <v>9759</v>
      </c>
      <c r="K1604" s="11" t="s">
        <v>9760</v>
      </c>
      <c r="L1604" s="11" t="s">
        <v>9761</v>
      </c>
      <c r="M1604" s="11"/>
      <c r="N1604" s="14" t="n">
        <v>2</v>
      </c>
      <c r="O1604" s="14" t="n">
        <v>3</v>
      </c>
      <c r="P1604" s="14" t="n">
        <v>1</v>
      </c>
      <c r="Q1604" s="14"/>
      <c r="R1604" s="12" t="n">
        <f aca="false">IF(OR(N1604="",P1604=""),"",ROUND(N1604*O1604/P1604,1))</f>
        <v>6</v>
      </c>
      <c r="S1604" s="13" t="n">
        <f aca="false">IF(R1604="","",IF(Q1604="Y",1,IF(P1604&gt;='Read me'!$B$16,3,IF(AND(R1604&gt;='Read me'!$B$14,P1604&lt;='Read me'!$B$15),1,2))))</f>
        <v>1</v>
      </c>
    </row>
    <row r="1605" customFormat="false" ht="23.85" hidden="false" customHeight="false" outlineLevel="0" collapsed="false">
      <c r="A1605" s="11" t="s">
        <v>9762</v>
      </c>
      <c r="B1605" s="11" t="s">
        <v>46</v>
      </c>
      <c r="C1605" s="11" t="s">
        <v>364</v>
      </c>
      <c r="D1605" s="11" t="s">
        <v>365</v>
      </c>
      <c r="E1605" s="11" t="s">
        <v>532</v>
      </c>
      <c r="F1605" s="11" t="s">
        <v>9763</v>
      </c>
      <c r="G1605" s="11" t="s">
        <v>9764</v>
      </c>
      <c r="H1605" s="11"/>
      <c r="I1605" s="11" t="s">
        <v>9765</v>
      </c>
      <c r="J1605" s="11" t="s">
        <v>9766</v>
      </c>
      <c r="K1605" s="11" t="s">
        <v>9767</v>
      </c>
      <c r="L1605" s="11" t="s">
        <v>9768</v>
      </c>
      <c r="M1605" s="11"/>
      <c r="N1605" s="14" t="n">
        <v>3</v>
      </c>
      <c r="O1605" s="14" t="n">
        <v>3</v>
      </c>
      <c r="P1605" s="14" t="n">
        <v>2</v>
      </c>
      <c r="Q1605" s="14"/>
      <c r="R1605" s="12" t="n">
        <f aca="false">IF(OR(N1605="",P1605=""),"",ROUND(N1605*O1605/P1605,1))</f>
        <v>4.5</v>
      </c>
      <c r="S1605" s="13" t="n">
        <f aca="false">IF(R1605="","",IF(Q1605="Y",1,IF(P1605&gt;='Read me'!$B$16,3,IF(AND(R1605&gt;='Read me'!$B$14,P1605&lt;='Read me'!$B$15),1,2))))</f>
        <v>2</v>
      </c>
    </row>
    <row r="1606" customFormat="false" ht="23.85" hidden="false" customHeight="false" outlineLevel="0" collapsed="false">
      <c r="A1606" s="11" t="s">
        <v>9769</v>
      </c>
      <c r="B1606" s="11" t="s">
        <v>46</v>
      </c>
      <c r="C1606" s="11" t="s">
        <v>364</v>
      </c>
      <c r="D1606" s="11" t="s">
        <v>365</v>
      </c>
      <c r="E1606" s="11" t="s">
        <v>626</v>
      </c>
      <c r="F1606" s="11" t="s">
        <v>9763</v>
      </c>
      <c r="G1606" s="11" t="s">
        <v>3040</v>
      </c>
      <c r="H1606" s="11"/>
      <c r="I1606" s="11" t="s">
        <v>9770</v>
      </c>
      <c r="J1606" s="11" t="s">
        <v>9771</v>
      </c>
      <c r="K1606" s="11" t="s">
        <v>9772</v>
      </c>
      <c r="L1606" s="11" t="s">
        <v>9773</v>
      </c>
      <c r="M1606" s="11"/>
      <c r="N1606" s="14" t="n">
        <v>2</v>
      </c>
      <c r="O1606" s="14" t="n">
        <v>3</v>
      </c>
      <c r="P1606" s="14" t="n">
        <v>2</v>
      </c>
      <c r="Q1606" s="14"/>
      <c r="R1606" s="12" t="n">
        <f aca="false">IF(OR(N1606="",P1606=""),"",ROUND(N1606*O1606/P1606,1))</f>
        <v>3</v>
      </c>
      <c r="S1606" s="13" t="n">
        <f aca="false">IF(R1606="","",IF(Q1606="Y",1,IF(P1606&gt;='Read me'!$B$16,3,IF(AND(R1606&gt;='Read me'!$B$14,P1606&lt;='Read me'!$B$15),1,2))))</f>
        <v>2</v>
      </c>
    </row>
    <row r="1607" customFormat="false" ht="23.85" hidden="false" customHeight="false" outlineLevel="0" collapsed="false">
      <c r="A1607" s="11" t="s">
        <v>9774</v>
      </c>
      <c r="B1607" s="11" t="s">
        <v>46</v>
      </c>
      <c r="C1607" s="11" t="s">
        <v>364</v>
      </c>
      <c r="D1607" s="11" t="s">
        <v>365</v>
      </c>
      <c r="E1607" s="11" t="s">
        <v>626</v>
      </c>
      <c r="F1607" s="11" t="s">
        <v>9775</v>
      </c>
      <c r="G1607" s="11" t="s">
        <v>9776</v>
      </c>
      <c r="H1607" s="11"/>
      <c r="I1607" s="11" t="s">
        <v>9777</v>
      </c>
      <c r="J1607" s="11" t="s">
        <v>9778</v>
      </c>
      <c r="K1607" s="11" t="s">
        <v>9755</v>
      </c>
      <c r="L1607" s="11" t="s">
        <v>3957</v>
      </c>
      <c r="M1607" s="11" t="s">
        <v>9779</v>
      </c>
      <c r="N1607" s="14" t="n">
        <v>1</v>
      </c>
      <c r="O1607" s="14" t="n">
        <v>2</v>
      </c>
      <c r="P1607" s="14" t="n">
        <v>2</v>
      </c>
      <c r="Q1607" s="14"/>
      <c r="R1607" s="12" t="n">
        <f aca="false">IF(OR(N1607="",P1607=""),"",ROUND(N1607*O1607/P1607,1))</f>
        <v>1</v>
      </c>
      <c r="S1607" s="13" t="n">
        <f aca="false">IF(R1607="","",IF(Q1607="Y",1,IF(P1607&gt;='Read me'!$B$16,3,IF(AND(R1607&gt;='Read me'!$B$14,P1607&lt;='Read me'!$B$15),1,2))))</f>
        <v>2</v>
      </c>
    </row>
    <row r="1608" customFormat="false" ht="23.85" hidden="false" customHeight="false" outlineLevel="0" collapsed="false">
      <c r="A1608" s="11" t="s">
        <v>9780</v>
      </c>
      <c r="B1608" s="11" t="s">
        <v>46</v>
      </c>
      <c r="C1608" s="11" t="s">
        <v>364</v>
      </c>
      <c r="D1608" s="11" t="s">
        <v>365</v>
      </c>
      <c r="E1608" s="11" t="s">
        <v>751</v>
      </c>
      <c r="F1608" s="11" t="s">
        <v>9781</v>
      </c>
      <c r="G1608" s="11" t="s">
        <v>9782</v>
      </c>
      <c r="H1608" s="11"/>
      <c r="I1608" s="11" t="s">
        <v>1251</v>
      </c>
      <c r="J1608" s="11" t="s">
        <v>9783</v>
      </c>
      <c r="K1608" s="11" t="s">
        <v>4777</v>
      </c>
      <c r="L1608" s="11" t="s">
        <v>9784</v>
      </c>
      <c r="M1608" s="11" t="s">
        <v>1577</v>
      </c>
      <c r="N1608" s="14" t="n">
        <v>3</v>
      </c>
      <c r="O1608" s="14" t="n">
        <v>3</v>
      </c>
      <c r="P1608" s="14" t="n">
        <v>2</v>
      </c>
      <c r="Q1608" s="14"/>
      <c r="R1608" s="12" t="n">
        <f aca="false">IF(OR(N1608="",P1608=""),"",ROUND(N1608*O1608/P1608,1))</f>
        <v>4.5</v>
      </c>
      <c r="S1608" s="13" t="n">
        <f aca="false">IF(R1608="","",IF(Q1608="Y",1,IF(P1608&gt;='Read me'!$B$16,3,IF(AND(R1608&gt;='Read me'!$B$14,P1608&lt;='Read me'!$B$15),1,2))))</f>
        <v>2</v>
      </c>
    </row>
    <row r="1609" customFormat="false" ht="23.85" hidden="false" customHeight="false" outlineLevel="0" collapsed="false">
      <c r="A1609" s="11" t="s">
        <v>9785</v>
      </c>
      <c r="B1609" s="11" t="s">
        <v>46</v>
      </c>
      <c r="C1609" s="11" t="s">
        <v>364</v>
      </c>
      <c r="D1609" s="11" t="s">
        <v>365</v>
      </c>
      <c r="E1609" s="11" t="s">
        <v>765</v>
      </c>
      <c r="F1609" s="11" t="s">
        <v>9786</v>
      </c>
      <c r="G1609" s="11" t="s">
        <v>9787</v>
      </c>
      <c r="H1609" s="11"/>
      <c r="I1609" s="11" t="s">
        <v>9788</v>
      </c>
      <c r="J1609" s="11" t="s">
        <v>9789</v>
      </c>
      <c r="K1609" s="11" t="s">
        <v>9790</v>
      </c>
      <c r="L1609" s="11" t="s">
        <v>9791</v>
      </c>
      <c r="M1609" s="11"/>
      <c r="N1609" s="14" t="n">
        <v>3</v>
      </c>
      <c r="O1609" s="14" t="n">
        <v>3</v>
      </c>
      <c r="P1609" s="14" t="n">
        <v>2</v>
      </c>
      <c r="Q1609" s="14"/>
      <c r="R1609" s="12" t="n">
        <f aca="false">IF(OR(N1609="",P1609=""),"",ROUND(N1609*O1609/P1609,1))</f>
        <v>4.5</v>
      </c>
      <c r="S1609" s="13" t="n">
        <f aca="false">IF(R1609="","",IF(Q1609="Y",1,IF(P1609&gt;='Read me'!$B$16,3,IF(AND(R1609&gt;='Read me'!$B$14,P1609&lt;='Read me'!$B$15),1,2))))</f>
        <v>2</v>
      </c>
    </row>
    <row r="1610" customFormat="false" ht="23.85" hidden="false" customHeight="false" outlineLevel="0" collapsed="false">
      <c r="A1610" s="11" t="s">
        <v>9792</v>
      </c>
      <c r="B1610" s="11" t="s">
        <v>46</v>
      </c>
      <c r="C1610" s="11" t="s">
        <v>364</v>
      </c>
      <c r="D1610" s="11" t="s">
        <v>365</v>
      </c>
      <c r="E1610" s="11" t="s">
        <v>765</v>
      </c>
      <c r="F1610" s="11" t="s">
        <v>9793</v>
      </c>
      <c r="G1610" s="11" t="s">
        <v>9794</v>
      </c>
      <c r="H1610" s="11"/>
      <c r="I1610" s="11" t="s">
        <v>9795</v>
      </c>
      <c r="J1610" s="11" t="s">
        <v>9796</v>
      </c>
      <c r="K1610" s="11" t="s">
        <v>9797</v>
      </c>
      <c r="L1610" s="11" t="s">
        <v>9798</v>
      </c>
      <c r="M1610" s="11"/>
      <c r="N1610" s="14" t="n">
        <v>3</v>
      </c>
      <c r="O1610" s="14" t="n">
        <v>3</v>
      </c>
      <c r="P1610" s="14" t="n">
        <v>2</v>
      </c>
      <c r="Q1610" s="14"/>
      <c r="R1610" s="12" t="n">
        <f aca="false">IF(OR(N1610="",P1610=""),"",ROUND(N1610*O1610/P1610,1))</f>
        <v>4.5</v>
      </c>
      <c r="S1610" s="13" t="n">
        <f aca="false">IF(R1610="","",IF(Q1610="Y",1,IF(P1610&gt;='Read me'!$B$16,3,IF(AND(R1610&gt;='Read me'!$B$14,P1610&lt;='Read me'!$B$15),1,2))))</f>
        <v>2</v>
      </c>
    </row>
    <row r="1611" customFormat="false" ht="23.85" hidden="false" customHeight="false" outlineLevel="0" collapsed="false">
      <c r="A1611" s="11" t="s">
        <v>9799</v>
      </c>
      <c r="B1611" s="11" t="s">
        <v>46</v>
      </c>
      <c r="C1611" s="11" t="s">
        <v>364</v>
      </c>
      <c r="D1611" s="11" t="s">
        <v>365</v>
      </c>
      <c r="E1611" s="11" t="s">
        <v>765</v>
      </c>
      <c r="F1611" s="11" t="s">
        <v>9800</v>
      </c>
      <c r="G1611" s="11" t="s">
        <v>9801</v>
      </c>
      <c r="H1611" s="11"/>
      <c r="I1611" s="11" t="s">
        <v>9802</v>
      </c>
      <c r="J1611" s="11" t="s">
        <v>9803</v>
      </c>
      <c r="K1611" s="11" t="s">
        <v>9804</v>
      </c>
      <c r="L1611" s="11" t="s">
        <v>9805</v>
      </c>
      <c r="M1611" s="11"/>
      <c r="N1611" s="14" t="n">
        <v>1</v>
      </c>
      <c r="O1611" s="14" t="n">
        <v>2</v>
      </c>
      <c r="P1611" s="14" t="n">
        <v>2</v>
      </c>
      <c r="Q1611" s="14"/>
      <c r="R1611" s="12" t="n">
        <f aca="false">IF(OR(N1611="",P1611=""),"",ROUND(N1611*O1611/P1611,1))</f>
        <v>1</v>
      </c>
      <c r="S1611" s="13" t="n">
        <f aca="false">IF(R1611="","",IF(Q1611="Y",1,IF(P1611&gt;='Read me'!$B$16,3,IF(AND(R1611&gt;='Read me'!$B$14,P1611&lt;='Read me'!$B$15),1,2))))</f>
        <v>2</v>
      </c>
    </row>
    <row r="1612" customFormat="false" ht="23.85" hidden="false" customHeight="false" outlineLevel="0" collapsed="false">
      <c r="A1612" s="11" t="s">
        <v>9806</v>
      </c>
      <c r="B1612" s="11" t="s">
        <v>46</v>
      </c>
      <c r="C1612" s="11" t="s">
        <v>364</v>
      </c>
      <c r="D1612" s="11" t="s">
        <v>365</v>
      </c>
      <c r="E1612" s="11" t="s">
        <v>765</v>
      </c>
      <c r="F1612" s="11" t="s">
        <v>9807</v>
      </c>
      <c r="G1612" s="11" t="s">
        <v>9458</v>
      </c>
      <c r="H1612" s="11"/>
      <c r="I1612" s="11" t="s">
        <v>9808</v>
      </c>
      <c r="J1612" s="11" t="s">
        <v>9809</v>
      </c>
      <c r="K1612" s="11" t="s">
        <v>990</v>
      </c>
      <c r="L1612" s="11" t="s">
        <v>9810</v>
      </c>
      <c r="M1612" s="11"/>
      <c r="N1612" s="14" t="n">
        <v>1</v>
      </c>
      <c r="O1612" s="14" t="n">
        <v>2</v>
      </c>
      <c r="P1612" s="14" t="n">
        <v>2</v>
      </c>
      <c r="Q1612" s="14"/>
      <c r="R1612" s="12" t="n">
        <f aca="false">IF(OR(N1612="",P1612=""),"",ROUND(N1612*O1612/P1612,1))</f>
        <v>1</v>
      </c>
      <c r="S1612" s="13" t="n">
        <f aca="false">IF(R1612="","",IF(Q1612="Y",1,IF(P1612&gt;='Read me'!$B$16,3,IF(AND(R1612&gt;='Read me'!$B$14,P1612&lt;='Read me'!$B$15),1,2))))</f>
        <v>2</v>
      </c>
    </row>
    <row r="1613" customFormat="false" ht="23.85" hidden="false" customHeight="false" outlineLevel="0" collapsed="false">
      <c r="A1613" s="11" t="s">
        <v>9811</v>
      </c>
      <c r="B1613" s="11" t="s">
        <v>46</v>
      </c>
      <c r="C1613" s="11" t="s">
        <v>364</v>
      </c>
      <c r="D1613" s="11" t="s">
        <v>365</v>
      </c>
      <c r="E1613" s="11" t="s">
        <v>1081</v>
      </c>
      <c r="F1613" s="11" t="s">
        <v>9812</v>
      </c>
      <c r="G1613" s="11" t="s">
        <v>9813</v>
      </c>
      <c r="H1613" s="11"/>
      <c r="I1613" s="11" t="s">
        <v>512</v>
      </c>
      <c r="J1613" s="11" t="s">
        <v>9814</v>
      </c>
      <c r="K1613" s="11" t="s">
        <v>9815</v>
      </c>
      <c r="L1613" s="11" t="s">
        <v>9816</v>
      </c>
      <c r="M1613" s="11"/>
      <c r="N1613" s="14" t="n">
        <v>2</v>
      </c>
      <c r="O1613" s="14" t="n">
        <v>3</v>
      </c>
      <c r="P1613" s="14" t="n">
        <v>1</v>
      </c>
      <c r="Q1613" s="14"/>
      <c r="R1613" s="12" t="n">
        <f aca="false">IF(OR(N1613="",P1613=""),"",ROUND(N1613*O1613/P1613,1))</f>
        <v>6</v>
      </c>
      <c r="S1613" s="13" t="n">
        <f aca="false">IF(R1613="","",IF(Q1613="Y",1,IF(P1613&gt;='Read me'!$B$16,3,IF(AND(R1613&gt;='Read me'!$B$14,P1613&lt;='Read me'!$B$15),1,2))))</f>
        <v>1</v>
      </c>
    </row>
    <row r="1614" customFormat="false" ht="23.85" hidden="false" customHeight="false" outlineLevel="0" collapsed="false">
      <c r="A1614" s="11" t="s">
        <v>9817</v>
      </c>
      <c r="B1614" s="11" t="s">
        <v>46</v>
      </c>
      <c r="C1614" s="11" t="s">
        <v>364</v>
      </c>
      <c r="D1614" s="11" t="s">
        <v>365</v>
      </c>
      <c r="E1614" s="11" t="s">
        <v>1187</v>
      </c>
      <c r="F1614" s="11" t="s">
        <v>9818</v>
      </c>
      <c r="G1614" s="11" t="s">
        <v>3515</v>
      </c>
      <c r="H1614" s="11" t="s">
        <v>9819</v>
      </c>
      <c r="I1614" s="11" t="s">
        <v>9820</v>
      </c>
      <c r="J1614" s="11" t="s">
        <v>9821</v>
      </c>
      <c r="K1614" s="11" t="s">
        <v>9822</v>
      </c>
      <c r="L1614" s="11" t="s">
        <v>9823</v>
      </c>
      <c r="M1614" s="11"/>
      <c r="N1614" s="14" t="n">
        <v>2</v>
      </c>
      <c r="O1614" s="14" t="n">
        <v>3</v>
      </c>
      <c r="P1614" s="14" t="n">
        <v>3</v>
      </c>
      <c r="Q1614" s="14"/>
      <c r="R1614" s="12" t="n">
        <f aca="false">IF(OR(N1614="",P1614=""),"",ROUND(N1614*O1614/P1614,1))</f>
        <v>2</v>
      </c>
      <c r="S1614" s="13" t="n">
        <f aca="false">IF(R1614="","",IF(Q1614="Y",1,IF(P1614&gt;='Read me'!$B$16,3,IF(AND(R1614&gt;='Read me'!$B$14,P1614&lt;='Read me'!$B$15),1,2))))</f>
        <v>2</v>
      </c>
    </row>
    <row r="1615" customFormat="false" ht="23.85" hidden="false" customHeight="false" outlineLevel="0" collapsed="false">
      <c r="A1615" s="11" t="s">
        <v>9824</v>
      </c>
      <c r="B1615" s="11" t="s">
        <v>46</v>
      </c>
      <c r="C1615" s="11" t="s">
        <v>364</v>
      </c>
      <c r="D1615" s="11" t="s">
        <v>365</v>
      </c>
      <c r="E1615" s="11" t="s">
        <v>1187</v>
      </c>
      <c r="F1615" s="11" t="s">
        <v>9793</v>
      </c>
      <c r="G1615" s="11"/>
      <c r="H1615" s="11" t="s">
        <v>9825</v>
      </c>
      <c r="I1615" s="11" t="s">
        <v>9826</v>
      </c>
      <c r="J1615" s="11" t="s">
        <v>9827</v>
      </c>
      <c r="K1615" s="11" t="s">
        <v>5663</v>
      </c>
      <c r="L1615" s="11" t="s">
        <v>3957</v>
      </c>
      <c r="M1615" s="11"/>
      <c r="N1615" s="14" t="n">
        <v>1</v>
      </c>
      <c r="O1615" s="14" t="n">
        <v>2</v>
      </c>
      <c r="P1615" s="14" t="n">
        <v>2</v>
      </c>
      <c r="Q1615" s="14"/>
      <c r="R1615" s="12" t="n">
        <f aca="false">IF(OR(N1615="",P1615=""),"",ROUND(N1615*O1615/P1615,1))</f>
        <v>1</v>
      </c>
      <c r="S1615" s="13" t="n">
        <f aca="false">IF(R1615="","",IF(Q1615="Y",1,IF(P1615&gt;='Read me'!$B$16,3,IF(AND(R1615&gt;='Read me'!$B$14,P1615&lt;='Read me'!$B$15),1,2))))</f>
        <v>2</v>
      </c>
    </row>
    <row r="1616" customFormat="false" ht="23.85" hidden="false" customHeight="false" outlineLevel="0" collapsed="false">
      <c r="A1616" s="11" t="s">
        <v>9828</v>
      </c>
      <c r="B1616" s="11" t="s">
        <v>46</v>
      </c>
      <c r="C1616" s="11" t="s">
        <v>364</v>
      </c>
      <c r="D1616" s="11" t="s">
        <v>365</v>
      </c>
      <c r="E1616" s="11" t="s">
        <v>1187</v>
      </c>
      <c r="F1616" s="11" t="s">
        <v>9829</v>
      </c>
      <c r="G1616" s="11"/>
      <c r="H1616" s="11" t="s">
        <v>9830</v>
      </c>
      <c r="I1616" s="11" t="s">
        <v>9831</v>
      </c>
      <c r="J1616" s="11" t="s">
        <v>9832</v>
      </c>
      <c r="K1616" s="11" t="s">
        <v>675</v>
      </c>
      <c r="L1616" s="11" t="s">
        <v>9833</v>
      </c>
      <c r="M1616" s="11"/>
      <c r="N1616" s="14" t="n">
        <v>1</v>
      </c>
      <c r="O1616" s="14" t="n">
        <v>2</v>
      </c>
      <c r="P1616" s="14" t="n">
        <v>2</v>
      </c>
      <c r="Q1616" s="14"/>
      <c r="R1616" s="12" t="n">
        <f aca="false">IF(OR(N1616="",P1616=""),"",ROUND(N1616*O1616/P1616,1))</f>
        <v>1</v>
      </c>
      <c r="S1616" s="13" t="n">
        <f aca="false">IF(R1616="","",IF(Q1616="Y",1,IF(P1616&gt;='Read me'!$B$16,3,IF(AND(R1616&gt;='Read me'!$B$14,P1616&lt;='Read me'!$B$15),1,2))))</f>
        <v>2</v>
      </c>
    </row>
    <row r="1617" customFormat="false" ht="23.85" hidden="false" customHeight="false" outlineLevel="0" collapsed="false">
      <c r="A1617" s="11" t="s">
        <v>9834</v>
      </c>
      <c r="B1617" s="11" t="s">
        <v>46</v>
      </c>
      <c r="C1617" s="11" t="s">
        <v>364</v>
      </c>
      <c r="D1617" s="11" t="s">
        <v>365</v>
      </c>
      <c r="E1617" s="11" t="s">
        <v>1133</v>
      </c>
      <c r="F1617" s="11" t="s">
        <v>9835</v>
      </c>
      <c r="G1617" s="11" t="s">
        <v>9595</v>
      </c>
      <c r="H1617" s="11"/>
      <c r="I1617" s="11" t="s">
        <v>9836</v>
      </c>
      <c r="J1617" s="11" t="s">
        <v>9837</v>
      </c>
      <c r="K1617" s="11" t="s">
        <v>5992</v>
      </c>
      <c r="L1617" s="11"/>
      <c r="M1617" s="11"/>
      <c r="N1617" s="14" t="n">
        <v>1</v>
      </c>
      <c r="O1617" s="14" t="n">
        <v>1</v>
      </c>
      <c r="P1617" s="14" t="n">
        <v>1</v>
      </c>
      <c r="Q1617" s="14"/>
      <c r="R1617" s="12" t="n">
        <f aca="false">IF(OR(N1617="",P1617=""),"",ROUND(N1617*O1617/P1617,1))</f>
        <v>1</v>
      </c>
      <c r="S1617" s="13" t="n">
        <f aca="false">IF(R1617="","",IF(Q1617="Y",1,IF(P1617&gt;='Read me'!$B$16,3,IF(AND(R1617&gt;='Read me'!$B$14,P1617&lt;='Read me'!$B$15),1,2))))</f>
        <v>2</v>
      </c>
    </row>
    <row r="1618" customFormat="false" ht="23.85" hidden="false" customHeight="false" outlineLevel="0" collapsed="false">
      <c r="A1618" s="11" t="s">
        <v>9838</v>
      </c>
      <c r="B1618" s="11" t="s">
        <v>46</v>
      </c>
      <c r="C1618" s="11" t="s">
        <v>367</v>
      </c>
      <c r="D1618" s="11" t="s">
        <v>368</v>
      </c>
      <c r="E1618" s="11" t="s">
        <v>765</v>
      </c>
      <c r="F1618" s="11" t="s">
        <v>9839</v>
      </c>
      <c r="G1618" s="11" t="s">
        <v>9840</v>
      </c>
      <c r="H1618" s="11"/>
      <c r="I1618" s="11" t="s">
        <v>512</v>
      </c>
      <c r="J1618" s="11" t="s">
        <v>9841</v>
      </c>
      <c r="K1618" s="11" t="s">
        <v>9842</v>
      </c>
      <c r="L1618" s="11" t="s">
        <v>9843</v>
      </c>
      <c r="M1618" s="11"/>
      <c r="N1618" s="14" t="n">
        <v>3</v>
      </c>
      <c r="O1618" s="14" t="n">
        <v>4</v>
      </c>
      <c r="P1618" s="14" t="n">
        <v>2</v>
      </c>
      <c r="Q1618" s="14"/>
      <c r="R1618" s="12" t="n">
        <f aca="false">IF(OR(N1618="",P1618=""),"",ROUND(N1618*O1618/P1618,1))</f>
        <v>6</v>
      </c>
      <c r="S1618" s="13" t="n">
        <f aca="false">IF(R1618="","",IF(Q1618="Y",1,IF(P1618&gt;='Read me'!$B$16,3,IF(AND(R1618&gt;='Read me'!$B$14,P1618&lt;='Read me'!$B$15),1,2))))</f>
        <v>1</v>
      </c>
    </row>
    <row r="1619" customFormat="false" ht="35.05" hidden="false" customHeight="false" outlineLevel="0" collapsed="false">
      <c r="A1619" s="11" t="s">
        <v>9844</v>
      </c>
      <c r="B1619" s="11" t="s">
        <v>46</v>
      </c>
      <c r="C1619" s="11" t="s">
        <v>367</v>
      </c>
      <c r="D1619" s="11" t="s">
        <v>368</v>
      </c>
      <c r="E1619" s="11" t="s">
        <v>765</v>
      </c>
      <c r="F1619" s="11" t="s">
        <v>9845</v>
      </c>
      <c r="G1619" s="11" t="s">
        <v>9452</v>
      </c>
      <c r="H1619" s="11"/>
      <c r="I1619" s="11" t="s">
        <v>512</v>
      </c>
      <c r="J1619" s="11" t="s">
        <v>9846</v>
      </c>
      <c r="K1619" s="11" t="s">
        <v>8169</v>
      </c>
      <c r="L1619" s="11" t="s">
        <v>9847</v>
      </c>
      <c r="M1619" s="11" t="s">
        <v>9848</v>
      </c>
      <c r="N1619" s="14" t="n">
        <v>4</v>
      </c>
      <c r="O1619" s="14" t="n">
        <v>5</v>
      </c>
      <c r="P1619" s="14" t="n">
        <v>4</v>
      </c>
      <c r="Q1619" s="14"/>
      <c r="R1619" s="12" t="n">
        <f aca="false">IF(OR(N1619="",P1619=""),"",ROUND(N1619*O1619/P1619,1))</f>
        <v>5</v>
      </c>
      <c r="S1619" s="13" t="n">
        <f aca="false">IF(R1619="","",IF(Q1619="Y",1,IF(P1619&gt;='Read me'!$B$16,3,IF(AND(R1619&gt;='Read me'!$B$14,P1619&lt;='Read me'!$B$15),1,2))))</f>
        <v>3</v>
      </c>
    </row>
    <row r="1620" customFormat="false" ht="23.85" hidden="false" customHeight="false" outlineLevel="0" collapsed="false">
      <c r="A1620" s="11" t="s">
        <v>9849</v>
      </c>
      <c r="B1620" s="11" t="s">
        <v>46</v>
      </c>
      <c r="C1620" s="11" t="s">
        <v>367</v>
      </c>
      <c r="D1620" s="11" t="s">
        <v>368</v>
      </c>
      <c r="E1620" s="11" t="s">
        <v>765</v>
      </c>
      <c r="F1620" s="11" t="s">
        <v>9850</v>
      </c>
      <c r="G1620" s="11" t="s">
        <v>9851</v>
      </c>
      <c r="H1620" s="11"/>
      <c r="I1620" s="11" t="s">
        <v>9852</v>
      </c>
      <c r="J1620" s="11" t="s">
        <v>9853</v>
      </c>
      <c r="K1620" s="11" t="s">
        <v>1028</v>
      </c>
      <c r="L1620" s="11" t="s">
        <v>9410</v>
      </c>
      <c r="M1620" s="11"/>
      <c r="N1620" s="14" t="n">
        <v>1</v>
      </c>
      <c r="O1620" s="14" t="n">
        <v>3</v>
      </c>
      <c r="P1620" s="14" t="n">
        <v>3</v>
      </c>
      <c r="Q1620" s="14"/>
      <c r="R1620" s="12" t="n">
        <f aca="false">IF(OR(N1620="",P1620=""),"",ROUND(N1620*O1620/P1620,1))</f>
        <v>1</v>
      </c>
      <c r="S1620" s="13" t="n">
        <f aca="false">IF(R1620="","",IF(Q1620="Y",1,IF(P1620&gt;='Read me'!$B$16,3,IF(AND(R1620&gt;='Read me'!$B$14,P1620&lt;='Read me'!$B$15),1,2))))</f>
        <v>2</v>
      </c>
    </row>
    <row r="1621" customFormat="false" ht="23.85" hidden="false" customHeight="false" outlineLevel="0" collapsed="false">
      <c r="A1621" s="11" t="s">
        <v>9854</v>
      </c>
      <c r="B1621" s="11" t="s">
        <v>46</v>
      </c>
      <c r="C1621" s="11" t="s">
        <v>367</v>
      </c>
      <c r="D1621" s="11" t="s">
        <v>368</v>
      </c>
      <c r="E1621" s="11" t="s">
        <v>765</v>
      </c>
      <c r="F1621" s="11" t="s">
        <v>9855</v>
      </c>
      <c r="G1621" s="11"/>
      <c r="H1621" s="11"/>
      <c r="I1621" s="11" t="s">
        <v>9856</v>
      </c>
      <c r="J1621" s="11" t="s">
        <v>9857</v>
      </c>
      <c r="K1621" s="11" t="s">
        <v>5992</v>
      </c>
      <c r="L1621" s="11" t="s">
        <v>9858</v>
      </c>
      <c r="M1621" s="11" t="s">
        <v>9859</v>
      </c>
      <c r="N1621" s="14" t="n">
        <v>3</v>
      </c>
      <c r="O1621" s="14" t="n">
        <v>3</v>
      </c>
      <c r="P1621" s="14" t="n">
        <v>3</v>
      </c>
      <c r="Q1621" s="14"/>
      <c r="R1621" s="12" t="n">
        <f aca="false">IF(OR(N1621="",P1621=""),"",ROUND(N1621*O1621/P1621,1))</f>
        <v>3</v>
      </c>
      <c r="S1621" s="13" t="n">
        <f aca="false">IF(R1621="","",IF(Q1621="Y",1,IF(P1621&gt;='Read me'!$B$16,3,IF(AND(R1621&gt;='Read me'!$B$14,P1621&lt;='Read me'!$B$15),1,2))))</f>
        <v>2</v>
      </c>
    </row>
    <row r="1622" customFormat="false" ht="23.85" hidden="false" customHeight="false" outlineLevel="0" collapsed="false">
      <c r="A1622" s="11" t="s">
        <v>9860</v>
      </c>
      <c r="B1622" s="11" t="s">
        <v>46</v>
      </c>
      <c r="C1622" s="11" t="s">
        <v>367</v>
      </c>
      <c r="D1622" s="11" t="s">
        <v>368</v>
      </c>
      <c r="E1622" s="11" t="s">
        <v>765</v>
      </c>
      <c r="F1622" s="11" t="s">
        <v>9855</v>
      </c>
      <c r="G1622" s="11" t="s">
        <v>9481</v>
      </c>
      <c r="H1622" s="11" t="s">
        <v>9861</v>
      </c>
      <c r="I1622" s="11" t="s">
        <v>9862</v>
      </c>
      <c r="J1622" s="11" t="s">
        <v>9863</v>
      </c>
      <c r="K1622" s="11" t="s">
        <v>9864</v>
      </c>
      <c r="L1622" s="11" t="s">
        <v>9410</v>
      </c>
      <c r="M1622" s="11"/>
      <c r="N1622" s="14" t="n">
        <v>2</v>
      </c>
      <c r="O1622" s="14" t="n">
        <v>4</v>
      </c>
      <c r="P1622" s="14" t="n">
        <v>4</v>
      </c>
      <c r="Q1622" s="14"/>
      <c r="R1622" s="12" t="n">
        <f aca="false">IF(OR(N1622="",P1622=""),"",ROUND(N1622*O1622/P1622,1))</f>
        <v>2</v>
      </c>
      <c r="S1622" s="13" t="n">
        <f aca="false">IF(R1622="","",IF(Q1622="Y",1,IF(P1622&gt;='Read me'!$B$16,3,IF(AND(R1622&gt;='Read me'!$B$14,P1622&lt;='Read me'!$B$15),1,2))))</f>
        <v>3</v>
      </c>
    </row>
    <row r="1623" customFormat="false" ht="23.85" hidden="false" customHeight="false" outlineLevel="0" collapsed="false">
      <c r="A1623" s="11" t="s">
        <v>9865</v>
      </c>
      <c r="B1623" s="11" t="s">
        <v>46</v>
      </c>
      <c r="C1623" s="11" t="s">
        <v>367</v>
      </c>
      <c r="D1623" s="11" t="s">
        <v>368</v>
      </c>
      <c r="E1623" s="11" t="s">
        <v>765</v>
      </c>
      <c r="F1623" s="11" t="s">
        <v>9866</v>
      </c>
      <c r="G1623" s="11" t="s">
        <v>9867</v>
      </c>
      <c r="H1623" s="11"/>
      <c r="I1623" s="11" t="s">
        <v>9868</v>
      </c>
      <c r="J1623" s="11" t="s">
        <v>9869</v>
      </c>
      <c r="K1623" s="11" t="s">
        <v>5992</v>
      </c>
      <c r="L1623" s="11" t="s">
        <v>9410</v>
      </c>
      <c r="M1623" s="11"/>
      <c r="N1623" s="14" t="n">
        <v>1</v>
      </c>
      <c r="O1623" s="14" t="n">
        <v>3</v>
      </c>
      <c r="P1623" s="14" t="n">
        <v>3</v>
      </c>
      <c r="Q1623" s="14"/>
      <c r="R1623" s="12" t="n">
        <f aca="false">IF(OR(N1623="",P1623=""),"",ROUND(N1623*O1623/P1623,1))</f>
        <v>1</v>
      </c>
      <c r="S1623" s="13" t="n">
        <f aca="false">IF(R1623="","",IF(Q1623="Y",1,IF(P1623&gt;='Read me'!$B$16,3,IF(AND(R1623&gt;='Read me'!$B$14,P1623&lt;='Read me'!$B$15),1,2))))</f>
        <v>2</v>
      </c>
    </row>
    <row r="1624" customFormat="false" ht="23.85" hidden="false" customHeight="false" outlineLevel="0" collapsed="false">
      <c r="A1624" s="11" t="s">
        <v>9870</v>
      </c>
      <c r="B1624" s="11" t="s">
        <v>46</v>
      </c>
      <c r="C1624" s="11" t="s">
        <v>367</v>
      </c>
      <c r="D1624" s="11" t="s">
        <v>368</v>
      </c>
      <c r="E1624" s="11" t="s">
        <v>765</v>
      </c>
      <c r="F1624" s="11" t="s">
        <v>9871</v>
      </c>
      <c r="G1624" s="11" t="s">
        <v>9872</v>
      </c>
      <c r="H1624" s="11"/>
      <c r="I1624" s="11" t="s">
        <v>9873</v>
      </c>
      <c r="J1624" s="11" t="s">
        <v>9874</v>
      </c>
      <c r="K1624" s="11" t="s">
        <v>9875</v>
      </c>
      <c r="L1624" s="11" t="s">
        <v>9876</v>
      </c>
      <c r="M1624" s="11"/>
      <c r="N1624" s="14" t="n">
        <v>2</v>
      </c>
      <c r="O1624" s="14" t="n">
        <v>3</v>
      </c>
      <c r="P1624" s="14" t="n">
        <v>4</v>
      </c>
      <c r="Q1624" s="14"/>
      <c r="R1624" s="12" t="n">
        <f aca="false">IF(OR(N1624="",P1624=""),"",ROUND(N1624*O1624/P1624,1))</f>
        <v>1.5</v>
      </c>
      <c r="S1624" s="13" t="n">
        <f aca="false">IF(R1624="","",IF(Q1624="Y",1,IF(P1624&gt;='Read me'!$B$16,3,IF(AND(R1624&gt;='Read me'!$B$14,P1624&lt;='Read me'!$B$15),1,2))))</f>
        <v>3</v>
      </c>
    </row>
    <row r="1625" customFormat="false" ht="23.85" hidden="false" customHeight="false" outlineLevel="0" collapsed="false">
      <c r="A1625" s="11" t="s">
        <v>9877</v>
      </c>
      <c r="B1625" s="11" t="s">
        <v>46</v>
      </c>
      <c r="C1625" s="11" t="s">
        <v>367</v>
      </c>
      <c r="D1625" s="11" t="s">
        <v>368</v>
      </c>
      <c r="E1625" s="11" t="s">
        <v>765</v>
      </c>
      <c r="F1625" s="11" t="s">
        <v>9878</v>
      </c>
      <c r="G1625" s="11" t="s">
        <v>9452</v>
      </c>
      <c r="H1625" s="11"/>
      <c r="I1625" s="11" t="s">
        <v>512</v>
      </c>
      <c r="J1625" s="11" t="s">
        <v>9879</v>
      </c>
      <c r="K1625" s="11" t="s">
        <v>9880</v>
      </c>
      <c r="L1625" s="11" t="s">
        <v>9881</v>
      </c>
      <c r="M1625" s="11"/>
      <c r="N1625" s="14" t="n">
        <v>2</v>
      </c>
      <c r="O1625" s="14" t="n">
        <v>4</v>
      </c>
      <c r="P1625" s="14" t="n">
        <v>4</v>
      </c>
      <c r="Q1625" s="14"/>
      <c r="R1625" s="12" t="n">
        <f aca="false">IF(OR(N1625="",P1625=""),"",ROUND(N1625*O1625/P1625,1))</f>
        <v>2</v>
      </c>
      <c r="S1625" s="13" t="n">
        <f aca="false">IF(R1625="","",IF(Q1625="Y",1,IF(P1625&gt;='Read me'!$B$16,3,IF(AND(R1625&gt;='Read me'!$B$14,P1625&lt;='Read me'!$B$15),1,2))))</f>
        <v>3</v>
      </c>
    </row>
    <row r="1626" customFormat="false" ht="23.85" hidden="false" customHeight="false" outlineLevel="0" collapsed="false">
      <c r="A1626" s="11" t="s">
        <v>9882</v>
      </c>
      <c r="B1626" s="11" t="s">
        <v>46</v>
      </c>
      <c r="C1626" s="11" t="s">
        <v>367</v>
      </c>
      <c r="D1626" s="11" t="s">
        <v>368</v>
      </c>
      <c r="E1626" s="11" t="s">
        <v>765</v>
      </c>
      <c r="F1626" s="11" t="s">
        <v>9883</v>
      </c>
      <c r="G1626" s="11" t="s">
        <v>3184</v>
      </c>
      <c r="H1626" s="11"/>
      <c r="I1626" s="11" t="s">
        <v>9884</v>
      </c>
      <c r="J1626" s="11" t="s">
        <v>9885</v>
      </c>
      <c r="K1626" s="11" t="s">
        <v>1028</v>
      </c>
      <c r="L1626" s="11" t="s">
        <v>9410</v>
      </c>
      <c r="M1626" s="11" t="s">
        <v>9886</v>
      </c>
      <c r="N1626" s="14" t="n">
        <v>2</v>
      </c>
      <c r="O1626" s="14" t="n">
        <v>3</v>
      </c>
      <c r="P1626" s="14" t="n">
        <v>3</v>
      </c>
      <c r="Q1626" s="14"/>
      <c r="R1626" s="12" t="n">
        <f aca="false">IF(OR(N1626="",P1626=""),"",ROUND(N1626*O1626/P1626,1))</f>
        <v>2</v>
      </c>
      <c r="S1626" s="13" t="n">
        <f aca="false">IF(R1626="","",IF(Q1626="Y",1,IF(P1626&gt;='Read me'!$B$16,3,IF(AND(R1626&gt;='Read me'!$B$14,P1626&lt;='Read me'!$B$15),1,2))))</f>
        <v>2</v>
      </c>
    </row>
    <row r="1627" customFormat="false" ht="23.85" hidden="false" customHeight="false" outlineLevel="0" collapsed="false">
      <c r="A1627" s="11" t="s">
        <v>9887</v>
      </c>
      <c r="B1627" s="11" t="s">
        <v>46</v>
      </c>
      <c r="C1627" s="11" t="s">
        <v>367</v>
      </c>
      <c r="D1627" s="11" t="s">
        <v>368</v>
      </c>
      <c r="E1627" s="11" t="s">
        <v>1187</v>
      </c>
      <c r="F1627" s="11" t="s">
        <v>9888</v>
      </c>
      <c r="G1627" s="11"/>
      <c r="H1627" s="11" t="s">
        <v>9889</v>
      </c>
      <c r="I1627" s="11" t="s">
        <v>9890</v>
      </c>
      <c r="J1627" s="11" t="s">
        <v>9891</v>
      </c>
      <c r="K1627" s="11" t="s">
        <v>9892</v>
      </c>
      <c r="L1627" s="11" t="s">
        <v>9893</v>
      </c>
      <c r="M1627" s="11"/>
      <c r="N1627" s="14" t="n">
        <v>1</v>
      </c>
      <c r="O1627" s="14" t="n">
        <v>4</v>
      </c>
      <c r="P1627" s="14" t="n">
        <v>5</v>
      </c>
      <c r="Q1627" s="14"/>
      <c r="R1627" s="12" t="n">
        <f aca="false">IF(OR(N1627="",P1627=""),"",ROUND(N1627*O1627/P1627,1))</f>
        <v>0.8</v>
      </c>
      <c r="S1627" s="13" t="n">
        <f aca="false">IF(R1627="","",IF(Q1627="Y",1,IF(P1627&gt;='Read me'!$B$16,3,IF(AND(R1627&gt;='Read me'!$B$14,P1627&lt;='Read me'!$B$15),1,2))))</f>
        <v>3</v>
      </c>
    </row>
    <row r="1628" customFormat="false" ht="35.05" hidden="false" customHeight="false" outlineLevel="0" collapsed="false">
      <c r="A1628" s="11" t="s">
        <v>9894</v>
      </c>
      <c r="B1628" s="11" t="s">
        <v>46</v>
      </c>
      <c r="C1628" s="11" t="s">
        <v>367</v>
      </c>
      <c r="D1628" s="11" t="s">
        <v>368</v>
      </c>
      <c r="E1628" s="11" t="s">
        <v>1187</v>
      </c>
      <c r="F1628" s="11" t="s">
        <v>9895</v>
      </c>
      <c r="G1628" s="11" t="s">
        <v>3515</v>
      </c>
      <c r="H1628" s="11" t="s">
        <v>9896</v>
      </c>
      <c r="I1628" s="11" t="s">
        <v>9897</v>
      </c>
      <c r="J1628" s="11" t="s">
        <v>9898</v>
      </c>
      <c r="K1628" s="11" t="s">
        <v>916</v>
      </c>
      <c r="L1628" s="11" t="s">
        <v>9899</v>
      </c>
      <c r="M1628" s="11"/>
      <c r="N1628" s="14" t="n">
        <v>1</v>
      </c>
      <c r="O1628" s="14" t="n">
        <v>5</v>
      </c>
      <c r="P1628" s="14" t="n">
        <v>5</v>
      </c>
      <c r="Q1628" s="14"/>
      <c r="R1628" s="12" t="n">
        <f aca="false">IF(OR(N1628="",P1628=""),"",ROUND(N1628*O1628/P1628,1))</f>
        <v>1</v>
      </c>
      <c r="S1628" s="13" t="n">
        <f aca="false">IF(R1628="","",IF(Q1628="Y",1,IF(P1628&gt;='Read me'!$B$16,3,IF(AND(R1628&gt;='Read me'!$B$14,P1628&lt;='Read me'!$B$15),1,2))))</f>
        <v>3</v>
      </c>
    </row>
    <row r="1629" customFormat="false" ht="35.05" hidden="false" customHeight="false" outlineLevel="0" collapsed="false">
      <c r="A1629" s="11" t="s">
        <v>9900</v>
      </c>
      <c r="B1629" s="11" t="s">
        <v>46</v>
      </c>
      <c r="C1629" s="11" t="s">
        <v>367</v>
      </c>
      <c r="D1629" s="11" t="s">
        <v>368</v>
      </c>
      <c r="E1629" s="11" t="s">
        <v>1372</v>
      </c>
      <c r="F1629" s="11" t="s">
        <v>9901</v>
      </c>
      <c r="G1629" s="11"/>
      <c r="H1629" s="11"/>
      <c r="I1629" s="11" t="s">
        <v>9902</v>
      </c>
      <c r="J1629" s="11" t="s">
        <v>9903</v>
      </c>
      <c r="K1629" s="11" t="s">
        <v>9904</v>
      </c>
      <c r="L1629" s="11" t="s">
        <v>9905</v>
      </c>
      <c r="M1629" s="11" t="s">
        <v>8222</v>
      </c>
      <c r="N1629" s="14" t="n">
        <v>3</v>
      </c>
      <c r="O1629" s="14" t="n">
        <v>3</v>
      </c>
      <c r="P1629" s="14" t="n">
        <v>4</v>
      </c>
      <c r="Q1629" s="14"/>
      <c r="R1629" s="12" t="n">
        <f aca="false">IF(OR(N1629="",P1629=""),"",ROUND(N1629*O1629/P1629,1))</f>
        <v>2.3</v>
      </c>
      <c r="S1629" s="13" t="n">
        <f aca="false">IF(R1629="","",IF(Q1629="Y",1,IF(P1629&gt;='Read me'!$B$16,3,IF(AND(R1629&gt;='Read me'!$B$14,P1629&lt;='Read me'!$B$15),1,2))))</f>
        <v>3</v>
      </c>
    </row>
    <row r="1630" customFormat="false" ht="35.05" hidden="false" customHeight="false" outlineLevel="0" collapsed="false">
      <c r="A1630" s="11" t="s">
        <v>9906</v>
      </c>
      <c r="B1630" s="11" t="s">
        <v>46</v>
      </c>
      <c r="C1630" s="11" t="s">
        <v>367</v>
      </c>
      <c r="D1630" s="11" t="s">
        <v>368</v>
      </c>
      <c r="E1630" s="11" t="s">
        <v>1372</v>
      </c>
      <c r="F1630" s="11" t="s">
        <v>9907</v>
      </c>
      <c r="G1630" s="11" t="s">
        <v>1040</v>
      </c>
      <c r="H1630" s="11"/>
      <c r="I1630" s="11" t="s">
        <v>9908</v>
      </c>
      <c r="J1630" s="11" t="s">
        <v>9909</v>
      </c>
      <c r="K1630" s="11" t="s">
        <v>9910</v>
      </c>
      <c r="L1630" s="11" t="s">
        <v>9911</v>
      </c>
      <c r="M1630" s="11" t="s">
        <v>8222</v>
      </c>
      <c r="N1630" s="14" t="n">
        <v>2</v>
      </c>
      <c r="O1630" s="14" t="n">
        <v>3</v>
      </c>
      <c r="P1630" s="14" t="n">
        <v>4</v>
      </c>
      <c r="Q1630" s="14"/>
      <c r="R1630" s="12" t="n">
        <f aca="false">IF(OR(N1630="",P1630=""),"",ROUND(N1630*O1630/P1630,1))</f>
        <v>1.5</v>
      </c>
      <c r="S1630" s="13" t="n">
        <f aca="false">IF(R1630="","",IF(Q1630="Y",1,IF(P1630&gt;='Read me'!$B$16,3,IF(AND(R1630&gt;='Read me'!$B$14,P1630&lt;='Read me'!$B$15),1,2))))</f>
        <v>3</v>
      </c>
    </row>
    <row r="1631" customFormat="false" ht="35.05" hidden="false" customHeight="false" outlineLevel="0" collapsed="false">
      <c r="A1631" s="11" t="s">
        <v>9912</v>
      </c>
      <c r="B1631" s="11" t="s">
        <v>46</v>
      </c>
      <c r="C1631" s="11" t="s">
        <v>367</v>
      </c>
      <c r="D1631" s="11" t="s">
        <v>368</v>
      </c>
      <c r="E1631" s="11" t="s">
        <v>1372</v>
      </c>
      <c r="F1631" s="11" t="s">
        <v>9913</v>
      </c>
      <c r="G1631" s="11"/>
      <c r="H1631" s="11"/>
      <c r="I1631" s="11" t="s">
        <v>9914</v>
      </c>
      <c r="J1631" s="11" t="s">
        <v>9915</v>
      </c>
      <c r="K1631" s="11" t="s">
        <v>9904</v>
      </c>
      <c r="L1631" s="11" t="s">
        <v>9916</v>
      </c>
      <c r="M1631" s="11" t="s">
        <v>8222</v>
      </c>
      <c r="N1631" s="14" t="n">
        <v>1</v>
      </c>
      <c r="O1631" s="14" t="n">
        <v>2</v>
      </c>
      <c r="P1631" s="14" t="n">
        <v>3</v>
      </c>
      <c r="Q1631" s="14"/>
      <c r="R1631" s="12" t="n">
        <f aca="false">IF(OR(N1631="",P1631=""),"",ROUND(N1631*O1631/P1631,1))</f>
        <v>0.7</v>
      </c>
      <c r="S1631" s="13" t="n">
        <f aca="false">IF(R1631="","",IF(Q1631="Y",1,IF(P1631&gt;='Read me'!$B$16,3,IF(AND(R1631&gt;='Read me'!$B$14,P1631&lt;='Read me'!$B$15),1,2))))</f>
        <v>2</v>
      </c>
    </row>
    <row r="1632" customFormat="false" ht="23.85" hidden="false" customHeight="false" outlineLevel="0" collapsed="false">
      <c r="A1632" s="11" t="s">
        <v>9917</v>
      </c>
      <c r="B1632" s="11" t="s">
        <v>46</v>
      </c>
      <c r="C1632" s="11" t="s">
        <v>367</v>
      </c>
      <c r="D1632" s="11" t="s">
        <v>368</v>
      </c>
      <c r="E1632" s="11" t="s">
        <v>1372</v>
      </c>
      <c r="F1632" s="11" t="s">
        <v>9918</v>
      </c>
      <c r="G1632" s="11" t="s">
        <v>9919</v>
      </c>
      <c r="H1632" s="11"/>
      <c r="I1632" s="11" t="s">
        <v>9920</v>
      </c>
      <c r="J1632" s="11" t="s">
        <v>9921</v>
      </c>
      <c r="K1632" s="11" t="s">
        <v>9922</v>
      </c>
      <c r="L1632" s="11" t="s">
        <v>9923</v>
      </c>
      <c r="M1632" s="11" t="s">
        <v>9924</v>
      </c>
      <c r="N1632" s="14" t="n">
        <v>1</v>
      </c>
      <c r="O1632" s="14" t="n">
        <v>3</v>
      </c>
      <c r="P1632" s="14" t="n">
        <v>4</v>
      </c>
      <c r="Q1632" s="14"/>
      <c r="R1632" s="12" t="n">
        <f aca="false">IF(OR(N1632="",P1632=""),"",ROUND(N1632*O1632/P1632,1))</f>
        <v>0.8</v>
      </c>
      <c r="S1632" s="13" t="n">
        <f aca="false">IF(R1632="","",IF(Q1632="Y",1,IF(P1632&gt;='Read me'!$B$16,3,IF(AND(R1632&gt;='Read me'!$B$14,P1632&lt;='Read me'!$B$15),1,2))))</f>
        <v>3</v>
      </c>
    </row>
    <row r="1633" customFormat="false" ht="35.05" hidden="false" customHeight="false" outlineLevel="0" collapsed="false">
      <c r="A1633" s="11" t="s">
        <v>9925</v>
      </c>
      <c r="B1633" s="11" t="s">
        <v>47</v>
      </c>
      <c r="C1633" s="11" t="s">
        <v>371</v>
      </c>
      <c r="D1633" s="11" t="s">
        <v>372</v>
      </c>
      <c r="E1633" s="11" t="s">
        <v>532</v>
      </c>
      <c r="F1633" s="11" t="s">
        <v>9926</v>
      </c>
      <c r="G1633" s="11" t="s">
        <v>3797</v>
      </c>
      <c r="H1633" s="11"/>
      <c r="I1633" s="11" t="s">
        <v>9927</v>
      </c>
      <c r="J1633" s="11" t="s">
        <v>9928</v>
      </c>
      <c r="K1633" s="11" t="s">
        <v>9929</v>
      </c>
      <c r="L1633" s="11" t="s">
        <v>9930</v>
      </c>
      <c r="M1633" s="11" t="s">
        <v>9931</v>
      </c>
      <c r="N1633" s="14" t="n">
        <v>4</v>
      </c>
      <c r="O1633" s="14" t="n">
        <v>5</v>
      </c>
      <c r="P1633" s="14" t="n">
        <v>2</v>
      </c>
      <c r="Q1633" s="14"/>
      <c r="R1633" s="12" t="n">
        <f aca="false">IF(OR(N1633="",P1633=""),"",ROUND(N1633*O1633/P1633,1))</f>
        <v>10</v>
      </c>
      <c r="S1633" s="13" t="n">
        <f aca="false">IF(R1633="","",IF(Q1633="Y",1,IF(P1633&gt;='Read me'!$B$16,3,IF(AND(R1633&gt;='Read me'!$B$14,P1633&lt;='Read me'!$B$15),1,2))))</f>
        <v>1</v>
      </c>
    </row>
    <row r="1634" customFormat="false" ht="23.85" hidden="false" customHeight="false" outlineLevel="0" collapsed="false">
      <c r="A1634" s="11" t="s">
        <v>9932</v>
      </c>
      <c r="B1634" s="11" t="s">
        <v>47</v>
      </c>
      <c r="C1634" s="11" t="s">
        <v>371</v>
      </c>
      <c r="D1634" s="11" t="s">
        <v>372</v>
      </c>
      <c r="E1634" s="11" t="s">
        <v>532</v>
      </c>
      <c r="F1634" s="11" t="s">
        <v>9926</v>
      </c>
      <c r="G1634" s="11" t="s">
        <v>7522</v>
      </c>
      <c r="H1634" s="11"/>
      <c r="I1634" s="11" t="s">
        <v>9933</v>
      </c>
      <c r="J1634" s="11" t="s">
        <v>9934</v>
      </c>
      <c r="K1634" s="11" t="s">
        <v>9935</v>
      </c>
      <c r="L1634" s="11" t="s">
        <v>9936</v>
      </c>
      <c r="M1634" s="11"/>
      <c r="N1634" s="14" t="n">
        <v>3</v>
      </c>
      <c r="O1634" s="14" t="n">
        <v>5</v>
      </c>
      <c r="P1634" s="14" t="n">
        <v>2</v>
      </c>
      <c r="Q1634" s="14"/>
      <c r="R1634" s="12" t="n">
        <f aca="false">IF(OR(N1634="",P1634=""),"",ROUND(N1634*O1634/P1634,1))</f>
        <v>7.5</v>
      </c>
      <c r="S1634" s="13" t="n">
        <f aca="false">IF(R1634="","",IF(Q1634="Y",1,IF(P1634&gt;='Read me'!$B$16,3,IF(AND(R1634&gt;='Read me'!$B$14,P1634&lt;='Read me'!$B$15),1,2))))</f>
        <v>1</v>
      </c>
    </row>
    <row r="1635" customFormat="false" ht="23.85" hidden="false" customHeight="false" outlineLevel="0" collapsed="false">
      <c r="A1635" s="11" t="s">
        <v>9937</v>
      </c>
      <c r="B1635" s="11" t="s">
        <v>47</v>
      </c>
      <c r="C1635" s="11" t="s">
        <v>371</v>
      </c>
      <c r="D1635" s="11" t="s">
        <v>372</v>
      </c>
      <c r="E1635" s="11" t="s">
        <v>532</v>
      </c>
      <c r="F1635" s="11" t="s">
        <v>9926</v>
      </c>
      <c r="G1635" s="11" t="s">
        <v>3515</v>
      </c>
      <c r="H1635" s="11"/>
      <c r="I1635" s="11" t="s">
        <v>9938</v>
      </c>
      <c r="J1635" s="11" t="s">
        <v>9939</v>
      </c>
      <c r="K1635" s="11" t="s">
        <v>9940</v>
      </c>
      <c r="L1635" s="11" t="s">
        <v>9941</v>
      </c>
      <c r="M1635" s="11"/>
      <c r="N1635" s="14" t="n">
        <v>2</v>
      </c>
      <c r="O1635" s="14" t="n">
        <v>5</v>
      </c>
      <c r="P1635" s="14" t="n">
        <v>2</v>
      </c>
      <c r="Q1635" s="14"/>
      <c r="R1635" s="12" t="n">
        <f aca="false">IF(OR(N1635="",P1635=""),"",ROUND(N1635*O1635/P1635,1))</f>
        <v>5</v>
      </c>
      <c r="S1635" s="13" t="n">
        <f aca="false">IF(R1635="","",IF(Q1635="Y",1,IF(P1635&gt;='Read me'!$B$16,3,IF(AND(R1635&gt;='Read me'!$B$14,P1635&lt;='Read me'!$B$15),1,2))))</f>
        <v>2</v>
      </c>
    </row>
    <row r="1636" customFormat="false" ht="23.85" hidden="false" customHeight="false" outlineLevel="0" collapsed="false">
      <c r="A1636" s="11" t="s">
        <v>9942</v>
      </c>
      <c r="B1636" s="11" t="s">
        <v>47</v>
      </c>
      <c r="C1636" s="11" t="s">
        <v>371</v>
      </c>
      <c r="D1636" s="11" t="s">
        <v>372</v>
      </c>
      <c r="E1636" s="11" t="s">
        <v>532</v>
      </c>
      <c r="F1636" s="11" t="s">
        <v>9926</v>
      </c>
      <c r="G1636" s="11" t="s">
        <v>3311</v>
      </c>
      <c r="H1636" s="11"/>
      <c r="I1636" s="11" t="s">
        <v>9943</v>
      </c>
      <c r="J1636" s="11" t="s">
        <v>9944</v>
      </c>
      <c r="K1636" s="11" t="s">
        <v>9940</v>
      </c>
      <c r="L1636" s="11" t="s">
        <v>9945</v>
      </c>
      <c r="M1636" s="11"/>
      <c r="N1636" s="14" t="n">
        <v>1</v>
      </c>
      <c r="O1636" s="14" t="n">
        <v>5</v>
      </c>
      <c r="P1636" s="14" t="n">
        <v>2</v>
      </c>
      <c r="Q1636" s="14"/>
      <c r="R1636" s="12" t="n">
        <f aca="false">IF(OR(N1636="",P1636=""),"",ROUND(N1636*O1636/P1636,1))</f>
        <v>2.5</v>
      </c>
      <c r="S1636" s="13" t="n">
        <f aca="false">IF(R1636="","",IF(Q1636="Y",1,IF(P1636&gt;='Read me'!$B$16,3,IF(AND(R1636&gt;='Read me'!$B$14,P1636&lt;='Read me'!$B$15),1,2))))</f>
        <v>2</v>
      </c>
    </row>
    <row r="1637" customFormat="false" ht="23.85" hidden="false" customHeight="false" outlineLevel="0" collapsed="false">
      <c r="A1637" s="11" t="s">
        <v>9946</v>
      </c>
      <c r="B1637" s="11" t="s">
        <v>47</v>
      </c>
      <c r="C1637" s="11" t="s">
        <v>371</v>
      </c>
      <c r="D1637" s="11" t="s">
        <v>372</v>
      </c>
      <c r="E1637" s="11" t="s">
        <v>532</v>
      </c>
      <c r="F1637" s="11" t="s">
        <v>9926</v>
      </c>
      <c r="G1637" s="11" t="s">
        <v>4666</v>
      </c>
      <c r="H1637" s="11" t="s">
        <v>2118</v>
      </c>
      <c r="I1637" s="11" t="s">
        <v>4667</v>
      </c>
      <c r="J1637" s="11" t="s">
        <v>9947</v>
      </c>
      <c r="K1637" s="11" t="s">
        <v>813</v>
      </c>
      <c r="L1637" s="11" t="s">
        <v>4535</v>
      </c>
      <c r="M1637" s="11"/>
      <c r="N1637" s="14" t="n">
        <v>2</v>
      </c>
      <c r="O1637" s="14" t="n">
        <v>2</v>
      </c>
      <c r="P1637" s="14" t="n">
        <v>1</v>
      </c>
      <c r="Q1637" s="14"/>
      <c r="R1637" s="12" t="n">
        <f aca="false">IF(OR(N1637="",P1637=""),"",ROUND(N1637*O1637/P1637,1))</f>
        <v>4</v>
      </c>
      <c r="S1637" s="13" t="n">
        <f aca="false">IF(R1637="","",IF(Q1637="Y",1,IF(P1637&gt;='Read me'!$B$16,3,IF(AND(R1637&gt;='Read me'!$B$14,P1637&lt;='Read me'!$B$15),1,2))))</f>
        <v>2</v>
      </c>
    </row>
    <row r="1638" customFormat="false" ht="23.85" hidden="false" customHeight="false" outlineLevel="0" collapsed="false">
      <c r="A1638" s="11" t="s">
        <v>9948</v>
      </c>
      <c r="B1638" s="11" t="s">
        <v>47</v>
      </c>
      <c r="C1638" s="11" t="s">
        <v>371</v>
      </c>
      <c r="D1638" s="11" t="s">
        <v>372</v>
      </c>
      <c r="E1638" s="11" t="s">
        <v>626</v>
      </c>
      <c r="F1638" s="11" t="s">
        <v>9949</v>
      </c>
      <c r="G1638" s="11" t="s">
        <v>9950</v>
      </c>
      <c r="H1638" s="11"/>
      <c r="I1638" s="11" t="s">
        <v>512</v>
      </c>
      <c r="J1638" s="11" t="s">
        <v>9951</v>
      </c>
      <c r="K1638" s="11" t="s">
        <v>9952</v>
      </c>
      <c r="L1638" s="11" t="s">
        <v>9953</v>
      </c>
      <c r="M1638" s="11"/>
      <c r="N1638" s="14" t="n">
        <v>3</v>
      </c>
      <c r="O1638" s="14" t="n">
        <v>5</v>
      </c>
      <c r="P1638" s="14" t="n">
        <v>2</v>
      </c>
      <c r="Q1638" s="14"/>
      <c r="R1638" s="12" t="n">
        <f aca="false">IF(OR(N1638="",P1638=""),"",ROUND(N1638*O1638/P1638,1))</f>
        <v>7.5</v>
      </c>
      <c r="S1638" s="13" t="n">
        <f aca="false">IF(R1638="","",IF(Q1638="Y",1,IF(P1638&gt;='Read me'!$B$16,3,IF(AND(R1638&gt;='Read me'!$B$14,P1638&lt;='Read me'!$B$15),1,2))))</f>
        <v>1</v>
      </c>
    </row>
    <row r="1639" customFormat="false" ht="23.85" hidden="false" customHeight="false" outlineLevel="0" collapsed="false">
      <c r="A1639" s="11" t="s">
        <v>9954</v>
      </c>
      <c r="B1639" s="11" t="s">
        <v>47</v>
      </c>
      <c r="C1639" s="11" t="s">
        <v>371</v>
      </c>
      <c r="D1639" s="11" t="s">
        <v>372</v>
      </c>
      <c r="E1639" s="11" t="s">
        <v>626</v>
      </c>
      <c r="F1639" s="11" t="s">
        <v>9955</v>
      </c>
      <c r="G1639" s="11" t="s">
        <v>9956</v>
      </c>
      <c r="H1639" s="11"/>
      <c r="I1639" s="11" t="s">
        <v>512</v>
      </c>
      <c r="J1639" s="11" t="s">
        <v>9957</v>
      </c>
      <c r="K1639" s="11" t="s">
        <v>2222</v>
      </c>
      <c r="L1639" s="11" t="s">
        <v>9958</v>
      </c>
      <c r="M1639" s="11"/>
      <c r="N1639" s="14" t="n">
        <v>3</v>
      </c>
      <c r="O1639" s="14" t="n">
        <v>4</v>
      </c>
      <c r="P1639" s="14" t="n">
        <v>2</v>
      </c>
      <c r="Q1639" s="14"/>
      <c r="R1639" s="12" t="n">
        <f aca="false">IF(OR(N1639="",P1639=""),"",ROUND(N1639*O1639/P1639,1))</f>
        <v>6</v>
      </c>
      <c r="S1639" s="13" t="n">
        <f aca="false">IF(R1639="","",IF(Q1639="Y",1,IF(P1639&gt;='Read me'!$B$16,3,IF(AND(R1639&gt;='Read me'!$B$14,P1639&lt;='Read me'!$B$15),1,2))))</f>
        <v>1</v>
      </c>
    </row>
    <row r="1640" customFormat="false" ht="23.85" hidden="false" customHeight="false" outlineLevel="0" collapsed="false">
      <c r="A1640" s="11" t="s">
        <v>9959</v>
      </c>
      <c r="B1640" s="11" t="s">
        <v>47</v>
      </c>
      <c r="C1640" s="11" t="s">
        <v>371</v>
      </c>
      <c r="D1640" s="11" t="s">
        <v>372</v>
      </c>
      <c r="E1640" s="11" t="s">
        <v>751</v>
      </c>
      <c r="F1640" s="11" t="s">
        <v>4105</v>
      </c>
      <c r="G1640" s="11" t="s">
        <v>9960</v>
      </c>
      <c r="H1640" s="11"/>
      <c r="I1640" s="11" t="s">
        <v>9961</v>
      </c>
      <c r="J1640" s="11" t="s">
        <v>9962</v>
      </c>
      <c r="K1640" s="11" t="s">
        <v>4109</v>
      </c>
      <c r="L1640" s="11" t="s">
        <v>4673</v>
      </c>
      <c r="M1640" s="11" t="s">
        <v>1577</v>
      </c>
      <c r="N1640" s="14" t="n">
        <v>2</v>
      </c>
      <c r="O1640" s="14" t="n">
        <v>4</v>
      </c>
      <c r="P1640" s="14" t="n">
        <v>3</v>
      </c>
      <c r="Q1640" s="14"/>
      <c r="R1640" s="12" t="n">
        <f aca="false">IF(OR(N1640="",P1640=""),"",ROUND(N1640*O1640/P1640,1))</f>
        <v>2.7</v>
      </c>
      <c r="S1640" s="13" t="n">
        <f aca="false">IF(R1640="","",IF(Q1640="Y",1,IF(P1640&gt;='Read me'!$B$16,3,IF(AND(R1640&gt;='Read me'!$B$14,P1640&lt;='Read me'!$B$15),1,2))))</f>
        <v>2</v>
      </c>
    </row>
    <row r="1641" customFormat="false" ht="35.05" hidden="false" customHeight="false" outlineLevel="0" collapsed="false">
      <c r="A1641" s="11" t="s">
        <v>9963</v>
      </c>
      <c r="B1641" s="11" t="s">
        <v>47</v>
      </c>
      <c r="C1641" s="11" t="s">
        <v>371</v>
      </c>
      <c r="D1641" s="11" t="s">
        <v>372</v>
      </c>
      <c r="E1641" s="11" t="s">
        <v>751</v>
      </c>
      <c r="F1641" s="11" t="s">
        <v>9964</v>
      </c>
      <c r="G1641" s="11" t="s">
        <v>9965</v>
      </c>
      <c r="H1641" s="11"/>
      <c r="I1641" s="11" t="s">
        <v>9966</v>
      </c>
      <c r="J1641" s="11" t="s">
        <v>9967</v>
      </c>
      <c r="K1641" s="11" t="s">
        <v>2571</v>
      </c>
      <c r="L1641" s="11" t="s">
        <v>9968</v>
      </c>
      <c r="M1641" s="11" t="s">
        <v>9931</v>
      </c>
      <c r="N1641" s="14" t="n">
        <v>1</v>
      </c>
      <c r="O1641" s="14" t="n">
        <v>3</v>
      </c>
      <c r="P1641" s="14" t="n">
        <v>3</v>
      </c>
      <c r="Q1641" s="14"/>
      <c r="R1641" s="12" t="n">
        <f aca="false">IF(OR(N1641="",P1641=""),"",ROUND(N1641*O1641/P1641,1))</f>
        <v>1</v>
      </c>
      <c r="S1641" s="13" t="n">
        <f aca="false">IF(R1641="","",IF(Q1641="Y",1,IF(P1641&gt;='Read me'!$B$16,3,IF(AND(R1641&gt;='Read me'!$B$14,P1641&lt;='Read me'!$B$15),1,2))))</f>
        <v>2</v>
      </c>
    </row>
    <row r="1642" customFormat="false" ht="23.85" hidden="false" customHeight="false" outlineLevel="0" collapsed="false">
      <c r="A1642" s="11" t="s">
        <v>9969</v>
      </c>
      <c r="B1642" s="11" t="s">
        <v>47</v>
      </c>
      <c r="C1642" s="11" t="s">
        <v>371</v>
      </c>
      <c r="D1642" s="11" t="s">
        <v>372</v>
      </c>
      <c r="E1642" s="11" t="s">
        <v>765</v>
      </c>
      <c r="F1642" s="11" t="s">
        <v>9970</v>
      </c>
      <c r="G1642" s="11" t="s">
        <v>2866</v>
      </c>
      <c r="H1642" s="11"/>
      <c r="I1642" s="11" t="s">
        <v>9971</v>
      </c>
      <c r="J1642" s="11" t="s">
        <v>9972</v>
      </c>
      <c r="K1642" s="11" t="s">
        <v>9467</v>
      </c>
      <c r="L1642" s="11" t="s">
        <v>9973</v>
      </c>
      <c r="M1642" s="11"/>
      <c r="N1642" s="14" t="n">
        <v>4</v>
      </c>
      <c r="O1642" s="14" t="n">
        <v>4</v>
      </c>
      <c r="P1642" s="14" t="n">
        <v>1</v>
      </c>
      <c r="Q1642" s="14"/>
      <c r="R1642" s="12" t="n">
        <f aca="false">IF(OR(N1642="",P1642=""),"",ROUND(N1642*O1642/P1642,1))</f>
        <v>16</v>
      </c>
      <c r="S1642" s="13" t="n">
        <f aca="false">IF(R1642="","",IF(Q1642="Y",1,IF(P1642&gt;='Read me'!$B$16,3,IF(AND(R1642&gt;='Read me'!$B$14,P1642&lt;='Read me'!$B$15),1,2))))</f>
        <v>1</v>
      </c>
    </row>
    <row r="1643" customFormat="false" ht="23.85" hidden="false" customHeight="false" outlineLevel="0" collapsed="false">
      <c r="A1643" s="11" t="s">
        <v>9974</v>
      </c>
      <c r="B1643" s="11" t="s">
        <v>47</v>
      </c>
      <c r="C1643" s="11" t="s">
        <v>371</v>
      </c>
      <c r="D1643" s="11" t="s">
        <v>372</v>
      </c>
      <c r="E1643" s="11" t="s">
        <v>765</v>
      </c>
      <c r="F1643" s="11" t="s">
        <v>9975</v>
      </c>
      <c r="G1643" s="11" t="s">
        <v>822</v>
      </c>
      <c r="H1643" s="11"/>
      <c r="I1643" s="11" t="s">
        <v>9976</v>
      </c>
      <c r="J1643" s="11" t="s">
        <v>9977</v>
      </c>
      <c r="K1643" s="11" t="s">
        <v>9978</v>
      </c>
      <c r="L1643" s="11" t="s">
        <v>9979</v>
      </c>
      <c r="M1643" s="11"/>
      <c r="N1643" s="14" t="n">
        <v>2</v>
      </c>
      <c r="O1643" s="14" t="n">
        <v>3</v>
      </c>
      <c r="P1643" s="14" t="n">
        <v>2</v>
      </c>
      <c r="Q1643" s="14"/>
      <c r="R1643" s="12" t="n">
        <f aca="false">IF(OR(N1643="",P1643=""),"",ROUND(N1643*O1643/P1643,1))</f>
        <v>3</v>
      </c>
      <c r="S1643" s="13" t="n">
        <f aca="false">IF(R1643="","",IF(Q1643="Y",1,IF(P1643&gt;='Read me'!$B$16,3,IF(AND(R1643&gt;='Read me'!$B$14,P1643&lt;='Read me'!$B$15),1,2))))</f>
        <v>2</v>
      </c>
    </row>
    <row r="1644" customFormat="false" ht="23.85" hidden="false" customHeight="false" outlineLevel="0" collapsed="false">
      <c r="A1644" s="11" t="s">
        <v>9980</v>
      </c>
      <c r="B1644" s="11" t="s">
        <v>47</v>
      </c>
      <c r="C1644" s="11" t="s">
        <v>371</v>
      </c>
      <c r="D1644" s="11" t="s">
        <v>372</v>
      </c>
      <c r="E1644" s="11" t="s">
        <v>1081</v>
      </c>
      <c r="F1644" s="11" t="s">
        <v>9981</v>
      </c>
      <c r="G1644" s="11" t="s">
        <v>2456</v>
      </c>
      <c r="H1644" s="11" t="s">
        <v>4323</v>
      </c>
      <c r="I1644" s="11" t="s">
        <v>9982</v>
      </c>
      <c r="J1644" s="11" t="s">
        <v>9983</v>
      </c>
      <c r="K1644" s="11" t="s">
        <v>9984</v>
      </c>
      <c r="L1644" s="11" t="s">
        <v>9985</v>
      </c>
      <c r="M1644" s="11"/>
      <c r="N1644" s="14" t="n">
        <v>1</v>
      </c>
      <c r="O1644" s="14" t="n">
        <v>5</v>
      </c>
      <c r="P1644" s="14" t="n">
        <v>4</v>
      </c>
      <c r="Q1644" s="14"/>
      <c r="R1644" s="12" t="n">
        <f aca="false">IF(OR(N1644="",P1644=""),"",ROUND(N1644*O1644/P1644,1))</f>
        <v>1.3</v>
      </c>
      <c r="S1644" s="13" t="n">
        <f aca="false">IF(R1644="","",IF(Q1644="Y",1,IF(P1644&gt;='Read me'!$B$16,3,IF(AND(R1644&gt;='Read me'!$B$14,P1644&lt;='Read me'!$B$15),1,2))))</f>
        <v>3</v>
      </c>
    </row>
    <row r="1645" customFormat="false" ht="23.85" hidden="false" customHeight="false" outlineLevel="0" collapsed="false">
      <c r="A1645" s="11" t="s">
        <v>9986</v>
      </c>
      <c r="B1645" s="11" t="s">
        <v>47</v>
      </c>
      <c r="C1645" s="11" t="s">
        <v>371</v>
      </c>
      <c r="D1645" s="11" t="s">
        <v>372</v>
      </c>
      <c r="E1645" s="11" t="s">
        <v>1187</v>
      </c>
      <c r="F1645" s="11" t="s">
        <v>9987</v>
      </c>
      <c r="G1645" s="11" t="s">
        <v>9988</v>
      </c>
      <c r="H1645" s="11" t="s">
        <v>9989</v>
      </c>
      <c r="I1645" s="11" t="s">
        <v>512</v>
      </c>
      <c r="J1645" s="11" t="s">
        <v>9990</v>
      </c>
      <c r="K1645" s="11" t="s">
        <v>9991</v>
      </c>
      <c r="L1645" s="11" t="s">
        <v>9992</v>
      </c>
      <c r="M1645" s="11"/>
      <c r="N1645" s="14" t="n">
        <v>2</v>
      </c>
      <c r="O1645" s="14" t="n">
        <v>3</v>
      </c>
      <c r="P1645" s="14" t="n">
        <v>2</v>
      </c>
      <c r="Q1645" s="14"/>
      <c r="R1645" s="12" t="n">
        <f aca="false">IF(OR(N1645="",P1645=""),"",ROUND(N1645*O1645/P1645,1))</f>
        <v>3</v>
      </c>
      <c r="S1645" s="13" t="n">
        <f aca="false">IF(R1645="","",IF(Q1645="Y",1,IF(P1645&gt;='Read me'!$B$16,3,IF(AND(R1645&gt;='Read me'!$B$14,P1645&lt;='Read me'!$B$15),1,2))))</f>
        <v>2</v>
      </c>
    </row>
    <row r="1646" customFormat="false" ht="23.85" hidden="false" customHeight="false" outlineLevel="0" collapsed="false">
      <c r="A1646" s="11" t="s">
        <v>9993</v>
      </c>
      <c r="B1646" s="11" t="s">
        <v>47</v>
      </c>
      <c r="C1646" s="11" t="s">
        <v>371</v>
      </c>
      <c r="D1646" s="11" t="s">
        <v>372</v>
      </c>
      <c r="E1646" s="11" t="s">
        <v>1187</v>
      </c>
      <c r="F1646" s="11" t="s">
        <v>9994</v>
      </c>
      <c r="G1646" s="11" t="s">
        <v>9995</v>
      </c>
      <c r="H1646" s="11" t="s">
        <v>9996</v>
      </c>
      <c r="I1646" s="11" t="s">
        <v>9997</v>
      </c>
      <c r="J1646" s="11" t="s">
        <v>9998</v>
      </c>
      <c r="K1646" s="11" t="s">
        <v>2061</v>
      </c>
      <c r="L1646" s="11" t="s">
        <v>9999</v>
      </c>
      <c r="M1646" s="11"/>
      <c r="N1646" s="14" t="n">
        <v>1</v>
      </c>
      <c r="O1646" s="14" t="n">
        <v>4</v>
      </c>
      <c r="P1646" s="14" t="n">
        <v>3</v>
      </c>
      <c r="Q1646" s="14"/>
      <c r="R1646" s="12" t="n">
        <f aca="false">IF(OR(N1646="",P1646=""),"",ROUND(N1646*O1646/P1646,1))</f>
        <v>1.3</v>
      </c>
      <c r="S1646" s="13" t="n">
        <f aca="false">IF(R1646="","",IF(Q1646="Y",1,IF(P1646&gt;='Read me'!$B$16,3,IF(AND(R1646&gt;='Read me'!$B$14,P1646&lt;='Read me'!$B$15),1,2))))</f>
        <v>2</v>
      </c>
    </row>
    <row r="1647" customFormat="false" ht="15" hidden="false" customHeight="false" outlineLevel="0" collapsed="false">
      <c r="A1647" s="11" t="s">
        <v>10000</v>
      </c>
      <c r="B1647" s="11" t="s">
        <v>47</v>
      </c>
      <c r="C1647" s="11" t="s">
        <v>371</v>
      </c>
      <c r="D1647" s="11" t="s">
        <v>372</v>
      </c>
      <c r="E1647" s="11" t="s">
        <v>1133</v>
      </c>
      <c r="F1647" s="11" t="s">
        <v>10001</v>
      </c>
      <c r="G1647" s="11" t="s">
        <v>1135</v>
      </c>
      <c r="H1647" s="11"/>
      <c r="I1647" s="11" t="s">
        <v>1136</v>
      </c>
      <c r="J1647" s="11" t="s">
        <v>10002</v>
      </c>
      <c r="K1647" s="11" t="s">
        <v>1138</v>
      </c>
      <c r="L1647" s="11" t="s">
        <v>3775</v>
      </c>
      <c r="M1647" s="11"/>
      <c r="N1647" s="14" t="n">
        <v>2</v>
      </c>
      <c r="O1647" s="14" t="n">
        <v>2</v>
      </c>
      <c r="P1647" s="14" t="n">
        <v>1</v>
      </c>
      <c r="Q1647" s="14"/>
      <c r="R1647" s="12" t="n">
        <f aca="false">IF(OR(N1647="",P1647=""),"",ROUND(N1647*O1647/P1647,1))</f>
        <v>4</v>
      </c>
      <c r="S1647" s="13" t="n">
        <f aca="false">IF(R1647="","",IF(Q1647="Y",1,IF(P1647&gt;='Read me'!$B$16,3,IF(AND(R1647&gt;='Read me'!$B$14,P1647&lt;='Read me'!$B$15),1,2))))</f>
        <v>2</v>
      </c>
    </row>
    <row r="1648" customFormat="false" ht="23.85" hidden="false" customHeight="false" outlineLevel="0" collapsed="false">
      <c r="A1648" s="11" t="s">
        <v>10003</v>
      </c>
      <c r="B1648" s="11" t="s">
        <v>47</v>
      </c>
      <c r="C1648" s="11" t="s">
        <v>371</v>
      </c>
      <c r="D1648" s="11" t="s">
        <v>372</v>
      </c>
      <c r="E1648" s="11" t="s">
        <v>1133</v>
      </c>
      <c r="F1648" s="11" t="s">
        <v>1147</v>
      </c>
      <c r="G1648" s="11" t="s">
        <v>1148</v>
      </c>
      <c r="H1648" s="11"/>
      <c r="I1648" s="11" t="s">
        <v>10004</v>
      </c>
      <c r="J1648" s="11" t="s">
        <v>4013</v>
      </c>
      <c r="K1648" s="11" t="s">
        <v>1151</v>
      </c>
      <c r="L1648" s="11" t="s">
        <v>4363</v>
      </c>
      <c r="M1648" s="11" t="s">
        <v>3592</v>
      </c>
      <c r="N1648" s="14" t="n">
        <v>1</v>
      </c>
      <c r="O1648" s="14" t="n">
        <v>4</v>
      </c>
      <c r="P1648" s="14" t="n">
        <v>3</v>
      </c>
      <c r="Q1648" s="14"/>
      <c r="R1648" s="12" t="n">
        <f aca="false">IF(OR(N1648="",P1648=""),"",ROUND(N1648*O1648/P1648,1))</f>
        <v>1.3</v>
      </c>
      <c r="S1648" s="13" t="n">
        <f aca="false">IF(R1648="","",IF(Q1648="Y",1,IF(P1648&gt;='Read me'!$B$16,3,IF(AND(R1648&gt;='Read me'!$B$14,P1648&lt;='Read me'!$B$15),1,2))))</f>
        <v>2</v>
      </c>
    </row>
    <row r="1649" customFormat="false" ht="35.05" hidden="false" customHeight="false" outlineLevel="0" collapsed="false">
      <c r="A1649" s="11" t="s">
        <v>10005</v>
      </c>
      <c r="B1649" s="11" t="s">
        <v>47</v>
      </c>
      <c r="C1649" s="11" t="s">
        <v>371</v>
      </c>
      <c r="D1649" s="11" t="s">
        <v>372</v>
      </c>
      <c r="E1649" s="11" t="s">
        <v>1372</v>
      </c>
      <c r="F1649" s="11" t="s">
        <v>10006</v>
      </c>
      <c r="G1649" s="11" t="s">
        <v>7249</v>
      </c>
      <c r="H1649" s="11"/>
      <c r="I1649" s="11" t="s">
        <v>10007</v>
      </c>
      <c r="J1649" s="11" t="s">
        <v>10008</v>
      </c>
      <c r="K1649" s="11" t="s">
        <v>1028</v>
      </c>
      <c r="L1649" s="11" t="s">
        <v>10009</v>
      </c>
      <c r="M1649" s="11" t="s">
        <v>3399</v>
      </c>
      <c r="N1649" s="14" t="n">
        <v>1</v>
      </c>
      <c r="O1649" s="14" t="n">
        <v>3</v>
      </c>
      <c r="P1649" s="14" t="n">
        <v>3</v>
      </c>
      <c r="Q1649" s="14"/>
      <c r="R1649" s="12" t="n">
        <f aca="false">IF(OR(N1649="",P1649=""),"",ROUND(N1649*O1649/P1649,1))</f>
        <v>1</v>
      </c>
      <c r="S1649" s="13" t="n">
        <f aca="false">IF(R1649="","",IF(Q1649="Y",1,IF(P1649&gt;='Read me'!$B$16,3,IF(AND(R1649&gt;='Read me'!$B$14,P1649&lt;='Read me'!$B$15),1,2))))</f>
        <v>2</v>
      </c>
    </row>
    <row r="1650" customFormat="false" ht="35.05" hidden="false" customHeight="false" outlineLevel="0" collapsed="false">
      <c r="A1650" s="11" t="s">
        <v>10010</v>
      </c>
      <c r="B1650" s="11" t="s">
        <v>47</v>
      </c>
      <c r="C1650" s="11" t="s">
        <v>371</v>
      </c>
      <c r="D1650" s="11" t="s">
        <v>372</v>
      </c>
      <c r="E1650" s="11" t="s">
        <v>1372</v>
      </c>
      <c r="F1650" s="11" t="s">
        <v>10011</v>
      </c>
      <c r="G1650" s="11" t="s">
        <v>10012</v>
      </c>
      <c r="H1650" s="11"/>
      <c r="I1650" s="11" t="s">
        <v>10013</v>
      </c>
      <c r="J1650" s="11" t="s">
        <v>10014</v>
      </c>
      <c r="K1650" s="11" t="s">
        <v>1151</v>
      </c>
      <c r="L1650" s="11" t="s">
        <v>10015</v>
      </c>
      <c r="M1650" s="11" t="s">
        <v>9931</v>
      </c>
      <c r="N1650" s="14" t="n">
        <v>2</v>
      </c>
      <c r="O1650" s="14" t="n">
        <v>4</v>
      </c>
      <c r="P1650" s="14" t="n">
        <v>1</v>
      </c>
      <c r="Q1650" s="14"/>
      <c r="R1650" s="12" t="n">
        <f aca="false">IF(OR(N1650="",P1650=""),"",ROUND(N1650*O1650/P1650,1))</f>
        <v>8</v>
      </c>
      <c r="S1650" s="13" t="n">
        <f aca="false">IF(R1650="","",IF(Q1650="Y",1,IF(P1650&gt;='Read me'!$B$16,3,IF(AND(R1650&gt;='Read me'!$B$14,P1650&lt;='Read me'!$B$15),1,2))))</f>
        <v>1</v>
      </c>
    </row>
    <row r="1651" customFormat="false" ht="23.85" hidden="false" customHeight="false" outlineLevel="0" collapsed="false">
      <c r="A1651" s="11" t="s">
        <v>10016</v>
      </c>
      <c r="B1651" s="11" t="s">
        <v>47</v>
      </c>
      <c r="C1651" s="11" t="s">
        <v>376</v>
      </c>
      <c r="D1651" s="11" t="s">
        <v>377</v>
      </c>
      <c r="E1651" s="11" t="s">
        <v>476</v>
      </c>
      <c r="F1651" s="11" t="s">
        <v>5326</v>
      </c>
      <c r="G1651" s="11" t="s">
        <v>478</v>
      </c>
      <c r="H1651" s="11"/>
      <c r="I1651" s="11" t="s">
        <v>10017</v>
      </c>
      <c r="J1651" s="11" t="s">
        <v>10018</v>
      </c>
      <c r="K1651" s="11" t="s">
        <v>5329</v>
      </c>
      <c r="L1651" s="11" t="s">
        <v>10019</v>
      </c>
      <c r="M1651" s="11"/>
      <c r="N1651" s="14" t="n">
        <v>3</v>
      </c>
      <c r="O1651" s="14" t="n">
        <v>4</v>
      </c>
      <c r="P1651" s="14" t="n">
        <v>1</v>
      </c>
      <c r="Q1651" s="14"/>
      <c r="R1651" s="12" t="n">
        <f aca="false">IF(OR(N1651="",P1651=""),"",ROUND(N1651*O1651/P1651,1))</f>
        <v>12</v>
      </c>
      <c r="S1651" s="13" t="n">
        <f aca="false">IF(R1651="","",IF(Q1651="Y",1,IF(P1651&gt;='Read me'!$B$16,3,IF(AND(R1651&gt;='Read me'!$B$14,P1651&lt;='Read me'!$B$15),1,2))))</f>
        <v>1</v>
      </c>
    </row>
    <row r="1652" customFormat="false" ht="35.05" hidden="false" customHeight="false" outlineLevel="0" collapsed="false">
      <c r="A1652" s="11" t="s">
        <v>10020</v>
      </c>
      <c r="B1652" s="11" t="s">
        <v>47</v>
      </c>
      <c r="C1652" s="11" t="s">
        <v>376</v>
      </c>
      <c r="D1652" s="11" t="s">
        <v>377</v>
      </c>
      <c r="E1652" s="11" t="s">
        <v>476</v>
      </c>
      <c r="F1652" s="11" t="s">
        <v>10021</v>
      </c>
      <c r="G1652" s="11" t="s">
        <v>10022</v>
      </c>
      <c r="H1652" s="11"/>
      <c r="I1652" s="11" t="s">
        <v>512</v>
      </c>
      <c r="J1652" s="11" t="s">
        <v>10023</v>
      </c>
      <c r="K1652" s="11" t="s">
        <v>10024</v>
      </c>
      <c r="L1652" s="11" t="s">
        <v>10025</v>
      </c>
      <c r="M1652" s="11" t="s">
        <v>3376</v>
      </c>
      <c r="N1652" s="14" t="n">
        <v>2</v>
      </c>
      <c r="O1652" s="14" t="n">
        <v>4</v>
      </c>
      <c r="P1652" s="14" t="n">
        <v>1</v>
      </c>
      <c r="Q1652" s="14"/>
      <c r="R1652" s="12" t="n">
        <f aca="false">IF(OR(N1652="",P1652=""),"",ROUND(N1652*O1652/P1652,1))</f>
        <v>8</v>
      </c>
      <c r="S1652" s="13" t="n">
        <f aca="false">IF(R1652="","",IF(Q1652="Y",1,IF(P1652&gt;='Read me'!$B$16,3,IF(AND(R1652&gt;='Read me'!$B$14,P1652&lt;='Read me'!$B$15),1,2))))</f>
        <v>1</v>
      </c>
    </row>
    <row r="1653" customFormat="false" ht="23.85" hidden="false" customHeight="false" outlineLevel="0" collapsed="false">
      <c r="A1653" s="11" t="s">
        <v>10026</v>
      </c>
      <c r="B1653" s="11" t="s">
        <v>47</v>
      </c>
      <c r="C1653" s="11" t="s">
        <v>376</v>
      </c>
      <c r="D1653" s="11" t="s">
        <v>377</v>
      </c>
      <c r="E1653" s="11" t="s">
        <v>532</v>
      </c>
      <c r="F1653" s="11" t="s">
        <v>10027</v>
      </c>
      <c r="G1653" s="11" t="s">
        <v>1479</v>
      </c>
      <c r="H1653" s="11"/>
      <c r="I1653" s="11" t="s">
        <v>10028</v>
      </c>
      <c r="J1653" s="11" t="s">
        <v>10029</v>
      </c>
      <c r="K1653" s="11" t="s">
        <v>10030</v>
      </c>
      <c r="L1653" s="11" t="s">
        <v>10031</v>
      </c>
      <c r="M1653" s="11"/>
      <c r="N1653" s="14" t="n">
        <v>2</v>
      </c>
      <c r="O1653" s="14" t="n">
        <v>5</v>
      </c>
      <c r="P1653" s="14" t="n">
        <v>4</v>
      </c>
      <c r="Q1653" s="14"/>
      <c r="R1653" s="12" t="n">
        <f aca="false">IF(OR(N1653="",P1653=""),"",ROUND(N1653*O1653/P1653,1))</f>
        <v>2.5</v>
      </c>
      <c r="S1653" s="13" t="n">
        <f aca="false">IF(R1653="","",IF(Q1653="Y",1,IF(P1653&gt;='Read me'!$B$16,3,IF(AND(R1653&gt;='Read me'!$B$14,P1653&lt;='Read me'!$B$15),1,2))))</f>
        <v>3</v>
      </c>
    </row>
    <row r="1654" customFormat="false" ht="23.85" hidden="false" customHeight="false" outlineLevel="0" collapsed="false">
      <c r="A1654" s="11" t="s">
        <v>10032</v>
      </c>
      <c r="B1654" s="11" t="s">
        <v>47</v>
      </c>
      <c r="C1654" s="11" t="s">
        <v>376</v>
      </c>
      <c r="D1654" s="11" t="s">
        <v>377</v>
      </c>
      <c r="E1654" s="11" t="s">
        <v>532</v>
      </c>
      <c r="F1654" s="11" t="s">
        <v>10033</v>
      </c>
      <c r="G1654" s="11" t="s">
        <v>977</v>
      </c>
      <c r="H1654" s="11"/>
      <c r="I1654" s="11" t="s">
        <v>10034</v>
      </c>
      <c r="J1654" s="11" t="s">
        <v>10035</v>
      </c>
      <c r="K1654" s="11" t="s">
        <v>10036</v>
      </c>
      <c r="L1654" s="11" t="s">
        <v>10037</v>
      </c>
      <c r="M1654" s="11"/>
      <c r="N1654" s="14" t="n">
        <v>3</v>
      </c>
      <c r="O1654" s="14" t="n">
        <v>4</v>
      </c>
      <c r="P1654" s="14" t="n">
        <v>2</v>
      </c>
      <c r="Q1654" s="14"/>
      <c r="R1654" s="12" t="n">
        <f aca="false">IF(OR(N1654="",P1654=""),"",ROUND(N1654*O1654/P1654,1))</f>
        <v>6</v>
      </c>
      <c r="S1654" s="13" t="n">
        <f aca="false">IF(R1654="","",IF(Q1654="Y",1,IF(P1654&gt;='Read me'!$B$16,3,IF(AND(R1654&gt;='Read me'!$B$14,P1654&lt;='Read me'!$B$15),1,2))))</f>
        <v>1</v>
      </c>
    </row>
    <row r="1655" customFormat="false" ht="23.85" hidden="false" customHeight="false" outlineLevel="0" collapsed="false">
      <c r="A1655" s="11" t="s">
        <v>10038</v>
      </c>
      <c r="B1655" s="11" t="s">
        <v>47</v>
      </c>
      <c r="C1655" s="11" t="s">
        <v>376</v>
      </c>
      <c r="D1655" s="11" t="s">
        <v>377</v>
      </c>
      <c r="E1655" s="11" t="s">
        <v>532</v>
      </c>
      <c r="F1655" s="11" t="s">
        <v>10033</v>
      </c>
      <c r="G1655" s="11" t="s">
        <v>3515</v>
      </c>
      <c r="H1655" s="11"/>
      <c r="I1655" s="11" t="s">
        <v>10039</v>
      </c>
      <c r="J1655" s="11" t="s">
        <v>10040</v>
      </c>
      <c r="K1655" s="11" t="s">
        <v>10041</v>
      </c>
      <c r="L1655" s="11" t="s">
        <v>10042</v>
      </c>
      <c r="M1655" s="11" t="s">
        <v>10043</v>
      </c>
      <c r="N1655" s="14" t="n">
        <v>2</v>
      </c>
      <c r="O1655" s="14" t="n">
        <v>4</v>
      </c>
      <c r="P1655" s="14" t="n">
        <v>3</v>
      </c>
      <c r="Q1655" s="14"/>
      <c r="R1655" s="12" t="n">
        <f aca="false">IF(OR(N1655="",P1655=""),"",ROUND(N1655*O1655/P1655,1))</f>
        <v>2.7</v>
      </c>
      <c r="S1655" s="13" t="n">
        <f aca="false">IF(R1655="","",IF(Q1655="Y",1,IF(P1655&gt;='Read me'!$B$16,3,IF(AND(R1655&gt;='Read me'!$B$14,P1655&lt;='Read me'!$B$15),1,2))))</f>
        <v>2</v>
      </c>
    </row>
    <row r="1656" customFormat="false" ht="46.25" hidden="false" customHeight="false" outlineLevel="0" collapsed="false">
      <c r="A1656" s="11" t="s">
        <v>10044</v>
      </c>
      <c r="B1656" s="11" t="s">
        <v>47</v>
      </c>
      <c r="C1656" s="11" t="s">
        <v>376</v>
      </c>
      <c r="D1656" s="11" t="s">
        <v>377</v>
      </c>
      <c r="E1656" s="11" t="s">
        <v>532</v>
      </c>
      <c r="F1656" s="11" t="s">
        <v>10033</v>
      </c>
      <c r="G1656" s="11" t="s">
        <v>10045</v>
      </c>
      <c r="H1656" s="11"/>
      <c r="I1656" s="11" t="s">
        <v>10046</v>
      </c>
      <c r="J1656" s="11" t="s">
        <v>10047</v>
      </c>
      <c r="K1656" s="11" t="s">
        <v>5349</v>
      </c>
      <c r="L1656" s="11" t="s">
        <v>10048</v>
      </c>
      <c r="M1656" s="11" t="s">
        <v>3942</v>
      </c>
      <c r="N1656" s="14" t="n">
        <v>2</v>
      </c>
      <c r="O1656" s="14" t="n">
        <v>4</v>
      </c>
      <c r="P1656" s="14" t="n">
        <v>4</v>
      </c>
      <c r="Q1656" s="14"/>
      <c r="R1656" s="12" t="n">
        <f aca="false">IF(OR(N1656="",P1656=""),"",ROUND(N1656*O1656/P1656,1))</f>
        <v>2</v>
      </c>
      <c r="S1656" s="13" t="n">
        <f aca="false">IF(R1656="","",IF(Q1656="Y",1,IF(P1656&gt;='Read me'!$B$16,3,IF(AND(R1656&gt;='Read me'!$B$14,P1656&lt;='Read me'!$B$15),1,2))))</f>
        <v>3</v>
      </c>
    </row>
    <row r="1657" customFormat="false" ht="35.05" hidden="false" customHeight="false" outlineLevel="0" collapsed="false">
      <c r="A1657" s="11" t="s">
        <v>10049</v>
      </c>
      <c r="B1657" s="11" t="s">
        <v>47</v>
      </c>
      <c r="C1657" s="11" t="s">
        <v>376</v>
      </c>
      <c r="D1657" s="11" t="s">
        <v>377</v>
      </c>
      <c r="E1657" s="11" t="s">
        <v>532</v>
      </c>
      <c r="F1657" s="11" t="s">
        <v>10050</v>
      </c>
      <c r="G1657" s="11" t="s">
        <v>2301</v>
      </c>
      <c r="H1657" s="11"/>
      <c r="I1657" s="11" t="s">
        <v>10051</v>
      </c>
      <c r="J1657" s="11" t="s">
        <v>7572</v>
      </c>
      <c r="K1657" s="11" t="s">
        <v>10052</v>
      </c>
      <c r="L1657" s="11" t="s">
        <v>10053</v>
      </c>
      <c r="M1657" s="11" t="s">
        <v>3977</v>
      </c>
      <c r="N1657" s="14" t="n">
        <v>1</v>
      </c>
      <c r="O1657" s="14" t="n">
        <v>5</v>
      </c>
      <c r="P1657" s="14" t="n">
        <v>2</v>
      </c>
      <c r="Q1657" s="14"/>
      <c r="R1657" s="12" t="n">
        <f aca="false">IF(OR(N1657="",P1657=""),"",ROUND(N1657*O1657/P1657,1))</f>
        <v>2.5</v>
      </c>
      <c r="S1657" s="13" t="n">
        <f aca="false">IF(R1657="","",IF(Q1657="Y",1,IF(P1657&gt;='Read me'!$B$16,3,IF(AND(R1657&gt;='Read me'!$B$14,P1657&lt;='Read me'!$B$15),1,2))))</f>
        <v>2</v>
      </c>
    </row>
    <row r="1658" customFormat="false" ht="23.85" hidden="false" customHeight="false" outlineLevel="0" collapsed="false">
      <c r="A1658" s="11" t="s">
        <v>10054</v>
      </c>
      <c r="B1658" s="11" t="s">
        <v>47</v>
      </c>
      <c r="C1658" s="11" t="s">
        <v>376</v>
      </c>
      <c r="D1658" s="11" t="s">
        <v>377</v>
      </c>
      <c r="E1658" s="11" t="s">
        <v>626</v>
      </c>
      <c r="F1658" s="11" t="s">
        <v>10055</v>
      </c>
      <c r="G1658" s="11" t="s">
        <v>5624</v>
      </c>
      <c r="H1658" s="11"/>
      <c r="I1658" s="11" t="s">
        <v>10056</v>
      </c>
      <c r="J1658" s="11" t="s">
        <v>10057</v>
      </c>
      <c r="K1658" s="11" t="s">
        <v>3713</v>
      </c>
      <c r="L1658" s="11" t="s">
        <v>10058</v>
      </c>
      <c r="M1658" s="11"/>
      <c r="N1658" s="14" t="n">
        <v>3</v>
      </c>
      <c r="O1658" s="14" t="n">
        <v>3</v>
      </c>
      <c r="P1658" s="14" t="n">
        <v>1</v>
      </c>
      <c r="Q1658" s="14"/>
      <c r="R1658" s="12" t="n">
        <f aca="false">IF(OR(N1658="",P1658=""),"",ROUND(N1658*O1658/P1658,1))</f>
        <v>9</v>
      </c>
      <c r="S1658" s="13" t="n">
        <f aca="false">IF(R1658="","",IF(Q1658="Y",1,IF(P1658&gt;='Read me'!$B$16,3,IF(AND(R1658&gt;='Read me'!$B$14,P1658&lt;='Read me'!$B$15),1,2))))</f>
        <v>1</v>
      </c>
    </row>
    <row r="1659" customFormat="false" ht="23.85" hidden="false" customHeight="false" outlineLevel="0" collapsed="false">
      <c r="A1659" s="11" t="s">
        <v>10059</v>
      </c>
      <c r="B1659" s="11" t="s">
        <v>47</v>
      </c>
      <c r="C1659" s="11" t="s">
        <v>376</v>
      </c>
      <c r="D1659" s="11" t="s">
        <v>377</v>
      </c>
      <c r="E1659" s="11" t="s">
        <v>626</v>
      </c>
      <c r="F1659" s="11" t="s">
        <v>10060</v>
      </c>
      <c r="G1659" s="11" t="s">
        <v>10061</v>
      </c>
      <c r="H1659" s="11"/>
      <c r="I1659" s="11" t="s">
        <v>512</v>
      </c>
      <c r="J1659" s="11" t="s">
        <v>10062</v>
      </c>
      <c r="K1659" s="11" t="s">
        <v>10063</v>
      </c>
      <c r="L1659" s="11" t="s">
        <v>10064</v>
      </c>
      <c r="M1659" s="11"/>
      <c r="N1659" s="14" t="n">
        <v>2</v>
      </c>
      <c r="O1659" s="14" t="n">
        <v>5</v>
      </c>
      <c r="P1659" s="14" t="n">
        <v>4</v>
      </c>
      <c r="Q1659" s="14"/>
      <c r="R1659" s="12" t="n">
        <f aca="false">IF(OR(N1659="",P1659=""),"",ROUND(N1659*O1659/P1659,1))</f>
        <v>2.5</v>
      </c>
      <c r="S1659" s="13" t="n">
        <f aca="false">IF(R1659="","",IF(Q1659="Y",1,IF(P1659&gt;='Read me'!$B$16,3,IF(AND(R1659&gt;='Read me'!$B$14,P1659&lt;='Read me'!$B$15),1,2))))</f>
        <v>3</v>
      </c>
    </row>
    <row r="1660" customFormat="false" ht="23.85" hidden="false" customHeight="false" outlineLevel="0" collapsed="false">
      <c r="A1660" s="11" t="s">
        <v>10065</v>
      </c>
      <c r="B1660" s="11" t="s">
        <v>47</v>
      </c>
      <c r="C1660" s="11" t="s">
        <v>376</v>
      </c>
      <c r="D1660" s="11" t="s">
        <v>377</v>
      </c>
      <c r="E1660" s="11" t="s">
        <v>751</v>
      </c>
      <c r="F1660" s="11" t="s">
        <v>1251</v>
      </c>
      <c r="G1660" s="11" t="s">
        <v>1252</v>
      </c>
      <c r="H1660" s="11"/>
      <c r="I1660" s="11" t="s">
        <v>1251</v>
      </c>
      <c r="J1660" s="11" t="s">
        <v>10066</v>
      </c>
      <c r="K1660" s="11" t="s">
        <v>1254</v>
      </c>
      <c r="L1660" s="11" t="s">
        <v>3967</v>
      </c>
      <c r="M1660" s="11" t="s">
        <v>1577</v>
      </c>
      <c r="N1660" s="14" t="n">
        <v>2</v>
      </c>
      <c r="O1660" s="14" t="n">
        <v>4</v>
      </c>
      <c r="P1660" s="14" t="n">
        <v>3</v>
      </c>
      <c r="Q1660" s="14"/>
      <c r="R1660" s="12" t="n">
        <f aca="false">IF(OR(N1660="",P1660=""),"",ROUND(N1660*O1660/P1660,1))</f>
        <v>2.7</v>
      </c>
      <c r="S1660" s="13" t="n">
        <f aca="false">IF(R1660="","",IF(Q1660="Y",1,IF(P1660&gt;='Read me'!$B$16,3,IF(AND(R1660&gt;='Read me'!$B$14,P1660&lt;='Read me'!$B$15),1,2))))</f>
        <v>2</v>
      </c>
    </row>
    <row r="1661" customFormat="false" ht="23.85" hidden="false" customHeight="false" outlineLevel="0" collapsed="false">
      <c r="A1661" s="11" t="s">
        <v>10067</v>
      </c>
      <c r="B1661" s="11" t="s">
        <v>47</v>
      </c>
      <c r="C1661" s="11" t="s">
        <v>376</v>
      </c>
      <c r="D1661" s="11" t="s">
        <v>377</v>
      </c>
      <c r="E1661" s="11" t="s">
        <v>751</v>
      </c>
      <c r="F1661" s="11" t="s">
        <v>4105</v>
      </c>
      <c r="G1661" s="11" t="s">
        <v>10068</v>
      </c>
      <c r="H1661" s="11"/>
      <c r="I1661" s="11" t="s">
        <v>10069</v>
      </c>
      <c r="J1661" s="11" t="s">
        <v>10070</v>
      </c>
      <c r="K1661" s="11" t="s">
        <v>4437</v>
      </c>
      <c r="L1661" s="11" t="s">
        <v>10071</v>
      </c>
      <c r="M1661" s="11" t="s">
        <v>1577</v>
      </c>
      <c r="N1661" s="14" t="n">
        <v>1</v>
      </c>
      <c r="O1661" s="14" t="n">
        <v>4</v>
      </c>
      <c r="P1661" s="14" t="n">
        <v>4</v>
      </c>
      <c r="Q1661" s="14"/>
      <c r="R1661" s="12" t="n">
        <f aca="false">IF(OR(N1661="",P1661=""),"",ROUND(N1661*O1661/P1661,1))</f>
        <v>1</v>
      </c>
      <c r="S1661" s="13" t="n">
        <f aca="false">IF(R1661="","",IF(Q1661="Y",1,IF(P1661&gt;='Read me'!$B$16,3,IF(AND(R1661&gt;='Read me'!$B$14,P1661&lt;='Read me'!$B$15),1,2))))</f>
        <v>3</v>
      </c>
    </row>
    <row r="1662" customFormat="false" ht="23.85" hidden="false" customHeight="false" outlineLevel="0" collapsed="false">
      <c r="A1662" s="11" t="s">
        <v>10072</v>
      </c>
      <c r="B1662" s="11" t="s">
        <v>47</v>
      </c>
      <c r="C1662" s="11" t="s">
        <v>376</v>
      </c>
      <c r="D1662" s="11" t="s">
        <v>377</v>
      </c>
      <c r="E1662" s="11" t="s">
        <v>751</v>
      </c>
      <c r="F1662" s="11" t="s">
        <v>10073</v>
      </c>
      <c r="G1662" s="11"/>
      <c r="H1662" s="11" t="s">
        <v>10074</v>
      </c>
      <c r="I1662" s="11" t="s">
        <v>512</v>
      </c>
      <c r="J1662" s="11" t="s">
        <v>10075</v>
      </c>
      <c r="K1662" s="11" t="s">
        <v>683</v>
      </c>
      <c r="L1662" s="11" t="s">
        <v>10076</v>
      </c>
      <c r="M1662" s="11"/>
      <c r="N1662" s="14" t="n">
        <v>1</v>
      </c>
      <c r="O1662" s="14" t="n">
        <v>3</v>
      </c>
      <c r="P1662" s="14" t="n">
        <v>4</v>
      </c>
      <c r="Q1662" s="14"/>
      <c r="R1662" s="12" t="n">
        <f aca="false">IF(OR(N1662="",P1662=""),"",ROUND(N1662*O1662/P1662,1))</f>
        <v>0.8</v>
      </c>
      <c r="S1662" s="13" t="n">
        <f aca="false">IF(R1662="","",IF(Q1662="Y",1,IF(P1662&gt;='Read me'!$B$16,3,IF(AND(R1662&gt;='Read me'!$B$14,P1662&lt;='Read me'!$B$15),1,2))))</f>
        <v>3</v>
      </c>
    </row>
    <row r="1663" customFormat="false" ht="35.05" hidden="false" customHeight="false" outlineLevel="0" collapsed="false">
      <c r="A1663" s="11" t="s">
        <v>10077</v>
      </c>
      <c r="B1663" s="11" t="s">
        <v>47</v>
      </c>
      <c r="C1663" s="11" t="s">
        <v>376</v>
      </c>
      <c r="D1663" s="11" t="s">
        <v>377</v>
      </c>
      <c r="E1663" s="11" t="s">
        <v>765</v>
      </c>
      <c r="F1663" s="11" t="s">
        <v>10078</v>
      </c>
      <c r="G1663" s="11" t="s">
        <v>8538</v>
      </c>
      <c r="H1663" s="11"/>
      <c r="I1663" s="11" t="s">
        <v>10079</v>
      </c>
      <c r="J1663" s="11" t="s">
        <v>10080</v>
      </c>
      <c r="K1663" s="11" t="s">
        <v>10081</v>
      </c>
      <c r="L1663" s="11" t="s">
        <v>10082</v>
      </c>
      <c r="M1663" s="11" t="s">
        <v>3399</v>
      </c>
      <c r="N1663" s="14" t="n">
        <v>3</v>
      </c>
      <c r="O1663" s="14" t="n">
        <v>3</v>
      </c>
      <c r="P1663" s="14" t="n">
        <v>2</v>
      </c>
      <c r="Q1663" s="14"/>
      <c r="R1663" s="12" t="n">
        <f aca="false">IF(OR(N1663="",P1663=""),"",ROUND(N1663*O1663/P1663,1))</f>
        <v>4.5</v>
      </c>
      <c r="S1663" s="13" t="n">
        <f aca="false">IF(R1663="","",IF(Q1663="Y",1,IF(P1663&gt;='Read me'!$B$16,3,IF(AND(R1663&gt;='Read me'!$B$14,P1663&lt;='Read me'!$B$15),1,2))))</f>
        <v>2</v>
      </c>
    </row>
    <row r="1664" customFormat="false" ht="15" hidden="false" customHeight="false" outlineLevel="0" collapsed="false">
      <c r="A1664" s="11" t="s">
        <v>10083</v>
      </c>
      <c r="B1664" s="11" t="s">
        <v>47</v>
      </c>
      <c r="C1664" s="11" t="s">
        <v>376</v>
      </c>
      <c r="D1664" s="11" t="s">
        <v>377</v>
      </c>
      <c r="E1664" s="11" t="s">
        <v>765</v>
      </c>
      <c r="F1664" s="11" t="s">
        <v>4822</v>
      </c>
      <c r="G1664" s="11" t="s">
        <v>10084</v>
      </c>
      <c r="H1664" s="11"/>
      <c r="I1664" s="11" t="s">
        <v>10085</v>
      </c>
      <c r="J1664" s="11" t="s">
        <v>10086</v>
      </c>
      <c r="K1664" s="11" t="s">
        <v>4825</v>
      </c>
      <c r="L1664" s="11" t="s">
        <v>10087</v>
      </c>
      <c r="M1664" s="11"/>
      <c r="N1664" s="14" t="n">
        <v>3</v>
      </c>
      <c r="O1664" s="14" t="n">
        <v>3</v>
      </c>
      <c r="P1664" s="14" t="n">
        <v>1</v>
      </c>
      <c r="Q1664" s="14"/>
      <c r="R1664" s="12" t="n">
        <f aca="false">IF(OR(N1664="",P1664=""),"",ROUND(N1664*O1664/P1664,1))</f>
        <v>9</v>
      </c>
      <c r="S1664" s="13" t="n">
        <f aca="false">IF(R1664="","",IF(Q1664="Y",1,IF(P1664&gt;='Read me'!$B$16,3,IF(AND(R1664&gt;='Read me'!$B$14,P1664&lt;='Read me'!$B$15),1,2))))</f>
        <v>1</v>
      </c>
    </row>
    <row r="1665" customFormat="false" ht="35.05" hidden="false" customHeight="false" outlineLevel="0" collapsed="false">
      <c r="A1665" s="11" t="s">
        <v>10088</v>
      </c>
      <c r="B1665" s="11" t="s">
        <v>47</v>
      </c>
      <c r="C1665" s="11" t="s">
        <v>376</v>
      </c>
      <c r="D1665" s="11" t="s">
        <v>377</v>
      </c>
      <c r="E1665" s="11" t="s">
        <v>765</v>
      </c>
      <c r="F1665" s="11" t="s">
        <v>10089</v>
      </c>
      <c r="G1665" s="11" t="s">
        <v>10090</v>
      </c>
      <c r="H1665" s="11"/>
      <c r="I1665" s="11" t="s">
        <v>10091</v>
      </c>
      <c r="J1665" s="11" t="s">
        <v>10092</v>
      </c>
      <c r="K1665" s="11" t="s">
        <v>1609</v>
      </c>
      <c r="L1665" s="11" t="s">
        <v>10093</v>
      </c>
      <c r="M1665" s="11"/>
      <c r="N1665" s="14" t="n">
        <v>1</v>
      </c>
      <c r="O1665" s="14" t="n">
        <v>2</v>
      </c>
      <c r="P1665" s="14" t="n">
        <v>3</v>
      </c>
      <c r="Q1665" s="14"/>
      <c r="R1665" s="12" t="n">
        <f aca="false">IF(OR(N1665="",P1665=""),"",ROUND(N1665*O1665/P1665,1))</f>
        <v>0.7</v>
      </c>
      <c r="S1665" s="13" t="n">
        <f aca="false">IF(R1665="","",IF(Q1665="Y",1,IF(P1665&gt;='Read me'!$B$16,3,IF(AND(R1665&gt;='Read me'!$B$14,P1665&lt;='Read me'!$B$15),1,2))))</f>
        <v>2</v>
      </c>
    </row>
    <row r="1666" customFormat="false" ht="23.85" hidden="false" customHeight="false" outlineLevel="0" collapsed="false">
      <c r="A1666" s="11" t="s">
        <v>10094</v>
      </c>
      <c r="B1666" s="11" t="s">
        <v>47</v>
      </c>
      <c r="C1666" s="11" t="s">
        <v>376</v>
      </c>
      <c r="D1666" s="11" t="s">
        <v>377</v>
      </c>
      <c r="E1666" s="11" t="s">
        <v>1187</v>
      </c>
      <c r="F1666" s="11" t="s">
        <v>10095</v>
      </c>
      <c r="G1666" s="11" t="s">
        <v>10096</v>
      </c>
      <c r="H1666" s="11" t="s">
        <v>10097</v>
      </c>
      <c r="I1666" s="11" t="s">
        <v>512</v>
      </c>
      <c r="J1666" s="11" t="s">
        <v>10098</v>
      </c>
      <c r="K1666" s="11" t="s">
        <v>1702</v>
      </c>
      <c r="L1666" s="11" t="s">
        <v>10099</v>
      </c>
      <c r="M1666" s="11"/>
      <c r="N1666" s="14" t="n">
        <v>1</v>
      </c>
      <c r="O1666" s="14" t="n">
        <v>3</v>
      </c>
      <c r="P1666" s="14" t="n">
        <v>3</v>
      </c>
      <c r="Q1666" s="14"/>
      <c r="R1666" s="12" t="n">
        <f aca="false">IF(OR(N1666="",P1666=""),"",ROUND(N1666*O1666/P1666,1))</f>
        <v>1</v>
      </c>
      <c r="S1666" s="13" t="n">
        <f aca="false">IF(R1666="","",IF(Q1666="Y",1,IF(P1666&gt;='Read me'!$B$16,3,IF(AND(R1666&gt;='Read me'!$B$14,P1666&lt;='Read me'!$B$15),1,2))))</f>
        <v>2</v>
      </c>
    </row>
    <row r="1667" customFormat="false" ht="23.85" hidden="false" customHeight="false" outlineLevel="0" collapsed="false">
      <c r="A1667" s="11" t="s">
        <v>10100</v>
      </c>
      <c r="B1667" s="11" t="s">
        <v>47</v>
      </c>
      <c r="C1667" s="11" t="s">
        <v>376</v>
      </c>
      <c r="D1667" s="11" t="s">
        <v>377</v>
      </c>
      <c r="E1667" s="11" t="s">
        <v>1187</v>
      </c>
      <c r="F1667" s="11" t="s">
        <v>10101</v>
      </c>
      <c r="G1667" s="11" t="s">
        <v>10102</v>
      </c>
      <c r="H1667" s="11" t="s">
        <v>4828</v>
      </c>
      <c r="I1667" s="11" t="s">
        <v>10103</v>
      </c>
      <c r="J1667" s="11" t="s">
        <v>10104</v>
      </c>
      <c r="K1667" s="11" t="s">
        <v>10105</v>
      </c>
      <c r="L1667" s="11" t="s">
        <v>10106</v>
      </c>
      <c r="M1667" s="11"/>
      <c r="N1667" s="14" t="n">
        <v>1</v>
      </c>
      <c r="O1667" s="14" t="n">
        <v>4</v>
      </c>
      <c r="P1667" s="14" t="n">
        <v>3</v>
      </c>
      <c r="Q1667" s="14"/>
      <c r="R1667" s="12" t="n">
        <f aca="false">IF(OR(N1667="",P1667=""),"",ROUND(N1667*O1667/P1667,1))</f>
        <v>1.3</v>
      </c>
      <c r="S1667" s="13" t="n">
        <f aca="false">IF(R1667="","",IF(Q1667="Y",1,IF(P1667&gt;='Read me'!$B$16,3,IF(AND(R1667&gt;='Read me'!$B$14,P1667&lt;='Read me'!$B$15),1,2))))</f>
        <v>2</v>
      </c>
    </row>
    <row r="1668" customFormat="false" ht="23.85" hidden="false" customHeight="false" outlineLevel="0" collapsed="false">
      <c r="A1668" s="11" t="s">
        <v>10107</v>
      </c>
      <c r="B1668" s="11" t="s">
        <v>47</v>
      </c>
      <c r="C1668" s="11" t="s">
        <v>376</v>
      </c>
      <c r="D1668" s="11" t="s">
        <v>377</v>
      </c>
      <c r="E1668" s="11" t="s">
        <v>1187</v>
      </c>
      <c r="F1668" s="11" t="s">
        <v>10108</v>
      </c>
      <c r="G1668" s="11" t="s">
        <v>4847</v>
      </c>
      <c r="H1668" s="11" t="s">
        <v>4860</v>
      </c>
      <c r="I1668" s="11" t="s">
        <v>10109</v>
      </c>
      <c r="J1668" s="11" t="s">
        <v>10110</v>
      </c>
      <c r="K1668" s="11" t="s">
        <v>675</v>
      </c>
      <c r="L1668" s="11" t="s">
        <v>10111</v>
      </c>
      <c r="M1668" s="11"/>
      <c r="N1668" s="14" t="n">
        <v>1</v>
      </c>
      <c r="O1668" s="14" t="n">
        <v>3</v>
      </c>
      <c r="P1668" s="14" t="n">
        <v>3</v>
      </c>
      <c r="Q1668" s="14"/>
      <c r="R1668" s="12" t="n">
        <f aca="false">IF(OR(N1668="",P1668=""),"",ROUND(N1668*O1668/P1668,1))</f>
        <v>1</v>
      </c>
      <c r="S1668" s="13" t="n">
        <f aca="false">IF(R1668="","",IF(Q1668="Y",1,IF(P1668&gt;='Read me'!$B$16,3,IF(AND(R1668&gt;='Read me'!$B$14,P1668&lt;='Read me'!$B$15),1,2))))</f>
        <v>2</v>
      </c>
    </row>
    <row r="1669" customFormat="false" ht="35.05" hidden="false" customHeight="false" outlineLevel="0" collapsed="false">
      <c r="A1669" s="11" t="s">
        <v>10112</v>
      </c>
      <c r="B1669" s="11" t="s">
        <v>47</v>
      </c>
      <c r="C1669" s="11" t="s">
        <v>376</v>
      </c>
      <c r="D1669" s="11" t="s">
        <v>377</v>
      </c>
      <c r="E1669" s="11" t="s">
        <v>1187</v>
      </c>
      <c r="F1669" s="11" t="s">
        <v>10113</v>
      </c>
      <c r="G1669" s="11" t="s">
        <v>10061</v>
      </c>
      <c r="H1669" s="11" t="s">
        <v>10114</v>
      </c>
      <c r="I1669" s="11" t="s">
        <v>10115</v>
      </c>
      <c r="J1669" s="11" t="s">
        <v>10116</v>
      </c>
      <c r="K1669" s="11" t="s">
        <v>1151</v>
      </c>
      <c r="L1669" s="11" t="s">
        <v>10117</v>
      </c>
      <c r="M1669" s="11" t="s">
        <v>3601</v>
      </c>
      <c r="N1669" s="14" t="n">
        <v>1</v>
      </c>
      <c r="O1669" s="14" t="n">
        <v>5</v>
      </c>
      <c r="P1669" s="14" t="n">
        <v>5</v>
      </c>
      <c r="Q1669" s="14"/>
      <c r="R1669" s="12" t="n">
        <f aca="false">IF(OR(N1669="",P1669=""),"",ROUND(N1669*O1669/P1669,1))</f>
        <v>1</v>
      </c>
      <c r="S1669" s="13" t="n">
        <f aca="false">IF(R1669="","",IF(Q1669="Y",1,IF(P1669&gt;='Read me'!$B$16,3,IF(AND(R1669&gt;='Read me'!$B$14,P1669&lt;='Read me'!$B$15),1,2))))</f>
        <v>3</v>
      </c>
    </row>
    <row r="1670" customFormat="false" ht="23.85" hidden="false" customHeight="false" outlineLevel="0" collapsed="false">
      <c r="A1670" s="11" t="s">
        <v>10118</v>
      </c>
      <c r="B1670" s="11" t="s">
        <v>47</v>
      </c>
      <c r="C1670" s="11" t="s">
        <v>376</v>
      </c>
      <c r="D1670" s="11" t="s">
        <v>377</v>
      </c>
      <c r="E1670" s="11" t="s">
        <v>1133</v>
      </c>
      <c r="F1670" s="11" t="s">
        <v>10119</v>
      </c>
      <c r="G1670" s="11" t="s">
        <v>10120</v>
      </c>
      <c r="H1670" s="11"/>
      <c r="I1670" s="11" t="s">
        <v>10121</v>
      </c>
      <c r="J1670" s="11" t="s">
        <v>10122</v>
      </c>
      <c r="K1670" s="11" t="s">
        <v>4066</v>
      </c>
      <c r="L1670" s="11" t="s">
        <v>10123</v>
      </c>
      <c r="M1670" s="11"/>
      <c r="N1670" s="14" t="n">
        <v>1</v>
      </c>
      <c r="O1670" s="14" t="n">
        <v>2</v>
      </c>
      <c r="P1670" s="14" t="n">
        <v>2</v>
      </c>
      <c r="Q1670" s="14"/>
      <c r="R1670" s="12" t="n">
        <f aca="false">IF(OR(N1670="",P1670=""),"",ROUND(N1670*O1670/P1670,1))</f>
        <v>1</v>
      </c>
      <c r="S1670" s="13" t="n">
        <f aca="false">IF(R1670="","",IF(Q1670="Y",1,IF(P1670&gt;='Read me'!$B$16,3,IF(AND(R1670&gt;='Read me'!$B$14,P1670&lt;='Read me'!$B$15),1,2))))</f>
        <v>2</v>
      </c>
    </row>
    <row r="1671" customFormat="false" ht="23.85" hidden="false" customHeight="false" outlineLevel="0" collapsed="false">
      <c r="A1671" s="11" t="s">
        <v>10124</v>
      </c>
      <c r="B1671" s="11" t="s">
        <v>47</v>
      </c>
      <c r="C1671" s="11" t="s">
        <v>379</v>
      </c>
      <c r="D1671" s="11" t="s">
        <v>380</v>
      </c>
      <c r="E1671" s="11" t="s">
        <v>532</v>
      </c>
      <c r="F1671" s="11" t="s">
        <v>10125</v>
      </c>
      <c r="G1671" s="11" t="s">
        <v>3797</v>
      </c>
      <c r="H1671" s="11"/>
      <c r="I1671" s="11" t="s">
        <v>10126</v>
      </c>
      <c r="J1671" s="11" t="s">
        <v>10127</v>
      </c>
      <c r="K1671" s="11" t="s">
        <v>10030</v>
      </c>
      <c r="L1671" s="11" t="s">
        <v>10128</v>
      </c>
      <c r="M1671" s="11" t="s">
        <v>7756</v>
      </c>
      <c r="N1671" s="14" t="n">
        <v>3</v>
      </c>
      <c r="O1671" s="14" t="n">
        <v>5</v>
      </c>
      <c r="P1671" s="14" t="n">
        <v>3</v>
      </c>
      <c r="Q1671" s="14"/>
      <c r="R1671" s="12" t="n">
        <f aca="false">IF(OR(N1671="",P1671=""),"",ROUND(N1671*O1671/P1671,1))</f>
        <v>5</v>
      </c>
      <c r="S1671" s="13" t="n">
        <f aca="false">IF(R1671="","",IF(Q1671="Y",1,IF(P1671&gt;='Read me'!$B$16,3,IF(AND(R1671&gt;='Read me'!$B$14,P1671&lt;='Read me'!$B$15),1,2))))</f>
        <v>2</v>
      </c>
    </row>
    <row r="1672" customFormat="false" ht="23.85" hidden="false" customHeight="false" outlineLevel="0" collapsed="false">
      <c r="A1672" s="11" t="s">
        <v>10129</v>
      </c>
      <c r="B1672" s="11" t="s">
        <v>47</v>
      </c>
      <c r="C1672" s="11" t="s">
        <v>379</v>
      </c>
      <c r="D1672" s="11" t="s">
        <v>380</v>
      </c>
      <c r="E1672" s="11" t="s">
        <v>532</v>
      </c>
      <c r="F1672" s="11" t="s">
        <v>10130</v>
      </c>
      <c r="G1672" s="11" t="s">
        <v>1479</v>
      </c>
      <c r="H1672" s="11"/>
      <c r="I1672" s="11" t="s">
        <v>10131</v>
      </c>
      <c r="J1672" s="11" t="s">
        <v>10132</v>
      </c>
      <c r="K1672" s="11" t="s">
        <v>9940</v>
      </c>
      <c r="L1672" s="11" t="s">
        <v>10053</v>
      </c>
      <c r="M1672" s="11"/>
      <c r="N1672" s="14" t="n">
        <v>1</v>
      </c>
      <c r="O1672" s="14" t="n">
        <v>5</v>
      </c>
      <c r="P1672" s="14" t="n">
        <v>2</v>
      </c>
      <c r="Q1672" s="14"/>
      <c r="R1672" s="12" t="n">
        <f aca="false">IF(OR(N1672="",P1672=""),"",ROUND(N1672*O1672/P1672,1))</f>
        <v>2.5</v>
      </c>
      <c r="S1672" s="13" t="n">
        <f aca="false">IF(R1672="","",IF(Q1672="Y",1,IF(P1672&gt;='Read me'!$B$16,3,IF(AND(R1672&gt;='Read me'!$B$14,P1672&lt;='Read me'!$B$15),1,2))))</f>
        <v>2</v>
      </c>
    </row>
    <row r="1673" customFormat="false" ht="23.85" hidden="false" customHeight="false" outlineLevel="0" collapsed="false">
      <c r="A1673" s="11" t="s">
        <v>10133</v>
      </c>
      <c r="B1673" s="11" t="s">
        <v>47</v>
      </c>
      <c r="C1673" s="11" t="s">
        <v>379</v>
      </c>
      <c r="D1673" s="11" t="s">
        <v>380</v>
      </c>
      <c r="E1673" s="11" t="s">
        <v>532</v>
      </c>
      <c r="F1673" s="11" t="s">
        <v>10134</v>
      </c>
      <c r="G1673" s="11" t="s">
        <v>10135</v>
      </c>
      <c r="H1673" s="11"/>
      <c r="I1673" s="11" t="s">
        <v>10136</v>
      </c>
      <c r="J1673" s="11" t="s">
        <v>10137</v>
      </c>
      <c r="K1673" s="11" t="s">
        <v>10138</v>
      </c>
      <c r="L1673" s="11" t="s">
        <v>10139</v>
      </c>
      <c r="M1673" s="11"/>
      <c r="N1673" s="14" t="n">
        <v>1</v>
      </c>
      <c r="O1673" s="14" t="n">
        <v>4</v>
      </c>
      <c r="P1673" s="14" t="n">
        <v>2</v>
      </c>
      <c r="Q1673" s="14"/>
      <c r="R1673" s="12" t="n">
        <f aca="false">IF(OR(N1673="",P1673=""),"",ROUND(N1673*O1673/P1673,1))</f>
        <v>2</v>
      </c>
      <c r="S1673" s="13" t="n">
        <f aca="false">IF(R1673="","",IF(Q1673="Y",1,IF(P1673&gt;='Read me'!$B$16,3,IF(AND(R1673&gt;='Read me'!$B$14,P1673&lt;='Read me'!$B$15),1,2))))</f>
        <v>2</v>
      </c>
    </row>
    <row r="1674" customFormat="false" ht="23.85" hidden="false" customHeight="false" outlineLevel="0" collapsed="false">
      <c r="A1674" s="11" t="s">
        <v>10140</v>
      </c>
      <c r="B1674" s="11" t="s">
        <v>47</v>
      </c>
      <c r="C1674" s="11" t="s">
        <v>379</v>
      </c>
      <c r="D1674" s="11" t="s">
        <v>380</v>
      </c>
      <c r="E1674" s="11" t="s">
        <v>532</v>
      </c>
      <c r="F1674" s="11" t="s">
        <v>10141</v>
      </c>
      <c r="G1674" s="11" t="s">
        <v>1479</v>
      </c>
      <c r="H1674" s="11"/>
      <c r="I1674" s="11" t="s">
        <v>10142</v>
      </c>
      <c r="J1674" s="11" t="s">
        <v>10143</v>
      </c>
      <c r="K1674" s="11" t="s">
        <v>9940</v>
      </c>
      <c r="L1674" s="11" t="s">
        <v>10144</v>
      </c>
      <c r="M1674" s="11"/>
      <c r="N1674" s="14" t="n">
        <v>1</v>
      </c>
      <c r="O1674" s="14" t="n">
        <v>5</v>
      </c>
      <c r="P1674" s="14" t="n">
        <v>2</v>
      </c>
      <c r="Q1674" s="14"/>
      <c r="R1674" s="12" t="n">
        <f aca="false">IF(OR(N1674="",P1674=""),"",ROUND(N1674*O1674/P1674,1))</f>
        <v>2.5</v>
      </c>
      <c r="S1674" s="13" t="n">
        <f aca="false">IF(R1674="","",IF(Q1674="Y",1,IF(P1674&gt;='Read me'!$B$16,3,IF(AND(R1674&gt;='Read me'!$B$14,P1674&lt;='Read me'!$B$15),1,2))))</f>
        <v>2</v>
      </c>
    </row>
    <row r="1675" customFormat="false" ht="23.85" hidden="false" customHeight="false" outlineLevel="0" collapsed="false">
      <c r="A1675" s="11" t="s">
        <v>10145</v>
      </c>
      <c r="B1675" s="11" t="s">
        <v>47</v>
      </c>
      <c r="C1675" s="11" t="s">
        <v>379</v>
      </c>
      <c r="D1675" s="11" t="s">
        <v>380</v>
      </c>
      <c r="E1675" s="11" t="s">
        <v>532</v>
      </c>
      <c r="F1675" s="11" t="s">
        <v>10146</v>
      </c>
      <c r="G1675" s="11" t="s">
        <v>4666</v>
      </c>
      <c r="H1675" s="11" t="s">
        <v>2118</v>
      </c>
      <c r="I1675" s="11" t="s">
        <v>10147</v>
      </c>
      <c r="J1675" s="11" t="s">
        <v>10148</v>
      </c>
      <c r="K1675" s="11" t="s">
        <v>813</v>
      </c>
      <c r="L1675" s="11" t="s">
        <v>4535</v>
      </c>
      <c r="M1675" s="11"/>
      <c r="N1675" s="14" t="n">
        <v>1</v>
      </c>
      <c r="O1675" s="14" t="n">
        <v>2</v>
      </c>
      <c r="P1675" s="14" t="n">
        <v>1</v>
      </c>
      <c r="Q1675" s="14"/>
      <c r="R1675" s="12" t="n">
        <f aca="false">IF(OR(N1675="",P1675=""),"",ROUND(N1675*O1675/P1675,1))</f>
        <v>2</v>
      </c>
      <c r="S1675" s="13" t="n">
        <f aca="false">IF(R1675="","",IF(Q1675="Y",1,IF(P1675&gt;='Read me'!$B$16,3,IF(AND(R1675&gt;='Read me'!$B$14,P1675&lt;='Read me'!$B$15),1,2))))</f>
        <v>2</v>
      </c>
    </row>
    <row r="1676" customFormat="false" ht="23.85" hidden="false" customHeight="false" outlineLevel="0" collapsed="false">
      <c r="A1676" s="11" t="s">
        <v>10149</v>
      </c>
      <c r="B1676" s="11" t="s">
        <v>47</v>
      </c>
      <c r="C1676" s="11" t="s">
        <v>379</v>
      </c>
      <c r="D1676" s="11" t="s">
        <v>380</v>
      </c>
      <c r="E1676" s="11" t="s">
        <v>626</v>
      </c>
      <c r="F1676" s="11" t="s">
        <v>10060</v>
      </c>
      <c r="G1676" s="11" t="s">
        <v>10150</v>
      </c>
      <c r="H1676" s="11"/>
      <c r="I1676" s="11" t="s">
        <v>512</v>
      </c>
      <c r="J1676" s="11" t="s">
        <v>10151</v>
      </c>
      <c r="K1676" s="11" t="s">
        <v>10152</v>
      </c>
      <c r="L1676" s="11" t="s">
        <v>10153</v>
      </c>
      <c r="M1676" s="11"/>
      <c r="N1676" s="14" t="n">
        <v>2</v>
      </c>
      <c r="O1676" s="14" t="n">
        <v>5</v>
      </c>
      <c r="P1676" s="14" t="n">
        <v>4</v>
      </c>
      <c r="Q1676" s="14"/>
      <c r="R1676" s="12" t="n">
        <f aca="false">IF(OR(N1676="",P1676=""),"",ROUND(N1676*O1676/P1676,1))</f>
        <v>2.5</v>
      </c>
      <c r="S1676" s="13" t="n">
        <f aca="false">IF(R1676="","",IF(Q1676="Y",1,IF(P1676&gt;='Read me'!$B$16,3,IF(AND(R1676&gt;='Read me'!$B$14,P1676&lt;='Read me'!$B$15),1,2))))</f>
        <v>3</v>
      </c>
    </row>
    <row r="1677" customFormat="false" ht="23.85" hidden="false" customHeight="false" outlineLevel="0" collapsed="false">
      <c r="A1677" s="11" t="s">
        <v>10154</v>
      </c>
      <c r="B1677" s="11" t="s">
        <v>47</v>
      </c>
      <c r="C1677" s="11" t="s">
        <v>379</v>
      </c>
      <c r="D1677" s="11" t="s">
        <v>380</v>
      </c>
      <c r="E1677" s="11" t="s">
        <v>626</v>
      </c>
      <c r="F1677" s="11" t="s">
        <v>10155</v>
      </c>
      <c r="G1677" s="11" t="s">
        <v>4391</v>
      </c>
      <c r="H1677" s="11"/>
      <c r="I1677" s="11" t="s">
        <v>10156</v>
      </c>
      <c r="J1677" s="11" t="s">
        <v>10157</v>
      </c>
      <c r="K1677" s="11" t="s">
        <v>1028</v>
      </c>
      <c r="L1677" s="11" t="s">
        <v>10158</v>
      </c>
      <c r="M1677" s="11"/>
      <c r="N1677" s="14" t="n">
        <v>2</v>
      </c>
      <c r="O1677" s="14" t="n">
        <v>2</v>
      </c>
      <c r="P1677" s="14" t="n">
        <v>2</v>
      </c>
      <c r="Q1677" s="14"/>
      <c r="R1677" s="12" t="n">
        <f aca="false">IF(OR(N1677="",P1677=""),"",ROUND(N1677*O1677/P1677,1))</f>
        <v>2</v>
      </c>
      <c r="S1677" s="13" t="n">
        <f aca="false">IF(R1677="","",IF(Q1677="Y",1,IF(P1677&gt;='Read me'!$B$16,3,IF(AND(R1677&gt;='Read me'!$B$14,P1677&lt;='Read me'!$B$15),1,2))))</f>
        <v>2</v>
      </c>
    </row>
    <row r="1678" customFormat="false" ht="23.85" hidden="false" customHeight="false" outlineLevel="0" collapsed="false">
      <c r="A1678" s="11" t="s">
        <v>10159</v>
      </c>
      <c r="B1678" s="11" t="s">
        <v>47</v>
      </c>
      <c r="C1678" s="11" t="s">
        <v>379</v>
      </c>
      <c r="D1678" s="11" t="s">
        <v>380</v>
      </c>
      <c r="E1678" s="11" t="s">
        <v>751</v>
      </c>
      <c r="F1678" s="11" t="s">
        <v>10160</v>
      </c>
      <c r="G1678" s="11" t="s">
        <v>10161</v>
      </c>
      <c r="H1678" s="11"/>
      <c r="I1678" s="11" t="s">
        <v>10162</v>
      </c>
      <c r="J1678" s="11" t="s">
        <v>10163</v>
      </c>
      <c r="K1678" s="11" t="s">
        <v>1254</v>
      </c>
      <c r="L1678" s="11" t="s">
        <v>2341</v>
      </c>
      <c r="M1678" s="11" t="s">
        <v>1577</v>
      </c>
      <c r="N1678" s="14" t="n">
        <v>2</v>
      </c>
      <c r="O1678" s="14" t="n">
        <v>5</v>
      </c>
      <c r="P1678" s="14" t="n">
        <v>4</v>
      </c>
      <c r="Q1678" s="14"/>
      <c r="R1678" s="12" t="n">
        <f aca="false">IF(OR(N1678="",P1678=""),"",ROUND(N1678*O1678/P1678,1))</f>
        <v>2.5</v>
      </c>
      <c r="S1678" s="13" t="n">
        <f aca="false">IF(R1678="","",IF(Q1678="Y",1,IF(P1678&gt;='Read me'!$B$16,3,IF(AND(R1678&gt;='Read me'!$B$14,P1678&lt;='Read me'!$B$15),1,2))))</f>
        <v>3</v>
      </c>
    </row>
    <row r="1679" customFormat="false" ht="23.85" hidden="false" customHeight="false" outlineLevel="0" collapsed="false">
      <c r="A1679" s="11" t="s">
        <v>10164</v>
      </c>
      <c r="B1679" s="11" t="s">
        <v>47</v>
      </c>
      <c r="C1679" s="11" t="s">
        <v>379</v>
      </c>
      <c r="D1679" s="11" t="s">
        <v>380</v>
      </c>
      <c r="E1679" s="11" t="s">
        <v>751</v>
      </c>
      <c r="F1679" s="11" t="s">
        <v>1251</v>
      </c>
      <c r="G1679" s="11" t="s">
        <v>1252</v>
      </c>
      <c r="H1679" s="11"/>
      <c r="I1679" s="11" t="s">
        <v>10165</v>
      </c>
      <c r="J1679" s="11" t="s">
        <v>10166</v>
      </c>
      <c r="K1679" s="11" t="s">
        <v>1262</v>
      </c>
      <c r="L1679" s="11" t="s">
        <v>10167</v>
      </c>
      <c r="M1679" s="11" t="s">
        <v>1577</v>
      </c>
      <c r="N1679" s="14" t="n">
        <v>1</v>
      </c>
      <c r="O1679" s="14" t="n">
        <v>4</v>
      </c>
      <c r="P1679" s="14" t="n">
        <v>3</v>
      </c>
      <c r="Q1679" s="14"/>
      <c r="R1679" s="12" t="n">
        <f aca="false">IF(OR(N1679="",P1679=""),"",ROUND(N1679*O1679/P1679,1))</f>
        <v>1.3</v>
      </c>
      <c r="S1679" s="13" t="n">
        <f aca="false">IF(R1679="","",IF(Q1679="Y",1,IF(P1679&gt;='Read me'!$B$16,3,IF(AND(R1679&gt;='Read me'!$B$14,P1679&lt;='Read me'!$B$15),1,2))))</f>
        <v>2</v>
      </c>
    </row>
    <row r="1680" customFormat="false" ht="35.05" hidden="false" customHeight="false" outlineLevel="0" collapsed="false">
      <c r="A1680" s="11" t="s">
        <v>10168</v>
      </c>
      <c r="B1680" s="11" t="s">
        <v>47</v>
      </c>
      <c r="C1680" s="11" t="s">
        <v>379</v>
      </c>
      <c r="D1680" s="11" t="s">
        <v>380</v>
      </c>
      <c r="E1680" s="11" t="s">
        <v>765</v>
      </c>
      <c r="F1680" s="11" t="s">
        <v>10169</v>
      </c>
      <c r="G1680" s="11" t="s">
        <v>10170</v>
      </c>
      <c r="H1680" s="11"/>
      <c r="I1680" s="11" t="s">
        <v>10171</v>
      </c>
      <c r="J1680" s="11" t="s">
        <v>10172</v>
      </c>
      <c r="K1680" s="11" t="s">
        <v>10173</v>
      </c>
      <c r="L1680" s="11" t="s">
        <v>10174</v>
      </c>
      <c r="M1680" s="11" t="s">
        <v>3399</v>
      </c>
      <c r="N1680" s="14" t="n">
        <v>2</v>
      </c>
      <c r="O1680" s="14" t="n">
        <v>3</v>
      </c>
      <c r="P1680" s="14" t="n">
        <v>3</v>
      </c>
      <c r="Q1680" s="14"/>
      <c r="R1680" s="12" t="n">
        <f aca="false">IF(OR(N1680="",P1680=""),"",ROUND(N1680*O1680/P1680,1))</f>
        <v>2</v>
      </c>
      <c r="S1680" s="13" t="n">
        <f aca="false">IF(R1680="","",IF(Q1680="Y",1,IF(P1680&gt;='Read me'!$B$16,3,IF(AND(R1680&gt;='Read me'!$B$14,P1680&lt;='Read me'!$B$15),1,2))))</f>
        <v>2</v>
      </c>
    </row>
    <row r="1681" customFormat="false" ht="15" hidden="false" customHeight="false" outlineLevel="0" collapsed="false">
      <c r="A1681" s="11" t="s">
        <v>10175</v>
      </c>
      <c r="B1681" s="11" t="s">
        <v>47</v>
      </c>
      <c r="C1681" s="11" t="s">
        <v>379</v>
      </c>
      <c r="D1681" s="11" t="s">
        <v>380</v>
      </c>
      <c r="E1681" s="11" t="s">
        <v>765</v>
      </c>
      <c r="F1681" s="11" t="s">
        <v>9970</v>
      </c>
      <c r="G1681" s="11" t="s">
        <v>2866</v>
      </c>
      <c r="H1681" s="11"/>
      <c r="I1681" s="11" t="s">
        <v>10176</v>
      </c>
      <c r="J1681" s="11" t="s">
        <v>10177</v>
      </c>
      <c r="K1681" s="11" t="s">
        <v>9467</v>
      </c>
      <c r="L1681" s="11" t="s">
        <v>10178</v>
      </c>
      <c r="M1681" s="11"/>
      <c r="N1681" s="14" t="n">
        <v>3</v>
      </c>
      <c r="O1681" s="14" t="n">
        <v>4</v>
      </c>
      <c r="P1681" s="14" t="n">
        <v>1</v>
      </c>
      <c r="Q1681" s="14"/>
      <c r="R1681" s="12" t="n">
        <f aca="false">IF(OR(N1681="",P1681=""),"",ROUND(N1681*O1681/P1681,1))</f>
        <v>12</v>
      </c>
      <c r="S1681" s="13" t="n">
        <f aca="false">IF(R1681="","",IF(Q1681="Y",1,IF(P1681&gt;='Read me'!$B$16,3,IF(AND(R1681&gt;='Read me'!$B$14,P1681&lt;='Read me'!$B$15),1,2))))</f>
        <v>1</v>
      </c>
    </row>
    <row r="1682" customFormat="false" ht="23.85" hidden="false" customHeight="false" outlineLevel="0" collapsed="false">
      <c r="A1682" s="11" t="s">
        <v>10179</v>
      </c>
      <c r="B1682" s="11" t="s">
        <v>47</v>
      </c>
      <c r="C1682" s="11" t="s">
        <v>379</v>
      </c>
      <c r="D1682" s="11" t="s">
        <v>380</v>
      </c>
      <c r="E1682" s="11" t="s">
        <v>765</v>
      </c>
      <c r="F1682" s="11" t="s">
        <v>9975</v>
      </c>
      <c r="G1682" s="11" t="s">
        <v>822</v>
      </c>
      <c r="H1682" s="11"/>
      <c r="I1682" s="11" t="s">
        <v>10180</v>
      </c>
      <c r="J1682" s="11" t="s">
        <v>10181</v>
      </c>
      <c r="K1682" s="11" t="s">
        <v>9978</v>
      </c>
      <c r="L1682" s="11" t="s">
        <v>10182</v>
      </c>
      <c r="M1682" s="11"/>
      <c r="N1682" s="14" t="n">
        <v>1</v>
      </c>
      <c r="O1682" s="14" t="n">
        <v>3</v>
      </c>
      <c r="P1682" s="14" t="n">
        <v>2</v>
      </c>
      <c r="Q1682" s="14"/>
      <c r="R1682" s="12" t="n">
        <f aca="false">IF(OR(N1682="",P1682=""),"",ROUND(N1682*O1682/P1682,1))</f>
        <v>1.5</v>
      </c>
      <c r="S1682" s="13" t="n">
        <f aca="false">IF(R1682="","",IF(Q1682="Y",1,IF(P1682&gt;='Read me'!$B$16,3,IF(AND(R1682&gt;='Read me'!$B$14,P1682&lt;='Read me'!$B$15),1,2))))</f>
        <v>2</v>
      </c>
    </row>
    <row r="1683" customFormat="false" ht="23.85" hidden="false" customHeight="false" outlineLevel="0" collapsed="false">
      <c r="A1683" s="11" t="s">
        <v>10183</v>
      </c>
      <c r="B1683" s="11" t="s">
        <v>47</v>
      </c>
      <c r="C1683" s="11" t="s">
        <v>379</v>
      </c>
      <c r="D1683" s="11" t="s">
        <v>380</v>
      </c>
      <c r="E1683" s="11" t="s">
        <v>1081</v>
      </c>
      <c r="F1683" s="11" t="s">
        <v>10184</v>
      </c>
      <c r="G1683" s="11" t="s">
        <v>3874</v>
      </c>
      <c r="H1683" s="11" t="s">
        <v>10185</v>
      </c>
      <c r="I1683" s="11" t="s">
        <v>10186</v>
      </c>
      <c r="J1683" s="11" t="s">
        <v>10187</v>
      </c>
      <c r="K1683" s="11" t="s">
        <v>3746</v>
      </c>
      <c r="L1683" s="11" t="s">
        <v>10188</v>
      </c>
      <c r="M1683" s="11"/>
      <c r="N1683" s="14" t="n">
        <v>1</v>
      </c>
      <c r="O1683" s="14" t="n">
        <v>5</v>
      </c>
      <c r="P1683" s="14" t="n">
        <v>5</v>
      </c>
      <c r="Q1683" s="14"/>
      <c r="R1683" s="12" t="n">
        <f aca="false">IF(OR(N1683="",P1683=""),"",ROUND(N1683*O1683/P1683,1))</f>
        <v>1</v>
      </c>
      <c r="S1683" s="13" t="n">
        <f aca="false">IF(R1683="","",IF(Q1683="Y",1,IF(P1683&gt;='Read me'!$B$16,3,IF(AND(R1683&gt;='Read me'!$B$14,P1683&lt;='Read me'!$B$15),1,2))))</f>
        <v>3</v>
      </c>
    </row>
    <row r="1684" customFormat="false" ht="23.85" hidden="false" customHeight="false" outlineLevel="0" collapsed="false">
      <c r="A1684" s="11" t="s">
        <v>10189</v>
      </c>
      <c r="B1684" s="11" t="s">
        <v>47</v>
      </c>
      <c r="C1684" s="11" t="s">
        <v>379</v>
      </c>
      <c r="D1684" s="11" t="s">
        <v>380</v>
      </c>
      <c r="E1684" s="11" t="s">
        <v>1187</v>
      </c>
      <c r="F1684" s="11" t="s">
        <v>10190</v>
      </c>
      <c r="G1684" s="11" t="s">
        <v>686</v>
      </c>
      <c r="H1684" s="11" t="s">
        <v>9989</v>
      </c>
      <c r="I1684" s="11" t="s">
        <v>512</v>
      </c>
      <c r="J1684" s="11" t="s">
        <v>10191</v>
      </c>
      <c r="K1684" s="11" t="s">
        <v>2222</v>
      </c>
      <c r="L1684" s="11" t="s">
        <v>9992</v>
      </c>
      <c r="M1684" s="11"/>
      <c r="N1684" s="14" t="n">
        <v>2</v>
      </c>
      <c r="O1684" s="14" t="n">
        <v>3</v>
      </c>
      <c r="P1684" s="14" t="n">
        <v>2</v>
      </c>
      <c r="Q1684" s="14"/>
      <c r="R1684" s="12" t="n">
        <f aca="false">IF(OR(N1684="",P1684=""),"",ROUND(N1684*O1684/P1684,1))</f>
        <v>3</v>
      </c>
      <c r="S1684" s="13" t="n">
        <f aca="false">IF(R1684="","",IF(Q1684="Y",1,IF(P1684&gt;='Read me'!$B$16,3,IF(AND(R1684&gt;='Read me'!$B$14,P1684&lt;='Read me'!$B$15),1,2))))</f>
        <v>2</v>
      </c>
    </row>
    <row r="1685" customFormat="false" ht="23.85" hidden="false" customHeight="false" outlineLevel="0" collapsed="false">
      <c r="A1685" s="11" t="s">
        <v>10192</v>
      </c>
      <c r="B1685" s="11" t="s">
        <v>47</v>
      </c>
      <c r="C1685" s="11" t="s">
        <v>379</v>
      </c>
      <c r="D1685" s="11" t="s">
        <v>380</v>
      </c>
      <c r="E1685" s="11" t="s">
        <v>1187</v>
      </c>
      <c r="F1685" s="11" t="s">
        <v>10193</v>
      </c>
      <c r="G1685" s="11" t="s">
        <v>7772</v>
      </c>
      <c r="H1685" s="11" t="s">
        <v>1700</v>
      </c>
      <c r="I1685" s="11" t="s">
        <v>512</v>
      </c>
      <c r="J1685" s="11" t="s">
        <v>10194</v>
      </c>
      <c r="K1685" s="11" t="s">
        <v>2368</v>
      </c>
      <c r="L1685" s="11" t="s">
        <v>7774</v>
      </c>
      <c r="M1685" s="11"/>
      <c r="N1685" s="14" t="n">
        <v>1</v>
      </c>
      <c r="O1685" s="14" t="n">
        <v>4</v>
      </c>
      <c r="P1685" s="14" t="n">
        <v>4</v>
      </c>
      <c r="Q1685" s="14"/>
      <c r="R1685" s="12" t="n">
        <f aca="false">IF(OR(N1685="",P1685=""),"",ROUND(N1685*O1685/P1685,1))</f>
        <v>1</v>
      </c>
      <c r="S1685" s="13" t="n">
        <f aca="false">IF(R1685="","",IF(Q1685="Y",1,IF(P1685&gt;='Read me'!$B$16,3,IF(AND(R1685&gt;='Read me'!$B$14,P1685&lt;='Read me'!$B$15),1,2))))</f>
        <v>3</v>
      </c>
    </row>
    <row r="1686" customFormat="false" ht="23.85" hidden="false" customHeight="false" outlineLevel="0" collapsed="false">
      <c r="A1686" s="11" t="s">
        <v>10195</v>
      </c>
      <c r="B1686" s="11" t="s">
        <v>47</v>
      </c>
      <c r="C1686" s="11" t="s">
        <v>379</v>
      </c>
      <c r="D1686" s="11" t="s">
        <v>380</v>
      </c>
      <c r="E1686" s="11" t="s">
        <v>1133</v>
      </c>
      <c r="F1686" s="11" t="s">
        <v>1147</v>
      </c>
      <c r="G1686" s="11" t="s">
        <v>1148</v>
      </c>
      <c r="H1686" s="11"/>
      <c r="I1686" s="11" t="s">
        <v>10196</v>
      </c>
      <c r="J1686" s="11" t="s">
        <v>4013</v>
      </c>
      <c r="K1686" s="11" t="s">
        <v>1151</v>
      </c>
      <c r="L1686" s="11" t="s">
        <v>4363</v>
      </c>
      <c r="M1686" s="11" t="s">
        <v>3592</v>
      </c>
      <c r="N1686" s="14" t="n">
        <v>1</v>
      </c>
      <c r="O1686" s="14" t="n">
        <v>4</v>
      </c>
      <c r="P1686" s="14" t="n">
        <v>3</v>
      </c>
      <c r="Q1686" s="14"/>
      <c r="R1686" s="12" t="n">
        <f aca="false">IF(OR(N1686="",P1686=""),"",ROUND(N1686*O1686/P1686,1))</f>
        <v>1.3</v>
      </c>
      <c r="S1686" s="13" t="n">
        <f aca="false">IF(R1686="","",IF(Q1686="Y",1,IF(P1686&gt;='Read me'!$B$16,3,IF(AND(R1686&gt;='Read me'!$B$14,P1686&lt;='Read me'!$B$15),1,2))))</f>
        <v>2</v>
      </c>
    </row>
    <row r="1687" customFormat="false" ht="35.05" hidden="false" customHeight="false" outlineLevel="0" collapsed="false">
      <c r="A1687" s="11" t="s">
        <v>10197</v>
      </c>
      <c r="B1687" s="11" t="s">
        <v>47</v>
      </c>
      <c r="C1687" s="11" t="s">
        <v>382</v>
      </c>
      <c r="D1687" s="11" t="s">
        <v>383</v>
      </c>
      <c r="E1687" s="11" t="s">
        <v>476</v>
      </c>
      <c r="F1687" s="11" t="s">
        <v>1740</v>
      </c>
      <c r="G1687" s="11" t="s">
        <v>1479</v>
      </c>
      <c r="H1687" s="11"/>
      <c r="I1687" s="11" t="s">
        <v>10198</v>
      </c>
      <c r="J1687" s="11" t="s">
        <v>10199</v>
      </c>
      <c r="K1687" s="11" t="s">
        <v>10030</v>
      </c>
      <c r="L1687" s="11" t="s">
        <v>10200</v>
      </c>
      <c r="M1687" s="11" t="s">
        <v>9931</v>
      </c>
      <c r="N1687" s="14" t="n">
        <v>3</v>
      </c>
      <c r="O1687" s="14" t="n">
        <v>5</v>
      </c>
      <c r="P1687" s="14" t="n">
        <v>2</v>
      </c>
      <c r="Q1687" s="14"/>
      <c r="R1687" s="12" t="n">
        <f aca="false">IF(OR(N1687="",P1687=""),"",ROUND(N1687*O1687/P1687,1))</f>
        <v>7.5</v>
      </c>
      <c r="S1687" s="13" t="n">
        <f aca="false">IF(R1687="","",IF(Q1687="Y",1,IF(P1687&gt;='Read me'!$B$16,3,IF(AND(R1687&gt;='Read me'!$B$14,P1687&lt;='Read me'!$B$15),1,2))))</f>
        <v>1</v>
      </c>
    </row>
    <row r="1688" customFormat="false" ht="23.85" hidden="false" customHeight="false" outlineLevel="0" collapsed="false">
      <c r="A1688" s="11" t="s">
        <v>10201</v>
      </c>
      <c r="B1688" s="11" t="s">
        <v>47</v>
      </c>
      <c r="C1688" s="11" t="s">
        <v>382</v>
      </c>
      <c r="D1688" s="11" t="s">
        <v>383</v>
      </c>
      <c r="E1688" s="11" t="s">
        <v>476</v>
      </c>
      <c r="F1688" s="11" t="s">
        <v>1740</v>
      </c>
      <c r="G1688" s="11" t="s">
        <v>10202</v>
      </c>
      <c r="H1688" s="11"/>
      <c r="I1688" s="11" t="s">
        <v>10203</v>
      </c>
      <c r="J1688" s="11" t="s">
        <v>10204</v>
      </c>
      <c r="K1688" s="11" t="s">
        <v>10205</v>
      </c>
      <c r="L1688" s="11" t="s">
        <v>10206</v>
      </c>
      <c r="M1688" s="11"/>
      <c r="N1688" s="14" t="n">
        <v>2</v>
      </c>
      <c r="O1688" s="14" t="n">
        <v>5</v>
      </c>
      <c r="P1688" s="14" t="n">
        <v>2</v>
      </c>
      <c r="Q1688" s="14"/>
      <c r="R1688" s="12" t="n">
        <f aca="false">IF(OR(N1688="",P1688=""),"",ROUND(N1688*O1688/P1688,1))</f>
        <v>5</v>
      </c>
      <c r="S1688" s="13" t="n">
        <f aca="false">IF(R1688="","",IF(Q1688="Y",1,IF(P1688&gt;='Read me'!$B$16,3,IF(AND(R1688&gt;='Read me'!$B$14,P1688&lt;='Read me'!$B$15),1,2))))</f>
        <v>2</v>
      </c>
    </row>
    <row r="1689" customFormat="false" ht="35.05" hidden="false" customHeight="false" outlineLevel="0" collapsed="false">
      <c r="A1689" s="11" t="s">
        <v>10207</v>
      </c>
      <c r="B1689" s="11" t="s">
        <v>47</v>
      </c>
      <c r="C1689" s="11" t="s">
        <v>382</v>
      </c>
      <c r="D1689" s="11" t="s">
        <v>383</v>
      </c>
      <c r="E1689" s="11" t="s">
        <v>476</v>
      </c>
      <c r="F1689" s="11" t="s">
        <v>10208</v>
      </c>
      <c r="G1689" s="11" t="s">
        <v>10209</v>
      </c>
      <c r="H1689" s="11"/>
      <c r="I1689" s="11" t="s">
        <v>10210</v>
      </c>
      <c r="J1689" s="11" t="s">
        <v>10211</v>
      </c>
      <c r="K1689" s="11" t="s">
        <v>10212</v>
      </c>
      <c r="L1689" s="11" t="s">
        <v>10213</v>
      </c>
      <c r="M1689" s="11" t="s">
        <v>3399</v>
      </c>
      <c r="N1689" s="14" t="n">
        <v>1</v>
      </c>
      <c r="O1689" s="14" t="n">
        <v>5</v>
      </c>
      <c r="P1689" s="14" t="n">
        <v>3</v>
      </c>
      <c r="Q1689" s="14"/>
      <c r="R1689" s="12" t="n">
        <f aca="false">IF(OR(N1689="",P1689=""),"",ROUND(N1689*O1689/P1689,1))</f>
        <v>1.7</v>
      </c>
      <c r="S1689" s="13" t="n">
        <f aca="false">IF(R1689="","",IF(Q1689="Y",1,IF(P1689&gt;='Read me'!$B$16,3,IF(AND(R1689&gt;='Read me'!$B$14,P1689&lt;='Read me'!$B$15),1,2))))</f>
        <v>2</v>
      </c>
    </row>
    <row r="1690" customFormat="false" ht="35.05" hidden="false" customHeight="false" outlineLevel="0" collapsed="false">
      <c r="A1690" s="11" t="s">
        <v>10214</v>
      </c>
      <c r="B1690" s="11" t="s">
        <v>47</v>
      </c>
      <c r="C1690" s="11" t="s">
        <v>382</v>
      </c>
      <c r="D1690" s="11" t="s">
        <v>383</v>
      </c>
      <c r="E1690" s="11" t="s">
        <v>476</v>
      </c>
      <c r="F1690" s="11" t="s">
        <v>10215</v>
      </c>
      <c r="G1690" s="11" t="s">
        <v>2301</v>
      </c>
      <c r="H1690" s="11"/>
      <c r="I1690" s="11" t="s">
        <v>10216</v>
      </c>
      <c r="J1690" s="11" t="s">
        <v>10217</v>
      </c>
      <c r="K1690" s="11" t="s">
        <v>10052</v>
      </c>
      <c r="L1690" s="11" t="s">
        <v>10053</v>
      </c>
      <c r="M1690" s="11" t="s">
        <v>3977</v>
      </c>
      <c r="N1690" s="14" t="n">
        <v>1</v>
      </c>
      <c r="O1690" s="14" t="n">
        <v>5</v>
      </c>
      <c r="P1690" s="14" t="n">
        <v>3</v>
      </c>
      <c r="Q1690" s="14"/>
      <c r="R1690" s="12" t="n">
        <f aca="false">IF(OR(N1690="",P1690=""),"",ROUND(N1690*O1690/P1690,1))</f>
        <v>1.7</v>
      </c>
      <c r="S1690" s="13" t="n">
        <f aca="false">IF(R1690="","",IF(Q1690="Y",1,IF(P1690&gt;='Read me'!$B$16,3,IF(AND(R1690&gt;='Read me'!$B$14,P1690&lt;='Read me'!$B$15),1,2))))</f>
        <v>2</v>
      </c>
    </row>
    <row r="1691" customFormat="false" ht="23.85" hidden="false" customHeight="false" outlineLevel="0" collapsed="false">
      <c r="A1691" s="11" t="s">
        <v>10218</v>
      </c>
      <c r="B1691" s="11" t="s">
        <v>47</v>
      </c>
      <c r="C1691" s="11" t="s">
        <v>382</v>
      </c>
      <c r="D1691" s="11" t="s">
        <v>383</v>
      </c>
      <c r="E1691" s="11" t="s">
        <v>626</v>
      </c>
      <c r="F1691" s="11" t="s">
        <v>10219</v>
      </c>
      <c r="G1691" s="11" t="s">
        <v>10220</v>
      </c>
      <c r="H1691" s="11"/>
      <c r="I1691" s="11" t="s">
        <v>512</v>
      </c>
      <c r="J1691" s="11" t="s">
        <v>10221</v>
      </c>
      <c r="K1691" s="11" t="s">
        <v>10222</v>
      </c>
      <c r="L1691" s="11" t="s">
        <v>10223</v>
      </c>
      <c r="M1691" s="11"/>
      <c r="N1691" s="14" t="n">
        <v>3</v>
      </c>
      <c r="O1691" s="14" t="n">
        <v>5</v>
      </c>
      <c r="P1691" s="14" t="n">
        <v>3</v>
      </c>
      <c r="Q1691" s="14"/>
      <c r="R1691" s="12" t="n">
        <f aca="false">IF(OR(N1691="",P1691=""),"",ROUND(N1691*O1691/P1691,1))</f>
        <v>5</v>
      </c>
      <c r="S1691" s="13" t="n">
        <f aca="false">IF(R1691="","",IF(Q1691="Y",1,IF(P1691&gt;='Read me'!$B$16,3,IF(AND(R1691&gt;='Read me'!$B$14,P1691&lt;='Read me'!$B$15),1,2))))</f>
        <v>2</v>
      </c>
    </row>
    <row r="1692" customFormat="false" ht="23.85" hidden="false" customHeight="false" outlineLevel="0" collapsed="false">
      <c r="A1692" s="11" t="s">
        <v>10224</v>
      </c>
      <c r="B1692" s="11" t="s">
        <v>47</v>
      </c>
      <c r="C1692" s="11" t="s">
        <v>382</v>
      </c>
      <c r="D1692" s="11" t="s">
        <v>383</v>
      </c>
      <c r="E1692" s="11" t="s">
        <v>626</v>
      </c>
      <c r="F1692" s="11" t="s">
        <v>10225</v>
      </c>
      <c r="G1692" s="11" t="s">
        <v>10226</v>
      </c>
      <c r="H1692" s="11"/>
      <c r="I1692" s="11" t="s">
        <v>10227</v>
      </c>
      <c r="J1692" s="11" t="s">
        <v>10228</v>
      </c>
      <c r="K1692" s="11" t="s">
        <v>10229</v>
      </c>
      <c r="L1692" s="11" t="s">
        <v>10230</v>
      </c>
      <c r="M1692" s="11"/>
      <c r="N1692" s="14" t="n">
        <v>3</v>
      </c>
      <c r="O1692" s="14" t="n">
        <v>4</v>
      </c>
      <c r="P1692" s="14" t="n">
        <v>2</v>
      </c>
      <c r="Q1692" s="14"/>
      <c r="R1692" s="12" t="n">
        <f aca="false">IF(OR(N1692="",P1692=""),"",ROUND(N1692*O1692/P1692,1))</f>
        <v>6</v>
      </c>
      <c r="S1692" s="13" t="n">
        <f aca="false">IF(R1692="","",IF(Q1692="Y",1,IF(P1692&gt;='Read me'!$B$16,3,IF(AND(R1692&gt;='Read me'!$B$14,P1692&lt;='Read me'!$B$15),1,2))))</f>
        <v>1</v>
      </c>
    </row>
    <row r="1693" customFormat="false" ht="35.05" hidden="false" customHeight="false" outlineLevel="0" collapsed="false">
      <c r="A1693" s="11" t="s">
        <v>10231</v>
      </c>
      <c r="B1693" s="11" t="s">
        <v>47</v>
      </c>
      <c r="C1693" s="11" t="s">
        <v>382</v>
      </c>
      <c r="D1693" s="11" t="s">
        <v>383</v>
      </c>
      <c r="E1693" s="11" t="s">
        <v>626</v>
      </c>
      <c r="F1693" s="11" t="s">
        <v>10232</v>
      </c>
      <c r="G1693" s="11" t="s">
        <v>10233</v>
      </c>
      <c r="H1693" s="11"/>
      <c r="I1693" s="11" t="s">
        <v>10234</v>
      </c>
      <c r="J1693" s="11" t="s">
        <v>10235</v>
      </c>
      <c r="K1693" s="11" t="s">
        <v>1028</v>
      </c>
      <c r="L1693" s="11" t="s">
        <v>10236</v>
      </c>
      <c r="M1693" s="11" t="s">
        <v>10237</v>
      </c>
      <c r="N1693" s="14" t="n">
        <v>2</v>
      </c>
      <c r="O1693" s="14" t="n">
        <v>4</v>
      </c>
      <c r="P1693" s="14" t="n">
        <v>4</v>
      </c>
      <c r="Q1693" s="14"/>
      <c r="R1693" s="12" t="n">
        <f aca="false">IF(OR(N1693="",P1693=""),"",ROUND(N1693*O1693/P1693,1))</f>
        <v>2</v>
      </c>
      <c r="S1693" s="13" t="n">
        <f aca="false">IF(R1693="","",IF(Q1693="Y",1,IF(P1693&gt;='Read me'!$B$16,3,IF(AND(R1693&gt;='Read me'!$B$14,P1693&lt;='Read me'!$B$15),1,2))))</f>
        <v>3</v>
      </c>
    </row>
    <row r="1694" customFormat="false" ht="23.85" hidden="false" customHeight="false" outlineLevel="0" collapsed="false">
      <c r="A1694" s="11" t="s">
        <v>10238</v>
      </c>
      <c r="B1694" s="11" t="s">
        <v>47</v>
      </c>
      <c r="C1694" s="11" t="s">
        <v>382</v>
      </c>
      <c r="D1694" s="11" t="s">
        <v>383</v>
      </c>
      <c r="E1694" s="11" t="s">
        <v>626</v>
      </c>
      <c r="F1694" s="11" t="s">
        <v>10239</v>
      </c>
      <c r="G1694" s="11" t="s">
        <v>10240</v>
      </c>
      <c r="H1694" s="11"/>
      <c r="I1694" s="11" t="s">
        <v>10241</v>
      </c>
      <c r="J1694" s="11" t="s">
        <v>10242</v>
      </c>
      <c r="K1694" s="11" t="s">
        <v>1028</v>
      </c>
      <c r="L1694" s="11" t="s">
        <v>10243</v>
      </c>
      <c r="M1694" s="11" t="s">
        <v>9383</v>
      </c>
      <c r="N1694" s="14" t="n">
        <v>2</v>
      </c>
      <c r="O1694" s="14" t="n">
        <v>4</v>
      </c>
      <c r="P1694" s="14" t="n">
        <v>4</v>
      </c>
      <c r="Q1694" s="14"/>
      <c r="R1694" s="12" t="n">
        <f aca="false">IF(OR(N1694="",P1694=""),"",ROUND(N1694*O1694/P1694,1))</f>
        <v>2</v>
      </c>
      <c r="S1694" s="13" t="n">
        <f aca="false">IF(R1694="","",IF(Q1694="Y",1,IF(P1694&gt;='Read me'!$B$16,3,IF(AND(R1694&gt;='Read me'!$B$14,P1694&lt;='Read me'!$B$15),1,2))))</f>
        <v>3</v>
      </c>
    </row>
    <row r="1695" customFormat="false" ht="23.85" hidden="false" customHeight="false" outlineLevel="0" collapsed="false">
      <c r="A1695" s="11" t="s">
        <v>10244</v>
      </c>
      <c r="B1695" s="11" t="s">
        <v>47</v>
      </c>
      <c r="C1695" s="11" t="s">
        <v>382</v>
      </c>
      <c r="D1695" s="11" t="s">
        <v>383</v>
      </c>
      <c r="E1695" s="11" t="s">
        <v>751</v>
      </c>
      <c r="F1695" s="11" t="s">
        <v>3207</v>
      </c>
      <c r="G1695" s="11" t="s">
        <v>10245</v>
      </c>
      <c r="H1695" s="11"/>
      <c r="I1695" s="11" t="s">
        <v>10246</v>
      </c>
      <c r="J1695" s="11" t="s">
        <v>10247</v>
      </c>
      <c r="K1695" s="11" t="s">
        <v>10248</v>
      </c>
      <c r="L1695" s="11" t="s">
        <v>10249</v>
      </c>
      <c r="M1695" s="11" t="s">
        <v>1577</v>
      </c>
      <c r="N1695" s="14" t="n">
        <v>2</v>
      </c>
      <c r="O1695" s="14" t="n">
        <v>5</v>
      </c>
      <c r="P1695" s="14" t="n">
        <v>4</v>
      </c>
      <c r="Q1695" s="14"/>
      <c r="R1695" s="12" t="n">
        <f aca="false">IF(OR(N1695="",P1695=""),"",ROUND(N1695*O1695/P1695,1))</f>
        <v>2.5</v>
      </c>
      <c r="S1695" s="13" t="n">
        <f aca="false">IF(R1695="","",IF(Q1695="Y",1,IF(P1695&gt;='Read me'!$B$16,3,IF(AND(R1695&gt;='Read me'!$B$14,P1695&lt;='Read me'!$B$15),1,2))))</f>
        <v>3</v>
      </c>
    </row>
    <row r="1696" customFormat="false" ht="23.85" hidden="false" customHeight="false" outlineLevel="0" collapsed="false">
      <c r="A1696" s="11" t="s">
        <v>10250</v>
      </c>
      <c r="B1696" s="11" t="s">
        <v>47</v>
      </c>
      <c r="C1696" s="11" t="s">
        <v>382</v>
      </c>
      <c r="D1696" s="11" t="s">
        <v>383</v>
      </c>
      <c r="E1696" s="11" t="s">
        <v>751</v>
      </c>
      <c r="F1696" s="11" t="s">
        <v>10251</v>
      </c>
      <c r="G1696" s="11" t="s">
        <v>10252</v>
      </c>
      <c r="H1696" s="11"/>
      <c r="I1696" s="11" t="s">
        <v>512</v>
      </c>
      <c r="J1696" s="11" t="s">
        <v>10253</v>
      </c>
      <c r="K1696" s="11" t="s">
        <v>10254</v>
      </c>
      <c r="L1696" s="11" t="s">
        <v>10255</v>
      </c>
      <c r="M1696" s="11" t="s">
        <v>1577</v>
      </c>
      <c r="N1696" s="14" t="n">
        <v>2</v>
      </c>
      <c r="O1696" s="14" t="n">
        <v>5</v>
      </c>
      <c r="P1696" s="14" t="n">
        <v>3</v>
      </c>
      <c r="Q1696" s="14"/>
      <c r="R1696" s="12" t="n">
        <f aca="false">IF(OR(N1696="",P1696=""),"",ROUND(N1696*O1696/P1696,1))</f>
        <v>3.3</v>
      </c>
      <c r="S1696" s="13" t="n">
        <f aca="false">IF(R1696="","",IF(Q1696="Y",1,IF(P1696&gt;='Read me'!$B$16,3,IF(AND(R1696&gt;='Read me'!$B$14,P1696&lt;='Read me'!$B$15),1,2))))</f>
        <v>2</v>
      </c>
    </row>
    <row r="1697" customFormat="false" ht="23.85" hidden="false" customHeight="false" outlineLevel="0" collapsed="false">
      <c r="A1697" s="11" t="s">
        <v>10256</v>
      </c>
      <c r="B1697" s="11" t="s">
        <v>47</v>
      </c>
      <c r="C1697" s="11" t="s">
        <v>382</v>
      </c>
      <c r="D1697" s="11" t="s">
        <v>383</v>
      </c>
      <c r="E1697" s="11" t="s">
        <v>751</v>
      </c>
      <c r="F1697" s="11" t="s">
        <v>10257</v>
      </c>
      <c r="G1697" s="11" t="s">
        <v>2253</v>
      </c>
      <c r="H1697" s="11"/>
      <c r="I1697" s="11" t="s">
        <v>10258</v>
      </c>
      <c r="J1697" s="11" t="s">
        <v>10259</v>
      </c>
      <c r="K1697" s="11" t="s">
        <v>8142</v>
      </c>
      <c r="L1697" s="11" t="s">
        <v>10260</v>
      </c>
      <c r="M1697" s="11" t="s">
        <v>1577</v>
      </c>
      <c r="N1697" s="14" t="n">
        <v>2</v>
      </c>
      <c r="O1697" s="14" t="n">
        <v>5</v>
      </c>
      <c r="P1697" s="14" t="n">
        <v>3</v>
      </c>
      <c r="Q1697" s="14"/>
      <c r="R1697" s="12" t="n">
        <f aca="false">IF(OR(N1697="",P1697=""),"",ROUND(N1697*O1697/P1697,1))</f>
        <v>3.3</v>
      </c>
      <c r="S1697" s="13" t="n">
        <f aca="false">IF(R1697="","",IF(Q1697="Y",1,IF(P1697&gt;='Read me'!$B$16,3,IF(AND(R1697&gt;='Read me'!$B$14,P1697&lt;='Read me'!$B$15),1,2))))</f>
        <v>2</v>
      </c>
    </row>
    <row r="1698" customFormat="false" ht="23.85" hidden="false" customHeight="false" outlineLevel="0" collapsed="false">
      <c r="A1698" s="11" t="s">
        <v>10261</v>
      </c>
      <c r="B1698" s="11" t="s">
        <v>47</v>
      </c>
      <c r="C1698" s="11" t="s">
        <v>382</v>
      </c>
      <c r="D1698" s="11" t="s">
        <v>383</v>
      </c>
      <c r="E1698" s="11" t="s">
        <v>751</v>
      </c>
      <c r="F1698" s="11" t="s">
        <v>10262</v>
      </c>
      <c r="G1698" s="11" t="s">
        <v>1312</v>
      </c>
      <c r="H1698" s="11" t="s">
        <v>1284</v>
      </c>
      <c r="I1698" s="11" t="s">
        <v>754</v>
      </c>
      <c r="J1698" s="11" t="s">
        <v>10263</v>
      </c>
      <c r="K1698" s="11" t="s">
        <v>3746</v>
      </c>
      <c r="L1698" s="11" t="s">
        <v>10264</v>
      </c>
      <c r="M1698" s="11"/>
      <c r="N1698" s="14" t="n">
        <v>1</v>
      </c>
      <c r="O1698" s="14" t="n">
        <v>4</v>
      </c>
      <c r="P1698" s="14" t="n">
        <v>4</v>
      </c>
      <c r="Q1698" s="14"/>
      <c r="R1698" s="12" t="n">
        <f aca="false">IF(OR(N1698="",P1698=""),"",ROUND(N1698*O1698/P1698,1))</f>
        <v>1</v>
      </c>
      <c r="S1698" s="13" t="n">
        <f aca="false">IF(R1698="","",IF(Q1698="Y",1,IF(P1698&gt;='Read me'!$B$16,3,IF(AND(R1698&gt;='Read me'!$B$14,P1698&lt;='Read me'!$B$15),1,2))))</f>
        <v>3</v>
      </c>
    </row>
    <row r="1699" customFormat="false" ht="23.85" hidden="false" customHeight="false" outlineLevel="0" collapsed="false">
      <c r="A1699" s="11" t="s">
        <v>10265</v>
      </c>
      <c r="B1699" s="11" t="s">
        <v>47</v>
      </c>
      <c r="C1699" s="11" t="s">
        <v>382</v>
      </c>
      <c r="D1699" s="11" t="s">
        <v>383</v>
      </c>
      <c r="E1699" s="11" t="s">
        <v>765</v>
      </c>
      <c r="F1699" s="11" t="s">
        <v>10266</v>
      </c>
      <c r="G1699" s="11" t="s">
        <v>804</v>
      </c>
      <c r="H1699" s="11"/>
      <c r="I1699" s="11" t="s">
        <v>10267</v>
      </c>
      <c r="J1699" s="11" t="s">
        <v>10268</v>
      </c>
      <c r="K1699" s="11" t="s">
        <v>10269</v>
      </c>
      <c r="L1699" s="11" t="s">
        <v>10270</v>
      </c>
      <c r="M1699" s="11"/>
      <c r="N1699" s="14" t="n">
        <v>3</v>
      </c>
      <c r="O1699" s="14" t="n">
        <v>4</v>
      </c>
      <c r="P1699" s="14" t="n">
        <v>1</v>
      </c>
      <c r="Q1699" s="14"/>
      <c r="R1699" s="12" t="n">
        <f aca="false">IF(OR(N1699="",P1699=""),"",ROUND(N1699*O1699/P1699,1))</f>
        <v>12</v>
      </c>
      <c r="S1699" s="13" t="n">
        <f aca="false">IF(R1699="","",IF(Q1699="Y",1,IF(P1699&gt;='Read me'!$B$16,3,IF(AND(R1699&gt;='Read me'!$B$14,P1699&lt;='Read me'!$B$15),1,2))))</f>
        <v>1</v>
      </c>
    </row>
    <row r="1700" customFormat="false" ht="23.85" hidden="false" customHeight="false" outlineLevel="0" collapsed="false">
      <c r="A1700" s="11" t="s">
        <v>10271</v>
      </c>
      <c r="B1700" s="11" t="s">
        <v>47</v>
      </c>
      <c r="C1700" s="11" t="s">
        <v>382</v>
      </c>
      <c r="D1700" s="11" t="s">
        <v>383</v>
      </c>
      <c r="E1700" s="11" t="s">
        <v>765</v>
      </c>
      <c r="F1700" s="11" t="s">
        <v>10272</v>
      </c>
      <c r="G1700" s="11" t="s">
        <v>822</v>
      </c>
      <c r="H1700" s="11"/>
      <c r="I1700" s="11" t="s">
        <v>10273</v>
      </c>
      <c r="J1700" s="11" t="s">
        <v>10274</v>
      </c>
      <c r="K1700" s="11" t="s">
        <v>10275</v>
      </c>
      <c r="L1700" s="11" t="s">
        <v>10276</v>
      </c>
      <c r="M1700" s="11"/>
      <c r="N1700" s="14" t="n">
        <v>2</v>
      </c>
      <c r="O1700" s="14" t="n">
        <v>4</v>
      </c>
      <c r="P1700" s="14" t="n">
        <v>3</v>
      </c>
      <c r="Q1700" s="14"/>
      <c r="R1700" s="12" t="n">
        <f aca="false">IF(OR(N1700="",P1700=""),"",ROUND(N1700*O1700/P1700,1))</f>
        <v>2.7</v>
      </c>
      <c r="S1700" s="13" t="n">
        <f aca="false">IF(R1700="","",IF(Q1700="Y",1,IF(P1700&gt;='Read me'!$B$16,3,IF(AND(R1700&gt;='Read me'!$B$14,P1700&lt;='Read me'!$B$15),1,2))))</f>
        <v>2</v>
      </c>
    </row>
    <row r="1701" customFormat="false" ht="35.05" hidden="false" customHeight="false" outlineLevel="0" collapsed="false">
      <c r="A1701" s="11" t="s">
        <v>10277</v>
      </c>
      <c r="B1701" s="11" t="s">
        <v>47</v>
      </c>
      <c r="C1701" s="11" t="s">
        <v>382</v>
      </c>
      <c r="D1701" s="11" t="s">
        <v>383</v>
      </c>
      <c r="E1701" s="11" t="s">
        <v>765</v>
      </c>
      <c r="F1701" s="11" t="s">
        <v>10278</v>
      </c>
      <c r="G1701" s="11" t="s">
        <v>822</v>
      </c>
      <c r="H1701" s="11"/>
      <c r="I1701" s="11" t="s">
        <v>10279</v>
      </c>
      <c r="J1701" s="11" t="s">
        <v>10280</v>
      </c>
      <c r="K1701" s="11" t="s">
        <v>10281</v>
      </c>
      <c r="L1701" s="11" t="s">
        <v>10282</v>
      </c>
      <c r="M1701" s="11" t="s">
        <v>10237</v>
      </c>
      <c r="N1701" s="14" t="n">
        <v>1</v>
      </c>
      <c r="O1701" s="14" t="n">
        <v>4</v>
      </c>
      <c r="P1701" s="14" t="n">
        <v>5</v>
      </c>
      <c r="Q1701" s="14"/>
      <c r="R1701" s="12" t="n">
        <f aca="false">IF(OR(N1701="",P1701=""),"",ROUND(N1701*O1701/P1701,1))</f>
        <v>0.8</v>
      </c>
      <c r="S1701" s="13" t="n">
        <f aca="false">IF(R1701="","",IF(Q1701="Y",1,IF(P1701&gt;='Read me'!$B$16,3,IF(AND(R1701&gt;='Read me'!$B$14,P1701&lt;='Read me'!$B$15),1,2))))</f>
        <v>3</v>
      </c>
    </row>
    <row r="1702" customFormat="false" ht="23.85" hidden="false" customHeight="false" outlineLevel="0" collapsed="false">
      <c r="A1702" s="11" t="s">
        <v>10283</v>
      </c>
      <c r="B1702" s="11" t="s">
        <v>47</v>
      </c>
      <c r="C1702" s="11" t="s">
        <v>382</v>
      </c>
      <c r="D1702" s="11" t="s">
        <v>383</v>
      </c>
      <c r="E1702" s="11" t="s">
        <v>1081</v>
      </c>
      <c r="F1702" s="11" t="s">
        <v>10284</v>
      </c>
      <c r="G1702" s="11" t="s">
        <v>10285</v>
      </c>
      <c r="H1702" s="11"/>
      <c r="I1702" s="11" t="s">
        <v>10286</v>
      </c>
      <c r="J1702" s="11" t="s">
        <v>10287</v>
      </c>
      <c r="K1702" s="11" t="s">
        <v>10288</v>
      </c>
      <c r="L1702" s="11" t="s">
        <v>10289</v>
      </c>
      <c r="M1702" s="11"/>
      <c r="N1702" s="14" t="n">
        <v>2</v>
      </c>
      <c r="O1702" s="14" t="n">
        <v>5</v>
      </c>
      <c r="P1702" s="14" t="n">
        <v>4</v>
      </c>
      <c r="Q1702" s="14"/>
      <c r="R1702" s="12" t="n">
        <f aca="false">IF(OR(N1702="",P1702=""),"",ROUND(N1702*O1702/P1702,1))</f>
        <v>2.5</v>
      </c>
      <c r="S1702" s="13" t="n">
        <f aca="false">IF(R1702="","",IF(Q1702="Y",1,IF(P1702&gt;='Read me'!$B$16,3,IF(AND(R1702&gt;='Read me'!$B$14,P1702&lt;='Read me'!$B$15),1,2))))</f>
        <v>3</v>
      </c>
    </row>
    <row r="1703" customFormat="false" ht="23.85" hidden="false" customHeight="false" outlineLevel="0" collapsed="false">
      <c r="A1703" s="11" t="s">
        <v>10290</v>
      </c>
      <c r="B1703" s="11" t="s">
        <v>47</v>
      </c>
      <c r="C1703" s="11" t="s">
        <v>382</v>
      </c>
      <c r="D1703" s="11" t="s">
        <v>383</v>
      </c>
      <c r="E1703" s="11" t="s">
        <v>1081</v>
      </c>
      <c r="F1703" s="11" t="s">
        <v>10291</v>
      </c>
      <c r="G1703" s="11" t="s">
        <v>2873</v>
      </c>
      <c r="H1703" s="11" t="s">
        <v>10292</v>
      </c>
      <c r="I1703" s="11" t="s">
        <v>10293</v>
      </c>
      <c r="J1703" s="11" t="s">
        <v>10294</v>
      </c>
      <c r="K1703" s="11" t="s">
        <v>1151</v>
      </c>
      <c r="L1703" s="11" t="s">
        <v>10295</v>
      </c>
      <c r="M1703" s="11"/>
      <c r="N1703" s="14" t="n">
        <v>1</v>
      </c>
      <c r="O1703" s="14" t="n">
        <v>5</v>
      </c>
      <c r="P1703" s="14" t="n">
        <v>5</v>
      </c>
      <c r="Q1703" s="14"/>
      <c r="R1703" s="12" t="n">
        <f aca="false">IF(OR(N1703="",P1703=""),"",ROUND(N1703*O1703/P1703,1))</f>
        <v>1</v>
      </c>
      <c r="S1703" s="13" t="n">
        <f aca="false">IF(R1703="","",IF(Q1703="Y",1,IF(P1703&gt;='Read me'!$B$16,3,IF(AND(R1703&gt;='Read me'!$B$14,P1703&lt;='Read me'!$B$15),1,2))))</f>
        <v>3</v>
      </c>
    </row>
    <row r="1704" customFormat="false" ht="23.85" hidden="false" customHeight="false" outlineLevel="0" collapsed="false">
      <c r="A1704" s="11" t="s">
        <v>10296</v>
      </c>
      <c r="B1704" s="11" t="s">
        <v>47</v>
      </c>
      <c r="C1704" s="11" t="s">
        <v>382</v>
      </c>
      <c r="D1704" s="11" t="s">
        <v>383</v>
      </c>
      <c r="E1704" s="11" t="s">
        <v>1187</v>
      </c>
      <c r="F1704" s="11" t="s">
        <v>10297</v>
      </c>
      <c r="G1704" s="11" t="s">
        <v>1198</v>
      </c>
      <c r="H1704" s="11" t="s">
        <v>1700</v>
      </c>
      <c r="I1704" s="11" t="s">
        <v>512</v>
      </c>
      <c r="J1704" s="11" t="s">
        <v>10298</v>
      </c>
      <c r="K1704" s="11" t="s">
        <v>10299</v>
      </c>
      <c r="L1704" s="11" t="s">
        <v>10300</v>
      </c>
      <c r="M1704" s="11"/>
      <c r="N1704" s="14" t="n">
        <v>1</v>
      </c>
      <c r="O1704" s="14" t="n">
        <v>5</v>
      </c>
      <c r="P1704" s="14" t="n">
        <v>5</v>
      </c>
      <c r="Q1704" s="14"/>
      <c r="R1704" s="12" t="n">
        <f aca="false">IF(OR(N1704="",P1704=""),"",ROUND(N1704*O1704/P1704,1))</f>
        <v>1</v>
      </c>
      <c r="S1704" s="13" t="n">
        <f aca="false">IF(R1704="","",IF(Q1704="Y",1,IF(P1704&gt;='Read me'!$B$16,3,IF(AND(R1704&gt;='Read me'!$B$14,P1704&lt;='Read me'!$B$15),1,2))))</f>
        <v>3</v>
      </c>
    </row>
    <row r="1705" customFormat="false" ht="15" hidden="false" customHeight="false" outlineLevel="0" collapsed="false">
      <c r="A1705" s="11" t="s">
        <v>10301</v>
      </c>
      <c r="B1705" s="11" t="s">
        <v>47</v>
      </c>
      <c r="C1705" s="11" t="s">
        <v>382</v>
      </c>
      <c r="D1705" s="11" t="s">
        <v>383</v>
      </c>
      <c r="E1705" s="11" t="s">
        <v>1133</v>
      </c>
      <c r="F1705" s="11" t="s">
        <v>10302</v>
      </c>
      <c r="G1705" s="11" t="s">
        <v>10303</v>
      </c>
      <c r="H1705" s="11"/>
      <c r="I1705" s="11" t="s">
        <v>1136</v>
      </c>
      <c r="J1705" s="11" t="s">
        <v>10304</v>
      </c>
      <c r="K1705" s="11" t="s">
        <v>1138</v>
      </c>
      <c r="L1705" s="11" t="s">
        <v>3775</v>
      </c>
      <c r="M1705" s="11"/>
      <c r="N1705" s="14" t="n">
        <v>2</v>
      </c>
      <c r="O1705" s="14" t="n">
        <v>3</v>
      </c>
      <c r="P1705" s="14" t="n">
        <v>1</v>
      </c>
      <c r="Q1705" s="14"/>
      <c r="R1705" s="12" t="n">
        <f aca="false">IF(OR(N1705="",P1705=""),"",ROUND(N1705*O1705/P1705,1))</f>
        <v>6</v>
      </c>
      <c r="S1705" s="13" t="n">
        <f aca="false">IF(R1705="","",IF(Q1705="Y",1,IF(P1705&gt;='Read me'!$B$16,3,IF(AND(R1705&gt;='Read me'!$B$14,P1705&lt;='Read me'!$B$15),1,2))))</f>
        <v>1</v>
      </c>
    </row>
    <row r="1706" customFormat="false" ht="23.85" hidden="false" customHeight="false" outlineLevel="0" collapsed="false">
      <c r="A1706" s="11" t="s">
        <v>10305</v>
      </c>
      <c r="B1706" s="11" t="s">
        <v>47</v>
      </c>
      <c r="C1706" s="11" t="s">
        <v>382</v>
      </c>
      <c r="D1706" s="11" t="s">
        <v>383</v>
      </c>
      <c r="E1706" s="11" t="s">
        <v>1133</v>
      </c>
      <c r="F1706" s="11" t="s">
        <v>1147</v>
      </c>
      <c r="G1706" s="11" t="s">
        <v>1148</v>
      </c>
      <c r="H1706" s="11"/>
      <c r="I1706" s="11" t="s">
        <v>10306</v>
      </c>
      <c r="J1706" s="11" t="s">
        <v>10307</v>
      </c>
      <c r="K1706" s="11" t="s">
        <v>1151</v>
      </c>
      <c r="L1706" s="11" t="s">
        <v>10308</v>
      </c>
      <c r="M1706" s="11" t="s">
        <v>3592</v>
      </c>
      <c r="N1706" s="14" t="n">
        <v>1</v>
      </c>
      <c r="O1706" s="14" t="n">
        <v>4</v>
      </c>
      <c r="P1706" s="14" t="n">
        <v>4</v>
      </c>
      <c r="Q1706" s="14"/>
      <c r="R1706" s="12" t="n">
        <f aca="false">IF(OR(N1706="",P1706=""),"",ROUND(N1706*O1706/P1706,1))</f>
        <v>1</v>
      </c>
      <c r="S1706" s="13" t="n">
        <f aca="false">IF(R1706="","",IF(Q1706="Y",1,IF(P1706&gt;='Read me'!$B$16,3,IF(AND(R1706&gt;='Read me'!$B$14,P1706&lt;='Read me'!$B$15),1,2))))</f>
        <v>3</v>
      </c>
    </row>
    <row r="1707" customFormat="false" ht="23.85" hidden="false" customHeight="false" outlineLevel="0" collapsed="false">
      <c r="A1707" s="11" t="s">
        <v>10309</v>
      </c>
      <c r="B1707" s="11" t="s">
        <v>47</v>
      </c>
      <c r="C1707" s="11" t="s">
        <v>386</v>
      </c>
      <c r="D1707" s="11" t="s">
        <v>387</v>
      </c>
      <c r="E1707" s="11" t="s">
        <v>476</v>
      </c>
      <c r="F1707" s="11" t="s">
        <v>10310</v>
      </c>
      <c r="G1707" s="11" t="s">
        <v>511</v>
      </c>
      <c r="H1707" s="11"/>
      <c r="I1707" s="11" t="s">
        <v>10311</v>
      </c>
      <c r="J1707" s="11" t="s">
        <v>10312</v>
      </c>
      <c r="K1707" s="11" t="s">
        <v>1061</v>
      </c>
      <c r="L1707" s="11" t="s">
        <v>10313</v>
      </c>
      <c r="M1707" s="11" t="s">
        <v>10314</v>
      </c>
      <c r="N1707" s="14" t="n">
        <v>2</v>
      </c>
      <c r="O1707" s="14" t="n">
        <v>3</v>
      </c>
      <c r="P1707" s="14" t="n">
        <v>1</v>
      </c>
      <c r="Q1707" s="14"/>
      <c r="R1707" s="12" t="n">
        <f aca="false">IF(OR(N1707="",P1707=""),"",ROUND(N1707*O1707/P1707,1))</f>
        <v>6</v>
      </c>
      <c r="S1707" s="13" t="n">
        <f aca="false">IF(R1707="","",IF(Q1707="Y",1,IF(P1707&gt;='Read me'!$B$16,3,IF(AND(R1707&gt;='Read me'!$B$14,P1707&lt;='Read me'!$B$15),1,2))))</f>
        <v>1</v>
      </c>
    </row>
    <row r="1708" customFormat="false" ht="23.85" hidden="false" customHeight="false" outlineLevel="0" collapsed="false">
      <c r="A1708" s="11" t="s">
        <v>10315</v>
      </c>
      <c r="B1708" s="11" t="s">
        <v>47</v>
      </c>
      <c r="C1708" s="11" t="s">
        <v>386</v>
      </c>
      <c r="D1708" s="11" t="s">
        <v>387</v>
      </c>
      <c r="E1708" s="11" t="s">
        <v>532</v>
      </c>
      <c r="F1708" s="11" t="s">
        <v>10316</v>
      </c>
      <c r="G1708" s="11" t="s">
        <v>10317</v>
      </c>
      <c r="H1708" s="11"/>
      <c r="I1708" s="11" t="s">
        <v>10318</v>
      </c>
      <c r="J1708" s="11" t="s">
        <v>10319</v>
      </c>
      <c r="K1708" s="11" t="s">
        <v>10320</v>
      </c>
      <c r="L1708" s="11" t="s">
        <v>10321</v>
      </c>
      <c r="M1708" s="11" t="s">
        <v>10314</v>
      </c>
      <c r="N1708" s="14" t="n">
        <v>2</v>
      </c>
      <c r="O1708" s="14" t="n">
        <v>4</v>
      </c>
      <c r="P1708" s="14" t="n">
        <v>3</v>
      </c>
      <c r="Q1708" s="14"/>
      <c r="R1708" s="12" t="n">
        <f aca="false">IF(OR(N1708="",P1708=""),"",ROUND(N1708*O1708/P1708,1))</f>
        <v>2.7</v>
      </c>
      <c r="S1708" s="13" t="n">
        <f aca="false">IF(R1708="","",IF(Q1708="Y",1,IF(P1708&gt;='Read me'!$B$16,3,IF(AND(R1708&gt;='Read me'!$B$14,P1708&lt;='Read me'!$B$15),1,2))))</f>
        <v>2</v>
      </c>
    </row>
    <row r="1709" customFormat="false" ht="23.85" hidden="false" customHeight="false" outlineLevel="0" collapsed="false">
      <c r="A1709" s="11" t="s">
        <v>10322</v>
      </c>
      <c r="B1709" s="11" t="s">
        <v>47</v>
      </c>
      <c r="C1709" s="11" t="s">
        <v>386</v>
      </c>
      <c r="D1709" s="11" t="s">
        <v>387</v>
      </c>
      <c r="E1709" s="11" t="s">
        <v>532</v>
      </c>
      <c r="F1709" s="11" t="s">
        <v>10323</v>
      </c>
      <c r="G1709" s="11" t="s">
        <v>2806</v>
      </c>
      <c r="H1709" s="11"/>
      <c r="I1709" s="11" t="s">
        <v>10324</v>
      </c>
      <c r="J1709" s="11" t="s">
        <v>10325</v>
      </c>
      <c r="K1709" s="11" t="s">
        <v>10320</v>
      </c>
      <c r="L1709" s="11" t="s">
        <v>10326</v>
      </c>
      <c r="M1709" s="11" t="s">
        <v>10314</v>
      </c>
      <c r="N1709" s="14" t="n">
        <v>2</v>
      </c>
      <c r="O1709" s="14" t="n">
        <v>3</v>
      </c>
      <c r="P1709" s="14" t="n">
        <v>2</v>
      </c>
      <c r="Q1709" s="14"/>
      <c r="R1709" s="12" t="n">
        <f aca="false">IF(OR(N1709="",P1709=""),"",ROUND(N1709*O1709/P1709,1))</f>
        <v>3</v>
      </c>
      <c r="S1709" s="13" t="n">
        <f aca="false">IF(R1709="","",IF(Q1709="Y",1,IF(P1709&gt;='Read me'!$B$16,3,IF(AND(R1709&gt;='Read me'!$B$14,P1709&lt;='Read me'!$B$15),1,2))))</f>
        <v>2</v>
      </c>
    </row>
    <row r="1710" customFormat="false" ht="23.85" hidden="false" customHeight="false" outlineLevel="0" collapsed="false">
      <c r="A1710" s="11" t="s">
        <v>10327</v>
      </c>
      <c r="B1710" s="11" t="s">
        <v>47</v>
      </c>
      <c r="C1710" s="11" t="s">
        <v>386</v>
      </c>
      <c r="D1710" s="11" t="s">
        <v>387</v>
      </c>
      <c r="E1710" s="11" t="s">
        <v>532</v>
      </c>
      <c r="F1710" s="11" t="s">
        <v>10328</v>
      </c>
      <c r="G1710" s="11" t="s">
        <v>10329</v>
      </c>
      <c r="H1710" s="11"/>
      <c r="I1710" s="11" t="s">
        <v>10330</v>
      </c>
      <c r="J1710" s="11" t="s">
        <v>10331</v>
      </c>
      <c r="K1710" s="11" t="s">
        <v>2964</v>
      </c>
      <c r="L1710" s="11" t="s">
        <v>10326</v>
      </c>
      <c r="M1710" s="11" t="s">
        <v>10314</v>
      </c>
      <c r="N1710" s="14" t="n">
        <v>2</v>
      </c>
      <c r="O1710" s="14" t="n">
        <v>2</v>
      </c>
      <c r="P1710" s="14" t="n">
        <v>2</v>
      </c>
      <c r="Q1710" s="14"/>
      <c r="R1710" s="12" t="n">
        <f aca="false">IF(OR(N1710="",P1710=""),"",ROUND(N1710*O1710/P1710,1))</f>
        <v>2</v>
      </c>
      <c r="S1710" s="13" t="n">
        <f aca="false">IF(R1710="","",IF(Q1710="Y",1,IF(P1710&gt;='Read me'!$B$16,3,IF(AND(R1710&gt;='Read me'!$B$14,P1710&lt;='Read me'!$B$15),1,2))))</f>
        <v>2</v>
      </c>
    </row>
    <row r="1711" customFormat="false" ht="23.85" hidden="false" customHeight="false" outlineLevel="0" collapsed="false">
      <c r="A1711" s="11" t="s">
        <v>10332</v>
      </c>
      <c r="B1711" s="11" t="s">
        <v>47</v>
      </c>
      <c r="C1711" s="11" t="s">
        <v>386</v>
      </c>
      <c r="D1711" s="11" t="s">
        <v>387</v>
      </c>
      <c r="E1711" s="11" t="s">
        <v>532</v>
      </c>
      <c r="F1711" s="11" t="s">
        <v>10333</v>
      </c>
      <c r="G1711" s="11" t="s">
        <v>10334</v>
      </c>
      <c r="H1711" s="11"/>
      <c r="I1711" s="11" t="s">
        <v>10335</v>
      </c>
      <c r="J1711" s="11" t="s">
        <v>10336</v>
      </c>
      <c r="K1711" s="11" t="s">
        <v>10337</v>
      </c>
      <c r="L1711" s="11" t="s">
        <v>10338</v>
      </c>
      <c r="M1711" s="11" t="s">
        <v>10314</v>
      </c>
      <c r="N1711" s="14" t="n">
        <v>1</v>
      </c>
      <c r="O1711" s="14" t="n">
        <v>3</v>
      </c>
      <c r="P1711" s="14" t="n">
        <v>3</v>
      </c>
      <c r="Q1711" s="14"/>
      <c r="R1711" s="12" t="n">
        <f aca="false">IF(OR(N1711="",P1711=""),"",ROUND(N1711*O1711/P1711,1))</f>
        <v>1</v>
      </c>
      <c r="S1711" s="13" t="n">
        <f aca="false">IF(R1711="","",IF(Q1711="Y",1,IF(P1711&gt;='Read me'!$B$16,3,IF(AND(R1711&gt;='Read me'!$B$14,P1711&lt;='Read me'!$B$15),1,2))))</f>
        <v>2</v>
      </c>
    </row>
    <row r="1712" customFormat="false" ht="23.85" hidden="false" customHeight="false" outlineLevel="0" collapsed="false">
      <c r="A1712" s="11" t="s">
        <v>10339</v>
      </c>
      <c r="B1712" s="11" t="s">
        <v>47</v>
      </c>
      <c r="C1712" s="11" t="s">
        <v>386</v>
      </c>
      <c r="D1712" s="11" t="s">
        <v>387</v>
      </c>
      <c r="E1712" s="11" t="s">
        <v>532</v>
      </c>
      <c r="F1712" s="11" t="s">
        <v>10340</v>
      </c>
      <c r="G1712" s="11" t="s">
        <v>10341</v>
      </c>
      <c r="H1712" s="11"/>
      <c r="I1712" s="11" t="s">
        <v>10342</v>
      </c>
      <c r="J1712" s="11" t="s">
        <v>10343</v>
      </c>
      <c r="K1712" s="11" t="s">
        <v>10344</v>
      </c>
      <c r="L1712" s="11" t="s">
        <v>10345</v>
      </c>
      <c r="M1712" s="11" t="s">
        <v>10314</v>
      </c>
      <c r="N1712" s="14" t="n">
        <v>1</v>
      </c>
      <c r="O1712" s="14" t="n">
        <v>3</v>
      </c>
      <c r="P1712" s="14" t="n">
        <v>3</v>
      </c>
      <c r="Q1712" s="14"/>
      <c r="R1712" s="12" t="n">
        <f aca="false">IF(OR(N1712="",P1712=""),"",ROUND(N1712*O1712/P1712,1))</f>
        <v>1</v>
      </c>
      <c r="S1712" s="13" t="n">
        <f aca="false">IF(R1712="","",IF(Q1712="Y",1,IF(P1712&gt;='Read me'!$B$16,3,IF(AND(R1712&gt;='Read me'!$B$14,P1712&lt;='Read me'!$B$15),1,2))))</f>
        <v>2</v>
      </c>
    </row>
    <row r="1713" customFormat="false" ht="23.85" hidden="false" customHeight="false" outlineLevel="0" collapsed="false">
      <c r="A1713" s="11" t="s">
        <v>10346</v>
      </c>
      <c r="B1713" s="11" t="s">
        <v>47</v>
      </c>
      <c r="C1713" s="11" t="s">
        <v>386</v>
      </c>
      <c r="D1713" s="11" t="s">
        <v>387</v>
      </c>
      <c r="E1713" s="11" t="s">
        <v>532</v>
      </c>
      <c r="F1713" s="11" t="s">
        <v>10347</v>
      </c>
      <c r="G1713" s="11" t="s">
        <v>10348</v>
      </c>
      <c r="H1713" s="11"/>
      <c r="I1713" s="11" t="s">
        <v>10349</v>
      </c>
      <c r="J1713" s="11" t="s">
        <v>10350</v>
      </c>
      <c r="K1713" s="11" t="s">
        <v>10351</v>
      </c>
      <c r="L1713" s="11" t="s">
        <v>10352</v>
      </c>
      <c r="M1713" s="11" t="s">
        <v>10314</v>
      </c>
      <c r="N1713" s="14" t="n">
        <v>1</v>
      </c>
      <c r="O1713" s="14" t="n">
        <v>3</v>
      </c>
      <c r="P1713" s="14" t="n">
        <v>3</v>
      </c>
      <c r="Q1713" s="14"/>
      <c r="R1713" s="12" t="n">
        <f aca="false">IF(OR(N1713="",P1713=""),"",ROUND(N1713*O1713/P1713,1))</f>
        <v>1</v>
      </c>
      <c r="S1713" s="13" t="n">
        <f aca="false">IF(R1713="","",IF(Q1713="Y",1,IF(P1713&gt;='Read me'!$B$16,3,IF(AND(R1713&gt;='Read me'!$B$14,P1713&lt;='Read me'!$B$15),1,2))))</f>
        <v>2</v>
      </c>
    </row>
    <row r="1714" customFormat="false" ht="23.85" hidden="false" customHeight="false" outlineLevel="0" collapsed="false">
      <c r="A1714" s="11" t="s">
        <v>10353</v>
      </c>
      <c r="B1714" s="11" t="s">
        <v>47</v>
      </c>
      <c r="C1714" s="11" t="s">
        <v>386</v>
      </c>
      <c r="D1714" s="11" t="s">
        <v>387</v>
      </c>
      <c r="E1714" s="11" t="s">
        <v>532</v>
      </c>
      <c r="F1714" s="11" t="s">
        <v>10354</v>
      </c>
      <c r="G1714" s="11" t="s">
        <v>10355</v>
      </c>
      <c r="H1714" s="11"/>
      <c r="I1714" s="11" t="s">
        <v>10356</v>
      </c>
      <c r="J1714" s="11" t="s">
        <v>10357</v>
      </c>
      <c r="K1714" s="11" t="s">
        <v>916</v>
      </c>
      <c r="L1714" s="11" t="s">
        <v>10358</v>
      </c>
      <c r="M1714" s="11" t="s">
        <v>10314</v>
      </c>
      <c r="N1714" s="14" t="n">
        <v>1</v>
      </c>
      <c r="O1714" s="14" t="n">
        <v>4</v>
      </c>
      <c r="P1714" s="14" t="n">
        <v>4</v>
      </c>
      <c r="Q1714" s="14"/>
      <c r="R1714" s="12" t="n">
        <f aca="false">IF(OR(N1714="",P1714=""),"",ROUND(N1714*O1714/P1714,1))</f>
        <v>1</v>
      </c>
      <c r="S1714" s="13" t="n">
        <f aca="false">IF(R1714="","",IF(Q1714="Y",1,IF(P1714&gt;='Read me'!$B$16,3,IF(AND(R1714&gt;='Read me'!$B$14,P1714&lt;='Read me'!$B$15),1,2))))</f>
        <v>3</v>
      </c>
    </row>
    <row r="1715" customFormat="false" ht="35.05" hidden="false" customHeight="false" outlineLevel="0" collapsed="false">
      <c r="A1715" s="11" t="s">
        <v>10359</v>
      </c>
      <c r="B1715" s="11" t="s">
        <v>47</v>
      </c>
      <c r="C1715" s="11" t="s">
        <v>386</v>
      </c>
      <c r="D1715" s="11" t="s">
        <v>387</v>
      </c>
      <c r="E1715" s="11" t="s">
        <v>626</v>
      </c>
      <c r="F1715" s="11" t="s">
        <v>10360</v>
      </c>
      <c r="G1715" s="11" t="s">
        <v>10361</v>
      </c>
      <c r="H1715" s="11"/>
      <c r="I1715" s="11" t="s">
        <v>10362</v>
      </c>
      <c r="J1715" s="11" t="s">
        <v>10363</v>
      </c>
      <c r="K1715" s="11" t="s">
        <v>1294</v>
      </c>
      <c r="L1715" s="11" t="s">
        <v>10364</v>
      </c>
      <c r="M1715" s="11" t="s">
        <v>3399</v>
      </c>
      <c r="N1715" s="14" t="n">
        <v>1</v>
      </c>
      <c r="O1715" s="14" t="n">
        <v>3</v>
      </c>
      <c r="P1715" s="14" t="n">
        <v>5</v>
      </c>
      <c r="Q1715" s="14"/>
      <c r="R1715" s="12" t="n">
        <f aca="false">IF(OR(N1715="",P1715=""),"",ROUND(N1715*O1715/P1715,1))</f>
        <v>0.6</v>
      </c>
      <c r="S1715" s="13" t="n">
        <f aca="false">IF(R1715="","",IF(Q1715="Y",1,IF(P1715&gt;='Read me'!$B$16,3,IF(AND(R1715&gt;='Read me'!$B$14,P1715&lt;='Read me'!$B$15),1,2))))</f>
        <v>3</v>
      </c>
    </row>
    <row r="1716" customFormat="false" ht="23.85" hidden="false" customHeight="false" outlineLevel="0" collapsed="false">
      <c r="A1716" s="11" t="s">
        <v>10365</v>
      </c>
      <c r="B1716" s="11" t="s">
        <v>47</v>
      </c>
      <c r="C1716" s="11" t="s">
        <v>386</v>
      </c>
      <c r="D1716" s="11" t="s">
        <v>387</v>
      </c>
      <c r="E1716" s="11" t="s">
        <v>751</v>
      </c>
      <c r="F1716" s="11" t="s">
        <v>10060</v>
      </c>
      <c r="G1716" s="11" t="s">
        <v>10366</v>
      </c>
      <c r="H1716" s="11"/>
      <c r="I1716" s="11" t="s">
        <v>512</v>
      </c>
      <c r="J1716" s="11" t="s">
        <v>10367</v>
      </c>
      <c r="K1716" s="11" t="s">
        <v>2571</v>
      </c>
      <c r="L1716" s="11" t="s">
        <v>10368</v>
      </c>
      <c r="M1716" s="11" t="s">
        <v>1577</v>
      </c>
      <c r="N1716" s="14" t="n">
        <v>2</v>
      </c>
      <c r="O1716" s="14" t="n">
        <v>3</v>
      </c>
      <c r="P1716" s="14" t="n">
        <v>3</v>
      </c>
      <c r="Q1716" s="14"/>
      <c r="R1716" s="12" t="n">
        <f aca="false">IF(OR(N1716="",P1716=""),"",ROUND(N1716*O1716/P1716,1))</f>
        <v>2</v>
      </c>
      <c r="S1716" s="13" t="n">
        <f aca="false">IF(R1716="","",IF(Q1716="Y",1,IF(P1716&gt;='Read me'!$B$16,3,IF(AND(R1716&gt;='Read me'!$B$14,P1716&lt;='Read me'!$B$15),1,2))))</f>
        <v>2</v>
      </c>
    </row>
    <row r="1717" customFormat="false" ht="23.85" hidden="false" customHeight="false" outlineLevel="0" collapsed="false">
      <c r="A1717" s="11" t="s">
        <v>10369</v>
      </c>
      <c r="B1717" s="11" t="s">
        <v>47</v>
      </c>
      <c r="C1717" s="11" t="s">
        <v>386</v>
      </c>
      <c r="D1717" s="11" t="s">
        <v>387</v>
      </c>
      <c r="E1717" s="11" t="s">
        <v>751</v>
      </c>
      <c r="F1717" s="11" t="s">
        <v>10370</v>
      </c>
      <c r="G1717" s="11" t="s">
        <v>10371</v>
      </c>
      <c r="H1717" s="11"/>
      <c r="I1717" s="11" t="s">
        <v>10372</v>
      </c>
      <c r="J1717" s="11" t="s">
        <v>10373</v>
      </c>
      <c r="K1717" s="11" t="s">
        <v>4437</v>
      </c>
      <c r="L1717" s="11" t="s">
        <v>10374</v>
      </c>
      <c r="M1717" s="11" t="s">
        <v>1577</v>
      </c>
      <c r="N1717" s="14" t="n">
        <v>2</v>
      </c>
      <c r="O1717" s="14" t="n">
        <v>3</v>
      </c>
      <c r="P1717" s="14" t="n">
        <v>3</v>
      </c>
      <c r="Q1717" s="14"/>
      <c r="R1717" s="12" t="n">
        <f aca="false">IF(OR(N1717="",P1717=""),"",ROUND(N1717*O1717/P1717,1))</f>
        <v>2</v>
      </c>
      <c r="S1717" s="13" t="n">
        <f aca="false">IF(R1717="","",IF(Q1717="Y",1,IF(P1717&gt;='Read me'!$B$16,3,IF(AND(R1717&gt;='Read me'!$B$14,P1717&lt;='Read me'!$B$15),1,2))))</f>
        <v>2</v>
      </c>
    </row>
    <row r="1718" customFormat="false" ht="23.85" hidden="false" customHeight="false" outlineLevel="0" collapsed="false">
      <c r="A1718" s="11" t="s">
        <v>10375</v>
      </c>
      <c r="B1718" s="11" t="s">
        <v>47</v>
      </c>
      <c r="C1718" s="11" t="s">
        <v>386</v>
      </c>
      <c r="D1718" s="11" t="s">
        <v>387</v>
      </c>
      <c r="E1718" s="11" t="s">
        <v>751</v>
      </c>
      <c r="F1718" s="11" t="s">
        <v>10370</v>
      </c>
      <c r="G1718" s="11"/>
      <c r="H1718" s="11" t="s">
        <v>10074</v>
      </c>
      <c r="I1718" s="11" t="s">
        <v>10376</v>
      </c>
      <c r="J1718" s="11" t="s">
        <v>10377</v>
      </c>
      <c r="K1718" s="11" t="s">
        <v>10378</v>
      </c>
      <c r="L1718" s="11" t="s">
        <v>10076</v>
      </c>
      <c r="M1718" s="11"/>
      <c r="N1718" s="14" t="n">
        <v>1</v>
      </c>
      <c r="O1718" s="14" t="n">
        <v>3</v>
      </c>
      <c r="P1718" s="14" t="n">
        <v>4</v>
      </c>
      <c r="Q1718" s="14"/>
      <c r="R1718" s="12" t="n">
        <f aca="false">IF(OR(N1718="",P1718=""),"",ROUND(N1718*O1718/P1718,1))</f>
        <v>0.8</v>
      </c>
      <c r="S1718" s="13" t="n">
        <f aca="false">IF(R1718="","",IF(Q1718="Y",1,IF(P1718&gt;='Read me'!$B$16,3,IF(AND(R1718&gt;='Read me'!$B$14,P1718&lt;='Read me'!$B$15),1,2))))</f>
        <v>3</v>
      </c>
    </row>
    <row r="1719" customFormat="false" ht="23.85" hidden="false" customHeight="false" outlineLevel="0" collapsed="false">
      <c r="A1719" s="11" t="s">
        <v>10379</v>
      </c>
      <c r="B1719" s="11" t="s">
        <v>47</v>
      </c>
      <c r="C1719" s="11" t="s">
        <v>386</v>
      </c>
      <c r="D1719" s="11" t="s">
        <v>387</v>
      </c>
      <c r="E1719" s="11" t="s">
        <v>765</v>
      </c>
      <c r="F1719" s="11" t="s">
        <v>10380</v>
      </c>
      <c r="G1719" s="11" t="s">
        <v>822</v>
      </c>
      <c r="H1719" s="11"/>
      <c r="I1719" s="11" t="s">
        <v>10381</v>
      </c>
      <c r="J1719" s="11" t="s">
        <v>10382</v>
      </c>
      <c r="K1719" s="11" t="s">
        <v>2347</v>
      </c>
      <c r="L1719" s="11" t="s">
        <v>3987</v>
      </c>
      <c r="M1719" s="11"/>
      <c r="N1719" s="14" t="n">
        <v>2</v>
      </c>
      <c r="O1719" s="14" t="n">
        <v>2</v>
      </c>
      <c r="P1719" s="14" t="n">
        <v>2</v>
      </c>
      <c r="Q1719" s="14"/>
      <c r="R1719" s="12" t="n">
        <f aca="false">IF(OR(N1719="",P1719=""),"",ROUND(N1719*O1719/P1719,1))</f>
        <v>2</v>
      </c>
      <c r="S1719" s="13" t="n">
        <f aca="false">IF(R1719="","",IF(Q1719="Y",1,IF(P1719&gt;='Read me'!$B$16,3,IF(AND(R1719&gt;='Read me'!$B$14,P1719&lt;='Read me'!$B$15),1,2))))</f>
        <v>2</v>
      </c>
    </row>
    <row r="1720" customFormat="false" ht="23.85" hidden="false" customHeight="false" outlineLevel="0" collapsed="false">
      <c r="A1720" s="11" t="s">
        <v>10383</v>
      </c>
      <c r="B1720" s="11" t="s">
        <v>47</v>
      </c>
      <c r="C1720" s="11" t="s">
        <v>386</v>
      </c>
      <c r="D1720" s="11" t="s">
        <v>387</v>
      </c>
      <c r="E1720" s="11" t="s">
        <v>765</v>
      </c>
      <c r="F1720" s="11" t="s">
        <v>10384</v>
      </c>
      <c r="G1720" s="11" t="s">
        <v>10385</v>
      </c>
      <c r="H1720" s="11"/>
      <c r="I1720" s="11" t="s">
        <v>10386</v>
      </c>
      <c r="J1720" s="11" t="s">
        <v>10387</v>
      </c>
      <c r="K1720" s="11" t="s">
        <v>5634</v>
      </c>
      <c r="L1720" s="11" t="s">
        <v>10388</v>
      </c>
      <c r="M1720" s="11"/>
      <c r="N1720" s="14" t="n">
        <v>1</v>
      </c>
      <c r="O1720" s="14" t="n">
        <v>2</v>
      </c>
      <c r="P1720" s="14" t="n">
        <v>2</v>
      </c>
      <c r="Q1720" s="14"/>
      <c r="R1720" s="12" t="n">
        <f aca="false">IF(OR(N1720="",P1720=""),"",ROUND(N1720*O1720/P1720,1))</f>
        <v>1</v>
      </c>
      <c r="S1720" s="13" t="n">
        <f aca="false">IF(R1720="","",IF(Q1720="Y",1,IF(P1720&gt;='Read me'!$B$16,3,IF(AND(R1720&gt;='Read me'!$B$14,P1720&lt;='Read me'!$B$15),1,2))))</f>
        <v>2</v>
      </c>
    </row>
    <row r="1721" customFormat="false" ht="23.85" hidden="false" customHeight="false" outlineLevel="0" collapsed="false">
      <c r="A1721" s="11" t="s">
        <v>10389</v>
      </c>
      <c r="B1721" s="11" t="s">
        <v>47</v>
      </c>
      <c r="C1721" s="11" t="s">
        <v>386</v>
      </c>
      <c r="D1721" s="11" t="s">
        <v>387</v>
      </c>
      <c r="E1721" s="11" t="s">
        <v>1187</v>
      </c>
      <c r="F1721" s="11" t="s">
        <v>10390</v>
      </c>
      <c r="G1721" s="11" t="s">
        <v>1165</v>
      </c>
      <c r="H1721" s="11" t="s">
        <v>3743</v>
      </c>
      <c r="I1721" s="11" t="s">
        <v>10391</v>
      </c>
      <c r="J1721" s="11" t="s">
        <v>10392</v>
      </c>
      <c r="K1721" s="11" t="s">
        <v>10393</v>
      </c>
      <c r="L1721" s="11" t="s">
        <v>10394</v>
      </c>
      <c r="M1721" s="11"/>
      <c r="N1721" s="14" t="n">
        <v>1</v>
      </c>
      <c r="O1721" s="14" t="n">
        <v>3</v>
      </c>
      <c r="P1721" s="14" t="n">
        <v>3</v>
      </c>
      <c r="Q1721" s="14"/>
      <c r="R1721" s="12" t="n">
        <f aca="false">IF(OR(N1721="",P1721=""),"",ROUND(N1721*O1721/P1721,1))</f>
        <v>1</v>
      </c>
      <c r="S1721" s="13" t="n">
        <f aca="false">IF(R1721="","",IF(Q1721="Y",1,IF(P1721&gt;='Read me'!$B$16,3,IF(AND(R1721&gt;='Read me'!$B$14,P1721&lt;='Read me'!$B$15),1,2))))</f>
        <v>2</v>
      </c>
    </row>
    <row r="1722" customFormat="false" ht="23.85" hidden="false" customHeight="false" outlineLevel="0" collapsed="false">
      <c r="A1722" s="11" t="s">
        <v>10395</v>
      </c>
      <c r="B1722" s="11" t="s">
        <v>47</v>
      </c>
      <c r="C1722" s="11" t="s">
        <v>386</v>
      </c>
      <c r="D1722" s="11" t="s">
        <v>387</v>
      </c>
      <c r="E1722" s="11" t="s">
        <v>1187</v>
      </c>
      <c r="F1722" s="11" t="s">
        <v>10396</v>
      </c>
      <c r="G1722" s="11" t="s">
        <v>10371</v>
      </c>
      <c r="H1722" s="11" t="s">
        <v>10397</v>
      </c>
      <c r="I1722" s="11" t="s">
        <v>10398</v>
      </c>
      <c r="J1722" s="11" t="s">
        <v>10399</v>
      </c>
      <c r="K1722" s="11" t="s">
        <v>1151</v>
      </c>
      <c r="L1722" s="11" t="s">
        <v>10400</v>
      </c>
      <c r="M1722" s="11" t="s">
        <v>3592</v>
      </c>
      <c r="N1722" s="14" t="n">
        <v>1</v>
      </c>
      <c r="O1722" s="14" t="n">
        <v>3</v>
      </c>
      <c r="P1722" s="14" t="n">
        <v>5</v>
      </c>
      <c r="Q1722" s="14"/>
      <c r="R1722" s="12" t="n">
        <f aca="false">IF(OR(N1722="",P1722=""),"",ROUND(N1722*O1722/P1722,1))</f>
        <v>0.6</v>
      </c>
      <c r="S1722" s="13" t="n">
        <f aca="false">IF(R1722="","",IF(Q1722="Y",1,IF(P1722&gt;='Read me'!$B$16,3,IF(AND(R1722&gt;='Read me'!$B$14,P1722&lt;='Read me'!$B$15),1,2))))</f>
        <v>3</v>
      </c>
    </row>
    <row r="1723" customFormat="false" ht="23.85" hidden="false" customHeight="false" outlineLevel="0" collapsed="false">
      <c r="A1723" s="11" t="s">
        <v>10401</v>
      </c>
      <c r="B1723" s="11" t="s">
        <v>47</v>
      </c>
      <c r="C1723" s="11" t="s">
        <v>386</v>
      </c>
      <c r="D1723" s="11" t="s">
        <v>387</v>
      </c>
      <c r="E1723" s="11" t="s">
        <v>1187</v>
      </c>
      <c r="F1723" s="11" t="s">
        <v>10402</v>
      </c>
      <c r="G1723" s="11" t="s">
        <v>2873</v>
      </c>
      <c r="H1723" s="11" t="s">
        <v>10403</v>
      </c>
      <c r="I1723" s="11" t="s">
        <v>10404</v>
      </c>
      <c r="J1723" s="11" t="s">
        <v>10405</v>
      </c>
      <c r="K1723" s="11" t="s">
        <v>1151</v>
      </c>
      <c r="L1723" s="11" t="s">
        <v>3752</v>
      </c>
      <c r="M1723" s="11"/>
      <c r="N1723" s="14" t="n">
        <v>1</v>
      </c>
      <c r="O1723" s="14" t="n">
        <v>3</v>
      </c>
      <c r="P1723" s="14" t="n">
        <v>5</v>
      </c>
      <c r="Q1723" s="14"/>
      <c r="R1723" s="12" t="n">
        <f aca="false">IF(OR(N1723="",P1723=""),"",ROUND(N1723*O1723/P1723,1))</f>
        <v>0.6</v>
      </c>
      <c r="S1723" s="13" t="n">
        <f aca="false">IF(R1723="","",IF(Q1723="Y",1,IF(P1723&gt;='Read me'!$B$16,3,IF(AND(R1723&gt;='Read me'!$B$14,P1723&lt;='Read me'!$B$15),1,2))))</f>
        <v>3</v>
      </c>
    </row>
    <row r="1724" customFormat="false" ht="23.85" hidden="false" customHeight="false" outlineLevel="0" collapsed="false">
      <c r="A1724" s="11" t="s">
        <v>10406</v>
      </c>
      <c r="B1724" s="11" t="s">
        <v>47</v>
      </c>
      <c r="C1724" s="11" t="s">
        <v>386</v>
      </c>
      <c r="D1724" s="11" t="s">
        <v>387</v>
      </c>
      <c r="E1724" s="11" t="s">
        <v>1133</v>
      </c>
      <c r="F1724" s="11" t="s">
        <v>2298</v>
      </c>
      <c r="G1724" s="11" t="s">
        <v>1135</v>
      </c>
      <c r="H1724" s="11"/>
      <c r="I1724" s="11" t="s">
        <v>1136</v>
      </c>
      <c r="J1724" s="11" t="s">
        <v>10407</v>
      </c>
      <c r="K1724" s="11" t="s">
        <v>1138</v>
      </c>
      <c r="L1724" s="11" t="s">
        <v>3775</v>
      </c>
      <c r="M1724" s="11"/>
      <c r="N1724" s="14" t="n">
        <v>2</v>
      </c>
      <c r="O1724" s="14" t="n">
        <v>2</v>
      </c>
      <c r="P1724" s="14" t="n">
        <v>1</v>
      </c>
      <c r="Q1724" s="14"/>
      <c r="R1724" s="12" t="n">
        <f aca="false">IF(OR(N1724="",P1724=""),"",ROUND(N1724*O1724/P1724,1))</f>
        <v>4</v>
      </c>
      <c r="S1724" s="13" t="n">
        <f aca="false">IF(R1724="","",IF(Q1724="Y",1,IF(P1724&gt;='Read me'!$B$16,3,IF(AND(R1724&gt;='Read me'!$B$14,P1724&lt;='Read me'!$B$15),1,2))))</f>
        <v>2</v>
      </c>
    </row>
    <row r="1725" customFormat="false" ht="46.25" hidden="false" customHeight="false" outlineLevel="0" collapsed="false">
      <c r="A1725" s="11" t="s">
        <v>10408</v>
      </c>
      <c r="B1725" s="11" t="s">
        <v>48</v>
      </c>
      <c r="C1725" s="11" t="s">
        <v>389</v>
      </c>
      <c r="D1725" s="11" t="s">
        <v>390</v>
      </c>
      <c r="E1725" s="11" t="s">
        <v>476</v>
      </c>
      <c r="F1725" s="11" t="s">
        <v>10409</v>
      </c>
      <c r="G1725" s="11"/>
      <c r="H1725" s="11"/>
      <c r="I1725" s="11" t="s">
        <v>10410</v>
      </c>
      <c r="J1725" s="11" t="s">
        <v>10411</v>
      </c>
      <c r="K1725" s="11" t="s">
        <v>10412</v>
      </c>
      <c r="L1725" s="11" t="s">
        <v>10413</v>
      </c>
      <c r="M1725" s="11"/>
      <c r="N1725" s="14" t="n">
        <v>5</v>
      </c>
      <c r="O1725" s="14" t="n">
        <v>4</v>
      </c>
      <c r="P1725" s="14" t="n">
        <v>2</v>
      </c>
      <c r="Q1725" s="14"/>
      <c r="R1725" s="12" t="n">
        <f aca="false">IF(OR(N1725="",P1725=""),"",ROUND(N1725*O1725/P1725,1))</f>
        <v>10</v>
      </c>
      <c r="S1725" s="13" t="n">
        <f aca="false">IF(R1725="","",IF(Q1725="Y",1,IF(P1725&gt;='Read me'!$B$16,3,IF(AND(R1725&gt;='Read me'!$B$14,P1725&lt;='Read me'!$B$15),1,2))))</f>
        <v>1</v>
      </c>
    </row>
    <row r="1726" customFormat="false" ht="35.05" hidden="false" customHeight="false" outlineLevel="0" collapsed="false">
      <c r="A1726" s="11" t="s">
        <v>10414</v>
      </c>
      <c r="B1726" s="11" t="s">
        <v>48</v>
      </c>
      <c r="C1726" s="11" t="s">
        <v>389</v>
      </c>
      <c r="D1726" s="11" t="s">
        <v>390</v>
      </c>
      <c r="E1726" s="11" t="s">
        <v>476</v>
      </c>
      <c r="F1726" s="11" t="s">
        <v>10409</v>
      </c>
      <c r="G1726" s="11" t="s">
        <v>6948</v>
      </c>
      <c r="H1726" s="11"/>
      <c r="I1726" s="11" t="s">
        <v>10415</v>
      </c>
      <c r="J1726" s="11" t="s">
        <v>10416</v>
      </c>
      <c r="K1726" s="11" t="s">
        <v>10417</v>
      </c>
      <c r="L1726" s="11" t="s">
        <v>10418</v>
      </c>
      <c r="M1726" s="11"/>
      <c r="N1726" s="14" t="n">
        <v>2</v>
      </c>
      <c r="O1726" s="14" t="n">
        <v>3</v>
      </c>
      <c r="P1726" s="14" t="n">
        <v>2</v>
      </c>
      <c r="Q1726" s="14"/>
      <c r="R1726" s="12" t="n">
        <f aca="false">IF(OR(N1726="",P1726=""),"",ROUND(N1726*O1726/P1726,1))</f>
        <v>3</v>
      </c>
      <c r="S1726" s="13" t="n">
        <f aca="false">IF(R1726="","",IF(Q1726="Y",1,IF(P1726&gt;='Read me'!$B$16,3,IF(AND(R1726&gt;='Read me'!$B$14,P1726&lt;='Read me'!$B$15),1,2))))</f>
        <v>2</v>
      </c>
    </row>
    <row r="1727" customFormat="false" ht="23.85" hidden="false" customHeight="false" outlineLevel="0" collapsed="false">
      <c r="A1727" s="11" t="s">
        <v>10419</v>
      </c>
      <c r="B1727" s="11" t="s">
        <v>48</v>
      </c>
      <c r="C1727" s="11" t="s">
        <v>389</v>
      </c>
      <c r="D1727" s="11" t="s">
        <v>390</v>
      </c>
      <c r="E1727" s="11" t="s">
        <v>476</v>
      </c>
      <c r="F1727" s="11" t="s">
        <v>10409</v>
      </c>
      <c r="G1727" s="11" t="s">
        <v>4253</v>
      </c>
      <c r="H1727" s="11"/>
      <c r="I1727" s="11" t="s">
        <v>10420</v>
      </c>
      <c r="J1727" s="11" t="s">
        <v>10421</v>
      </c>
      <c r="K1727" s="11" t="s">
        <v>10422</v>
      </c>
      <c r="L1727" s="11" t="s">
        <v>10423</v>
      </c>
      <c r="M1727" s="11" t="s">
        <v>1497</v>
      </c>
      <c r="N1727" s="14" t="n">
        <v>2</v>
      </c>
      <c r="O1727" s="14" t="n">
        <v>3</v>
      </c>
      <c r="P1727" s="14" t="n">
        <v>2</v>
      </c>
      <c r="Q1727" s="14"/>
      <c r="R1727" s="12" t="n">
        <f aca="false">IF(OR(N1727="",P1727=""),"",ROUND(N1727*O1727/P1727,1))</f>
        <v>3</v>
      </c>
      <c r="S1727" s="13" t="n">
        <f aca="false">IF(R1727="","",IF(Q1727="Y",1,IF(P1727&gt;='Read me'!$B$16,3,IF(AND(R1727&gt;='Read me'!$B$14,P1727&lt;='Read me'!$B$15),1,2))))</f>
        <v>2</v>
      </c>
    </row>
    <row r="1728" customFormat="false" ht="23.85" hidden="false" customHeight="false" outlineLevel="0" collapsed="false">
      <c r="A1728" s="11" t="s">
        <v>10424</v>
      </c>
      <c r="B1728" s="11" t="s">
        <v>48</v>
      </c>
      <c r="C1728" s="11" t="s">
        <v>389</v>
      </c>
      <c r="D1728" s="11" t="s">
        <v>390</v>
      </c>
      <c r="E1728" s="11" t="s">
        <v>476</v>
      </c>
      <c r="F1728" s="11" t="s">
        <v>10425</v>
      </c>
      <c r="G1728" s="11"/>
      <c r="H1728" s="11"/>
      <c r="I1728" s="11" t="s">
        <v>10426</v>
      </c>
      <c r="J1728" s="11" t="s">
        <v>10427</v>
      </c>
      <c r="K1728" s="11" t="s">
        <v>890</v>
      </c>
      <c r="L1728" s="11" t="s">
        <v>10428</v>
      </c>
      <c r="M1728" s="11"/>
      <c r="N1728" s="14" t="n">
        <v>5</v>
      </c>
      <c r="O1728" s="14" t="n">
        <v>4</v>
      </c>
      <c r="P1728" s="14" t="n">
        <v>3</v>
      </c>
      <c r="Q1728" s="14"/>
      <c r="R1728" s="12" t="n">
        <f aca="false">IF(OR(N1728="",P1728=""),"",ROUND(N1728*O1728/P1728,1))</f>
        <v>6.7</v>
      </c>
      <c r="S1728" s="13" t="n">
        <f aca="false">IF(R1728="","",IF(Q1728="Y",1,IF(P1728&gt;='Read me'!$B$16,3,IF(AND(R1728&gt;='Read me'!$B$14,P1728&lt;='Read me'!$B$15),1,2))))</f>
        <v>2</v>
      </c>
    </row>
    <row r="1729" customFormat="false" ht="35.05" hidden="false" customHeight="false" outlineLevel="0" collapsed="false">
      <c r="A1729" s="11" t="s">
        <v>10429</v>
      </c>
      <c r="B1729" s="11" t="s">
        <v>48</v>
      </c>
      <c r="C1729" s="11" t="s">
        <v>389</v>
      </c>
      <c r="D1729" s="11" t="s">
        <v>390</v>
      </c>
      <c r="E1729" s="11" t="s">
        <v>476</v>
      </c>
      <c r="F1729" s="11" t="s">
        <v>10425</v>
      </c>
      <c r="G1729" s="11"/>
      <c r="H1729" s="11" t="s">
        <v>10430</v>
      </c>
      <c r="I1729" s="11" t="s">
        <v>10431</v>
      </c>
      <c r="J1729" s="11" t="s">
        <v>10432</v>
      </c>
      <c r="K1729" s="11" t="s">
        <v>10433</v>
      </c>
      <c r="L1729" s="11" t="s">
        <v>10434</v>
      </c>
      <c r="M1729" s="11" t="s">
        <v>10435</v>
      </c>
      <c r="N1729" s="14" t="n">
        <v>4</v>
      </c>
      <c r="O1729" s="14" t="n">
        <v>3</v>
      </c>
      <c r="P1729" s="14" t="n">
        <v>4</v>
      </c>
      <c r="Q1729" s="14"/>
      <c r="R1729" s="12" t="n">
        <f aca="false">IF(OR(N1729="",P1729=""),"",ROUND(N1729*O1729/P1729,1))</f>
        <v>3</v>
      </c>
      <c r="S1729" s="13" t="n">
        <f aca="false">IF(R1729="","",IF(Q1729="Y",1,IF(P1729&gt;='Read me'!$B$16,3,IF(AND(R1729&gt;='Read me'!$B$14,P1729&lt;='Read me'!$B$15),1,2))))</f>
        <v>3</v>
      </c>
    </row>
    <row r="1730" customFormat="false" ht="23.85" hidden="false" customHeight="false" outlineLevel="0" collapsed="false">
      <c r="A1730" s="11" t="s">
        <v>10436</v>
      </c>
      <c r="B1730" s="11" t="s">
        <v>48</v>
      </c>
      <c r="C1730" s="11" t="s">
        <v>389</v>
      </c>
      <c r="D1730" s="11" t="s">
        <v>390</v>
      </c>
      <c r="E1730" s="11" t="s">
        <v>476</v>
      </c>
      <c r="F1730" s="11" t="s">
        <v>10437</v>
      </c>
      <c r="G1730" s="11" t="s">
        <v>10438</v>
      </c>
      <c r="H1730" s="11"/>
      <c r="I1730" s="11" t="s">
        <v>10439</v>
      </c>
      <c r="J1730" s="11" t="s">
        <v>10440</v>
      </c>
      <c r="K1730" s="11" t="s">
        <v>10441</v>
      </c>
      <c r="L1730" s="11" t="s">
        <v>10442</v>
      </c>
      <c r="M1730" s="11"/>
      <c r="N1730" s="14" t="n">
        <v>4</v>
      </c>
      <c r="O1730" s="14" t="n">
        <v>3</v>
      </c>
      <c r="P1730" s="14" t="n">
        <v>2</v>
      </c>
      <c r="Q1730" s="14"/>
      <c r="R1730" s="12" t="n">
        <f aca="false">IF(OR(N1730="",P1730=""),"",ROUND(N1730*O1730/P1730,1))</f>
        <v>6</v>
      </c>
      <c r="S1730" s="13" t="n">
        <f aca="false">IF(R1730="","",IF(Q1730="Y",1,IF(P1730&gt;='Read me'!$B$16,3,IF(AND(R1730&gt;='Read me'!$B$14,P1730&lt;='Read me'!$B$15),1,2))))</f>
        <v>1</v>
      </c>
    </row>
    <row r="1731" customFormat="false" ht="23.85" hidden="false" customHeight="false" outlineLevel="0" collapsed="false">
      <c r="A1731" s="11" t="s">
        <v>10443</v>
      </c>
      <c r="B1731" s="11" t="s">
        <v>48</v>
      </c>
      <c r="C1731" s="11" t="s">
        <v>389</v>
      </c>
      <c r="D1731" s="11" t="s">
        <v>390</v>
      </c>
      <c r="E1731" s="11" t="s">
        <v>476</v>
      </c>
      <c r="F1731" s="11" t="s">
        <v>10444</v>
      </c>
      <c r="G1731" s="11"/>
      <c r="H1731" s="11"/>
      <c r="I1731" s="11" t="s">
        <v>10445</v>
      </c>
      <c r="J1731" s="11" t="s">
        <v>10446</v>
      </c>
      <c r="K1731" s="11" t="s">
        <v>10447</v>
      </c>
      <c r="L1731" s="11" t="s">
        <v>10448</v>
      </c>
      <c r="M1731" s="11"/>
      <c r="N1731" s="14" t="n">
        <v>4</v>
      </c>
      <c r="O1731" s="14" t="n">
        <v>3</v>
      </c>
      <c r="P1731" s="14" t="n">
        <v>2</v>
      </c>
      <c r="Q1731" s="14"/>
      <c r="R1731" s="12" t="n">
        <f aca="false">IF(OR(N1731="",P1731=""),"",ROUND(N1731*O1731/P1731,1))</f>
        <v>6</v>
      </c>
      <c r="S1731" s="13" t="n">
        <f aca="false">IF(R1731="","",IF(Q1731="Y",1,IF(P1731&gt;='Read me'!$B$16,3,IF(AND(R1731&gt;='Read me'!$B$14,P1731&lt;='Read me'!$B$15),1,2))))</f>
        <v>1</v>
      </c>
    </row>
    <row r="1732" customFormat="false" ht="35.05" hidden="false" customHeight="false" outlineLevel="0" collapsed="false">
      <c r="A1732" s="11" t="s">
        <v>10449</v>
      </c>
      <c r="B1732" s="11" t="s">
        <v>48</v>
      </c>
      <c r="C1732" s="11" t="s">
        <v>389</v>
      </c>
      <c r="D1732" s="11" t="s">
        <v>390</v>
      </c>
      <c r="E1732" s="11" t="s">
        <v>476</v>
      </c>
      <c r="F1732" s="11" t="s">
        <v>10450</v>
      </c>
      <c r="G1732" s="11" t="s">
        <v>10451</v>
      </c>
      <c r="H1732" s="11"/>
      <c r="I1732" s="11" t="s">
        <v>10452</v>
      </c>
      <c r="J1732" s="11" t="s">
        <v>10453</v>
      </c>
      <c r="K1732" s="11" t="s">
        <v>10454</v>
      </c>
      <c r="L1732" s="11" t="s">
        <v>10455</v>
      </c>
      <c r="M1732" s="11" t="s">
        <v>10456</v>
      </c>
      <c r="N1732" s="14" t="n">
        <v>2</v>
      </c>
      <c r="O1732" s="14" t="n">
        <v>3</v>
      </c>
      <c r="P1732" s="14" t="n">
        <v>1</v>
      </c>
      <c r="Q1732" s="14"/>
      <c r="R1732" s="12" t="n">
        <f aca="false">IF(OR(N1732="",P1732=""),"",ROUND(N1732*O1732/P1732,1))</f>
        <v>6</v>
      </c>
      <c r="S1732" s="13" t="n">
        <f aca="false">IF(R1732="","",IF(Q1732="Y",1,IF(P1732&gt;='Read me'!$B$16,3,IF(AND(R1732&gt;='Read me'!$B$14,P1732&lt;='Read me'!$B$15),1,2))))</f>
        <v>1</v>
      </c>
    </row>
    <row r="1733" customFormat="false" ht="35.05" hidden="false" customHeight="false" outlineLevel="0" collapsed="false">
      <c r="A1733" s="11" t="s">
        <v>10457</v>
      </c>
      <c r="B1733" s="11" t="s">
        <v>48</v>
      </c>
      <c r="C1733" s="11" t="s">
        <v>389</v>
      </c>
      <c r="D1733" s="11" t="s">
        <v>390</v>
      </c>
      <c r="E1733" s="11" t="s">
        <v>476</v>
      </c>
      <c r="F1733" s="11" t="s">
        <v>10458</v>
      </c>
      <c r="G1733" s="11" t="s">
        <v>10459</v>
      </c>
      <c r="H1733" s="11"/>
      <c r="I1733" s="11" t="s">
        <v>512</v>
      </c>
      <c r="J1733" s="11" t="s">
        <v>10460</v>
      </c>
      <c r="K1733" s="11" t="s">
        <v>10461</v>
      </c>
      <c r="L1733" s="11" t="s">
        <v>10462</v>
      </c>
      <c r="M1733" s="11" t="s">
        <v>10463</v>
      </c>
      <c r="N1733" s="14" t="n">
        <v>3</v>
      </c>
      <c r="O1733" s="14" t="n">
        <v>4</v>
      </c>
      <c r="P1733" s="14" t="n">
        <v>2</v>
      </c>
      <c r="Q1733" s="14"/>
      <c r="R1733" s="12" t="n">
        <f aca="false">IF(OR(N1733="",P1733=""),"",ROUND(N1733*O1733/P1733,1))</f>
        <v>6</v>
      </c>
      <c r="S1733" s="13" t="n">
        <f aca="false">IF(R1733="","",IF(Q1733="Y",1,IF(P1733&gt;='Read me'!$B$16,3,IF(AND(R1733&gt;='Read me'!$B$14,P1733&lt;='Read me'!$B$15),1,2))))</f>
        <v>1</v>
      </c>
    </row>
    <row r="1734" customFormat="false" ht="23.85" hidden="false" customHeight="false" outlineLevel="0" collapsed="false">
      <c r="A1734" s="11" t="s">
        <v>10464</v>
      </c>
      <c r="B1734" s="11" t="s">
        <v>48</v>
      </c>
      <c r="C1734" s="11" t="s">
        <v>389</v>
      </c>
      <c r="D1734" s="11" t="s">
        <v>390</v>
      </c>
      <c r="E1734" s="11" t="s">
        <v>476</v>
      </c>
      <c r="F1734" s="11" t="s">
        <v>10465</v>
      </c>
      <c r="G1734" s="11"/>
      <c r="H1734" s="11"/>
      <c r="I1734" s="11" t="s">
        <v>10466</v>
      </c>
      <c r="J1734" s="11" t="s">
        <v>10467</v>
      </c>
      <c r="K1734" s="11" t="s">
        <v>10468</v>
      </c>
      <c r="L1734" s="11" t="s">
        <v>10469</v>
      </c>
      <c r="M1734" s="11"/>
      <c r="N1734" s="14" t="n">
        <v>2</v>
      </c>
      <c r="O1734" s="14" t="n">
        <v>2</v>
      </c>
      <c r="P1734" s="14" t="n">
        <v>3</v>
      </c>
      <c r="Q1734" s="14"/>
      <c r="R1734" s="12" t="n">
        <f aca="false">IF(OR(N1734="",P1734=""),"",ROUND(N1734*O1734/P1734,1))</f>
        <v>1.3</v>
      </c>
      <c r="S1734" s="13" t="n">
        <f aca="false">IF(R1734="","",IF(Q1734="Y",1,IF(P1734&gt;='Read me'!$B$16,3,IF(AND(R1734&gt;='Read me'!$B$14,P1734&lt;='Read me'!$B$15),1,2))))</f>
        <v>2</v>
      </c>
    </row>
    <row r="1735" customFormat="false" ht="35.05" hidden="false" customHeight="false" outlineLevel="0" collapsed="false">
      <c r="A1735" s="11" t="s">
        <v>10470</v>
      </c>
      <c r="B1735" s="11" t="s">
        <v>48</v>
      </c>
      <c r="C1735" s="11" t="s">
        <v>389</v>
      </c>
      <c r="D1735" s="11" t="s">
        <v>390</v>
      </c>
      <c r="E1735" s="11" t="s">
        <v>626</v>
      </c>
      <c r="F1735" s="11" t="s">
        <v>10471</v>
      </c>
      <c r="G1735" s="11" t="s">
        <v>10472</v>
      </c>
      <c r="H1735" s="11"/>
      <c r="I1735" s="11" t="s">
        <v>10473</v>
      </c>
      <c r="J1735" s="11" t="s">
        <v>10474</v>
      </c>
      <c r="K1735" s="11" t="s">
        <v>9507</v>
      </c>
      <c r="L1735" s="11" t="s">
        <v>10475</v>
      </c>
      <c r="M1735" s="11" t="s">
        <v>10476</v>
      </c>
      <c r="N1735" s="14" t="n">
        <v>3</v>
      </c>
      <c r="O1735" s="14" t="n">
        <v>4</v>
      </c>
      <c r="P1735" s="14" t="n">
        <v>2</v>
      </c>
      <c r="Q1735" s="14"/>
      <c r="R1735" s="12" t="n">
        <f aca="false">IF(OR(N1735="",P1735=""),"",ROUND(N1735*O1735/P1735,1))</f>
        <v>6</v>
      </c>
      <c r="S1735" s="13" t="n">
        <f aca="false">IF(R1735="","",IF(Q1735="Y",1,IF(P1735&gt;='Read me'!$B$16,3,IF(AND(R1735&gt;='Read me'!$B$14,P1735&lt;='Read me'!$B$15),1,2))))</f>
        <v>1</v>
      </c>
    </row>
    <row r="1736" customFormat="false" ht="23.85" hidden="false" customHeight="false" outlineLevel="0" collapsed="false">
      <c r="A1736" s="11" t="s">
        <v>10477</v>
      </c>
      <c r="B1736" s="11" t="s">
        <v>48</v>
      </c>
      <c r="C1736" s="11" t="s">
        <v>389</v>
      </c>
      <c r="D1736" s="11" t="s">
        <v>390</v>
      </c>
      <c r="E1736" s="11" t="s">
        <v>626</v>
      </c>
      <c r="F1736" s="11" t="s">
        <v>10471</v>
      </c>
      <c r="G1736" s="11" t="s">
        <v>10478</v>
      </c>
      <c r="H1736" s="11"/>
      <c r="I1736" s="11" t="s">
        <v>10479</v>
      </c>
      <c r="J1736" s="11" t="s">
        <v>10480</v>
      </c>
      <c r="K1736" s="11" t="s">
        <v>9507</v>
      </c>
      <c r="L1736" s="11" t="s">
        <v>10481</v>
      </c>
      <c r="M1736" s="11"/>
      <c r="N1736" s="14" t="n">
        <v>3</v>
      </c>
      <c r="O1736" s="14" t="n">
        <v>4</v>
      </c>
      <c r="P1736" s="14" t="n">
        <v>2</v>
      </c>
      <c r="Q1736" s="14"/>
      <c r="R1736" s="12" t="n">
        <f aca="false">IF(OR(N1736="",P1736=""),"",ROUND(N1736*O1736/P1736,1))</f>
        <v>6</v>
      </c>
      <c r="S1736" s="13" t="n">
        <f aca="false">IF(R1736="","",IF(Q1736="Y",1,IF(P1736&gt;='Read me'!$B$16,3,IF(AND(R1736&gt;='Read me'!$B$14,P1736&lt;='Read me'!$B$15),1,2))))</f>
        <v>1</v>
      </c>
    </row>
    <row r="1737" customFormat="false" ht="23.85" hidden="false" customHeight="false" outlineLevel="0" collapsed="false">
      <c r="A1737" s="11" t="s">
        <v>10482</v>
      </c>
      <c r="B1737" s="11" t="s">
        <v>48</v>
      </c>
      <c r="C1737" s="11" t="s">
        <v>389</v>
      </c>
      <c r="D1737" s="11" t="s">
        <v>390</v>
      </c>
      <c r="E1737" s="11" t="s">
        <v>626</v>
      </c>
      <c r="F1737" s="11" t="s">
        <v>10471</v>
      </c>
      <c r="G1737" s="11" t="s">
        <v>10483</v>
      </c>
      <c r="H1737" s="11"/>
      <c r="I1737" s="11" t="s">
        <v>10484</v>
      </c>
      <c r="J1737" s="11" t="s">
        <v>10485</v>
      </c>
      <c r="K1737" s="11" t="s">
        <v>10486</v>
      </c>
      <c r="L1737" s="11" t="s">
        <v>10487</v>
      </c>
      <c r="M1737" s="11"/>
      <c r="N1737" s="14" t="n">
        <v>2</v>
      </c>
      <c r="O1737" s="14" t="n">
        <v>3</v>
      </c>
      <c r="P1737" s="14" t="n">
        <v>1</v>
      </c>
      <c r="Q1737" s="14"/>
      <c r="R1737" s="12" t="n">
        <f aca="false">IF(OR(N1737="",P1737=""),"",ROUND(N1737*O1737/P1737,1))</f>
        <v>6</v>
      </c>
      <c r="S1737" s="13" t="n">
        <f aca="false">IF(R1737="","",IF(Q1737="Y",1,IF(P1737&gt;='Read me'!$B$16,3,IF(AND(R1737&gt;='Read me'!$B$14,P1737&lt;='Read me'!$B$15),1,2))))</f>
        <v>1</v>
      </c>
    </row>
    <row r="1738" customFormat="false" ht="23.85" hidden="false" customHeight="false" outlineLevel="0" collapsed="false">
      <c r="A1738" s="11" t="s">
        <v>10488</v>
      </c>
      <c r="B1738" s="11" t="s">
        <v>48</v>
      </c>
      <c r="C1738" s="11" t="s">
        <v>389</v>
      </c>
      <c r="D1738" s="11" t="s">
        <v>390</v>
      </c>
      <c r="E1738" s="11" t="s">
        <v>751</v>
      </c>
      <c r="F1738" s="11" t="s">
        <v>10489</v>
      </c>
      <c r="G1738" s="11" t="s">
        <v>10490</v>
      </c>
      <c r="H1738" s="11"/>
      <c r="I1738" s="11" t="s">
        <v>10491</v>
      </c>
      <c r="J1738" s="11" t="s">
        <v>10492</v>
      </c>
      <c r="K1738" s="11" t="s">
        <v>10493</v>
      </c>
      <c r="L1738" s="11" t="s">
        <v>10494</v>
      </c>
      <c r="M1738" s="11" t="s">
        <v>1577</v>
      </c>
      <c r="N1738" s="14" t="n">
        <v>2</v>
      </c>
      <c r="O1738" s="14" t="n">
        <v>3</v>
      </c>
      <c r="P1738" s="14" t="n">
        <v>2</v>
      </c>
      <c r="Q1738" s="14"/>
      <c r="R1738" s="12" t="n">
        <f aca="false">IF(OR(N1738="",P1738=""),"",ROUND(N1738*O1738/P1738,1))</f>
        <v>3</v>
      </c>
      <c r="S1738" s="13" t="n">
        <f aca="false">IF(R1738="","",IF(Q1738="Y",1,IF(P1738&gt;='Read me'!$B$16,3,IF(AND(R1738&gt;='Read me'!$B$14,P1738&lt;='Read me'!$B$15),1,2))))</f>
        <v>2</v>
      </c>
    </row>
    <row r="1739" customFormat="false" ht="35.05" hidden="false" customHeight="false" outlineLevel="0" collapsed="false">
      <c r="A1739" s="11" t="s">
        <v>10495</v>
      </c>
      <c r="B1739" s="11" t="s">
        <v>48</v>
      </c>
      <c r="C1739" s="11" t="s">
        <v>389</v>
      </c>
      <c r="D1739" s="11" t="s">
        <v>390</v>
      </c>
      <c r="E1739" s="11" t="s">
        <v>765</v>
      </c>
      <c r="F1739" s="11" t="s">
        <v>10496</v>
      </c>
      <c r="G1739" s="11" t="s">
        <v>10497</v>
      </c>
      <c r="H1739" s="11"/>
      <c r="I1739" s="11" t="s">
        <v>512</v>
      </c>
      <c r="J1739" s="11" t="s">
        <v>10498</v>
      </c>
      <c r="K1739" s="11" t="s">
        <v>10499</v>
      </c>
      <c r="L1739" s="11" t="s">
        <v>10500</v>
      </c>
      <c r="M1739" s="11" t="s">
        <v>10501</v>
      </c>
      <c r="N1739" s="14" t="n">
        <v>2</v>
      </c>
      <c r="O1739" s="14" t="n">
        <v>3</v>
      </c>
      <c r="P1739" s="14" t="n">
        <v>4</v>
      </c>
      <c r="Q1739" s="14"/>
      <c r="R1739" s="12" t="n">
        <f aca="false">IF(OR(N1739="",P1739=""),"",ROUND(N1739*O1739/P1739,1))</f>
        <v>1.5</v>
      </c>
      <c r="S1739" s="13" t="n">
        <f aca="false">IF(R1739="","",IF(Q1739="Y",1,IF(P1739&gt;='Read me'!$B$16,3,IF(AND(R1739&gt;='Read me'!$B$14,P1739&lt;='Read me'!$B$15),1,2))))</f>
        <v>3</v>
      </c>
    </row>
    <row r="1740" customFormat="false" ht="23.85" hidden="false" customHeight="false" outlineLevel="0" collapsed="false">
      <c r="A1740" s="11" t="s">
        <v>10502</v>
      </c>
      <c r="B1740" s="11" t="s">
        <v>48</v>
      </c>
      <c r="C1740" s="11" t="s">
        <v>389</v>
      </c>
      <c r="D1740" s="11" t="s">
        <v>390</v>
      </c>
      <c r="E1740" s="11" t="s">
        <v>765</v>
      </c>
      <c r="F1740" s="11" t="s">
        <v>10503</v>
      </c>
      <c r="G1740" s="11" t="s">
        <v>2160</v>
      </c>
      <c r="H1740" s="11"/>
      <c r="I1740" s="11" t="s">
        <v>10504</v>
      </c>
      <c r="J1740" s="11" t="s">
        <v>10505</v>
      </c>
      <c r="K1740" s="11" t="s">
        <v>10506</v>
      </c>
      <c r="L1740" s="11" t="s">
        <v>10507</v>
      </c>
      <c r="M1740" s="11"/>
      <c r="N1740" s="14" t="n">
        <v>3</v>
      </c>
      <c r="O1740" s="14" t="n">
        <v>4</v>
      </c>
      <c r="P1740" s="14" t="n">
        <v>3</v>
      </c>
      <c r="Q1740" s="14"/>
      <c r="R1740" s="12" t="n">
        <f aca="false">IF(OR(N1740="",P1740=""),"",ROUND(N1740*O1740/P1740,1))</f>
        <v>4</v>
      </c>
      <c r="S1740" s="13" t="n">
        <f aca="false">IF(R1740="","",IF(Q1740="Y",1,IF(P1740&gt;='Read me'!$B$16,3,IF(AND(R1740&gt;='Read me'!$B$14,P1740&lt;='Read me'!$B$15),1,2))))</f>
        <v>2</v>
      </c>
    </row>
    <row r="1741" customFormat="false" ht="35.05" hidden="false" customHeight="false" outlineLevel="0" collapsed="false">
      <c r="A1741" s="11" t="s">
        <v>10508</v>
      </c>
      <c r="B1741" s="11" t="s">
        <v>48</v>
      </c>
      <c r="C1741" s="11" t="s">
        <v>389</v>
      </c>
      <c r="D1741" s="11" t="s">
        <v>390</v>
      </c>
      <c r="E1741" s="11" t="s">
        <v>1081</v>
      </c>
      <c r="F1741" s="11" t="s">
        <v>10509</v>
      </c>
      <c r="G1741" s="11" t="s">
        <v>10510</v>
      </c>
      <c r="H1741" s="11" t="s">
        <v>10511</v>
      </c>
      <c r="I1741" s="11" t="s">
        <v>10512</v>
      </c>
      <c r="J1741" s="11" t="s">
        <v>10513</v>
      </c>
      <c r="K1741" s="11" t="s">
        <v>10514</v>
      </c>
      <c r="L1741" s="11" t="s">
        <v>10515</v>
      </c>
      <c r="M1741" s="11"/>
      <c r="N1741" s="14" t="n">
        <v>2</v>
      </c>
      <c r="O1741" s="14" t="n">
        <v>4</v>
      </c>
      <c r="P1741" s="14" t="n">
        <v>3</v>
      </c>
      <c r="Q1741" s="14"/>
      <c r="R1741" s="12" t="n">
        <f aca="false">IF(OR(N1741="",P1741=""),"",ROUND(N1741*O1741/P1741,1))</f>
        <v>2.7</v>
      </c>
      <c r="S1741" s="13" t="n">
        <f aca="false">IF(R1741="","",IF(Q1741="Y",1,IF(P1741&gt;='Read me'!$B$16,3,IF(AND(R1741&gt;='Read me'!$B$14,P1741&lt;='Read me'!$B$15),1,2))))</f>
        <v>2</v>
      </c>
    </row>
    <row r="1742" customFormat="false" ht="23.85" hidden="false" customHeight="false" outlineLevel="0" collapsed="false">
      <c r="A1742" s="11" t="s">
        <v>10516</v>
      </c>
      <c r="B1742" s="11" t="s">
        <v>48</v>
      </c>
      <c r="C1742" s="11" t="s">
        <v>389</v>
      </c>
      <c r="D1742" s="11" t="s">
        <v>390</v>
      </c>
      <c r="E1742" s="11" t="s">
        <v>1187</v>
      </c>
      <c r="F1742" s="11" t="s">
        <v>10425</v>
      </c>
      <c r="G1742" s="11" t="s">
        <v>10517</v>
      </c>
      <c r="H1742" s="11" t="s">
        <v>10518</v>
      </c>
      <c r="I1742" s="11" t="s">
        <v>10519</v>
      </c>
      <c r="J1742" s="11" t="s">
        <v>10520</v>
      </c>
      <c r="K1742" s="11" t="s">
        <v>675</v>
      </c>
      <c r="L1742" s="11" t="s">
        <v>10521</v>
      </c>
      <c r="M1742" s="11"/>
      <c r="N1742" s="14" t="n">
        <v>2</v>
      </c>
      <c r="O1742" s="14" t="n">
        <v>2</v>
      </c>
      <c r="P1742" s="14" t="n">
        <v>3</v>
      </c>
      <c r="Q1742" s="14"/>
      <c r="R1742" s="12" t="n">
        <f aca="false">IF(OR(N1742="",P1742=""),"",ROUND(N1742*O1742/P1742,1))</f>
        <v>1.3</v>
      </c>
      <c r="S1742" s="13" t="n">
        <f aca="false">IF(R1742="","",IF(Q1742="Y",1,IF(P1742&gt;='Read me'!$B$16,3,IF(AND(R1742&gt;='Read me'!$B$14,P1742&lt;='Read me'!$B$15),1,2))))</f>
        <v>2</v>
      </c>
    </row>
    <row r="1743" customFormat="false" ht="35.05" hidden="false" customHeight="false" outlineLevel="0" collapsed="false">
      <c r="A1743" s="11" t="s">
        <v>10522</v>
      </c>
      <c r="B1743" s="11" t="s">
        <v>48</v>
      </c>
      <c r="C1743" s="11" t="s">
        <v>389</v>
      </c>
      <c r="D1743" s="11" t="s">
        <v>390</v>
      </c>
      <c r="E1743" s="11" t="s">
        <v>1133</v>
      </c>
      <c r="F1743" s="11" t="s">
        <v>10523</v>
      </c>
      <c r="G1743" s="11" t="s">
        <v>10524</v>
      </c>
      <c r="H1743" s="11"/>
      <c r="I1743" s="11" t="s">
        <v>10525</v>
      </c>
      <c r="J1743" s="11" t="s">
        <v>10526</v>
      </c>
      <c r="K1743" s="11" t="s">
        <v>10527</v>
      </c>
      <c r="L1743" s="11" t="s">
        <v>10528</v>
      </c>
      <c r="M1743" s="11"/>
      <c r="N1743" s="14" t="n">
        <v>3</v>
      </c>
      <c r="O1743" s="14" t="n">
        <v>4</v>
      </c>
      <c r="P1743" s="14" t="n">
        <v>3</v>
      </c>
      <c r="Q1743" s="14"/>
      <c r="R1743" s="12" t="n">
        <f aca="false">IF(OR(N1743="",P1743=""),"",ROUND(N1743*O1743/P1743,1))</f>
        <v>4</v>
      </c>
      <c r="S1743" s="13" t="n">
        <f aca="false">IF(R1743="","",IF(Q1743="Y",1,IF(P1743&gt;='Read me'!$B$16,3,IF(AND(R1743&gt;='Read me'!$B$14,P1743&lt;='Read me'!$B$15),1,2))))</f>
        <v>2</v>
      </c>
    </row>
    <row r="1744" customFormat="false" ht="23.85" hidden="false" customHeight="false" outlineLevel="0" collapsed="false">
      <c r="A1744" s="11" t="s">
        <v>10529</v>
      </c>
      <c r="B1744" s="11" t="s">
        <v>48</v>
      </c>
      <c r="C1744" s="11" t="s">
        <v>389</v>
      </c>
      <c r="D1744" s="11" t="s">
        <v>390</v>
      </c>
      <c r="E1744" s="11" t="s">
        <v>1133</v>
      </c>
      <c r="F1744" s="11" t="s">
        <v>10530</v>
      </c>
      <c r="G1744" s="11" t="s">
        <v>10531</v>
      </c>
      <c r="H1744" s="11"/>
      <c r="I1744" s="11" t="s">
        <v>10532</v>
      </c>
      <c r="J1744" s="11" t="s">
        <v>10533</v>
      </c>
      <c r="K1744" s="11" t="s">
        <v>10534</v>
      </c>
      <c r="L1744" s="11" t="s">
        <v>10535</v>
      </c>
      <c r="M1744" s="11"/>
      <c r="N1744" s="14" t="n">
        <v>1</v>
      </c>
      <c r="O1744" s="14" t="n">
        <v>2</v>
      </c>
      <c r="P1744" s="14" t="n">
        <v>2</v>
      </c>
      <c r="Q1744" s="14"/>
      <c r="R1744" s="12" t="n">
        <f aca="false">IF(OR(N1744="",P1744=""),"",ROUND(N1744*O1744/P1744,1))</f>
        <v>1</v>
      </c>
      <c r="S1744" s="13" t="n">
        <f aca="false">IF(R1744="","",IF(Q1744="Y",1,IF(P1744&gt;='Read me'!$B$16,3,IF(AND(R1744&gt;='Read me'!$B$14,P1744&lt;='Read me'!$B$15),1,2))))</f>
        <v>2</v>
      </c>
    </row>
    <row r="1745" customFormat="false" ht="35.05" hidden="false" customHeight="false" outlineLevel="0" collapsed="false">
      <c r="A1745" s="11" t="s">
        <v>10536</v>
      </c>
      <c r="B1745" s="11" t="s">
        <v>48</v>
      </c>
      <c r="C1745" s="11" t="s">
        <v>389</v>
      </c>
      <c r="D1745" s="11" t="s">
        <v>390</v>
      </c>
      <c r="E1745" s="11" t="s">
        <v>1372</v>
      </c>
      <c r="F1745" s="11" t="s">
        <v>10537</v>
      </c>
      <c r="G1745" s="11" t="s">
        <v>10538</v>
      </c>
      <c r="H1745" s="11"/>
      <c r="I1745" s="11" t="s">
        <v>10539</v>
      </c>
      <c r="J1745" s="11" t="s">
        <v>10540</v>
      </c>
      <c r="K1745" s="11" t="s">
        <v>10541</v>
      </c>
      <c r="L1745" s="11" t="s">
        <v>10542</v>
      </c>
      <c r="M1745" s="11"/>
      <c r="N1745" s="14" t="n">
        <v>2</v>
      </c>
      <c r="O1745" s="14" t="n">
        <v>3</v>
      </c>
      <c r="P1745" s="14" t="n">
        <v>3</v>
      </c>
      <c r="Q1745" s="14"/>
      <c r="R1745" s="12" t="n">
        <f aca="false">IF(OR(N1745="",P1745=""),"",ROUND(N1745*O1745/P1745,1))</f>
        <v>2</v>
      </c>
      <c r="S1745" s="13" t="n">
        <f aca="false">IF(R1745="","",IF(Q1745="Y",1,IF(P1745&gt;='Read me'!$B$16,3,IF(AND(R1745&gt;='Read me'!$B$14,P1745&lt;='Read me'!$B$15),1,2))))</f>
        <v>2</v>
      </c>
    </row>
    <row r="1746" customFormat="false" ht="35.05" hidden="false" customHeight="false" outlineLevel="0" collapsed="false">
      <c r="A1746" s="11" t="s">
        <v>10543</v>
      </c>
      <c r="B1746" s="11" t="s">
        <v>48</v>
      </c>
      <c r="C1746" s="11" t="s">
        <v>389</v>
      </c>
      <c r="D1746" s="11" t="s">
        <v>390</v>
      </c>
      <c r="E1746" s="11" t="s">
        <v>1372</v>
      </c>
      <c r="F1746" s="11" t="s">
        <v>10544</v>
      </c>
      <c r="G1746" s="11" t="s">
        <v>10545</v>
      </c>
      <c r="H1746" s="11"/>
      <c r="I1746" s="11" t="s">
        <v>10546</v>
      </c>
      <c r="J1746" s="11" t="s">
        <v>10547</v>
      </c>
      <c r="K1746" s="11" t="s">
        <v>10548</v>
      </c>
      <c r="L1746" s="11" t="s">
        <v>10549</v>
      </c>
      <c r="M1746" s="11" t="s">
        <v>10550</v>
      </c>
      <c r="N1746" s="14" t="n">
        <v>2</v>
      </c>
      <c r="O1746" s="14" t="n">
        <v>4</v>
      </c>
      <c r="P1746" s="14" t="n">
        <v>4</v>
      </c>
      <c r="Q1746" s="14"/>
      <c r="R1746" s="12" t="n">
        <f aca="false">IF(OR(N1746="",P1746=""),"",ROUND(N1746*O1746/P1746,1))</f>
        <v>2</v>
      </c>
      <c r="S1746" s="13" t="n">
        <f aca="false">IF(R1746="","",IF(Q1746="Y",1,IF(P1746&gt;='Read me'!$B$16,3,IF(AND(R1746&gt;='Read me'!$B$14,P1746&lt;='Read me'!$B$15),1,2))))</f>
        <v>3</v>
      </c>
    </row>
    <row r="1747" customFormat="false" ht="23.85" hidden="false" customHeight="false" outlineLevel="0" collapsed="false">
      <c r="A1747" s="11" t="s">
        <v>10551</v>
      </c>
      <c r="B1747" s="11" t="s">
        <v>48</v>
      </c>
      <c r="C1747" s="11" t="s">
        <v>389</v>
      </c>
      <c r="D1747" s="11" t="s">
        <v>390</v>
      </c>
      <c r="E1747" s="11" t="s">
        <v>1372</v>
      </c>
      <c r="F1747" s="11" t="s">
        <v>10552</v>
      </c>
      <c r="G1747" s="11" t="s">
        <v>10553</v>
      </c>
      <c r="H1747" s="11"/>
      <c r="I1747" s="11" t="s">
        <v>10554</v>
      </c>
      <c r="J1747" s="11" t="s">
        <v>10555</v>
      </c>
      <c r="K1747" s="11" t="s">
        <v>9507</v>
      </c>
      <c r="L1747" s="11" t="s">
        <v>10556</v>
      </c>
      <c r="M1747" s="11"/>
      <c r="N1747" s="14" t="n">
        <v>2</v>
      </c>
      <c r="O1747" s="14" t="n">
        <v>3</v>
      </c>
      <c r="P1747" s="14" t="n">
        <v>3</v>
      </c>
      <c r="Q1747" s="14"/>
      <c r="R1747" s="12" t="n">
        <f aca="false">IF(OR(N1747="",P1747=""),"",ROUND(N1747*O1747/P1747,1))</f>
        <v>2</v>
      </c>
      <c r="S1747" s="13" t="n">
        <f aca="false">IF(R1747="","",IF(Q1747="Y",1,IF(P1747&gt;='Read me'!$B$16,3,IF(AND(R1747&gt;='Read me'!$B$14,P1747&lt;='Read me'!$B$15),1,2))))</f>
        <v>2</v>
      </c>
    </row>
    <row r="1748" customFormat="false" ht="35.05" hidden="false" customHeight="false" outlineLevel="0" collapsed="false">
      <c r="A1748" s="11" t="s">
        <v>10557</v>
      </c>
      <c r="B1748" s="11" t="s">
        <v>48</v>
      </c>
      <c r="C1748" s="11" t="s">
        <v>389</v>
      </c>
      <c r="D1748" s="11" t="s">
        <v>390</v>
      </c>
      <c r="E1748" s="11" t="s">
        <v>1372</v>
      </c>
      <c r="F1748" s="11" t="s">
        <v>10558</v>
      </c>
      <c r="G1748" s="11" t="s">
        <v>10559</v>
      </c>
      <c r="H1748" s="11"/>
      <c r="I1748" s="11" t="s">
        <v>10560</v>
      </c>
      <c r="J1748" s="11" t="s">
        <v>10561</v>
      </c>
      <c r="K1748" s="11" t="s">
        <v>1402</v>
      </c>
      <c r="L1748" s="11" t="s">
        <v>10562</v>
      </c>
      <c r="M1748" s="11"/>
      <c r="N1748" s="14" t="n">
        <v>2</v>
      </c>
      <c r="O1748" s="14" t="n">
        <v>2</v>
      </c>
      <c r="P1748" s="14" t="n">
        <v>3</v>
      </c>
      <c r="Q1748" s="14"/>
      <c r="R1748" s="12" t="n">
        <f aca="false">IF(OR(N1748="",P1748=""),"",ROUND(N1748*O1748/P1748,1))</f>
        <v>1.3</v>
      </c>
      <c r="S1748" s="13" t="n">
        <f aca="false">IF(R1748="","",IF(Q1748="Y",1,IF(P1748&gt;='Read me'!$B$16,3,IF(AND(R1748&gt;='Read me'!$B$14,P1748&lt;='Read me'!$B$15),1,2))))</f>
        <v>2</v>
      </c>
    </row>
    <row r="1749" customFormat="false" ht="23.85" hidden="false" customHeight="false" outlineLevel="0" collapsed="false">
      <c r="A1749" s="11" t="s">
        <v>10563</v>
      </c>
      <c r="B1749" s="11" t="s">
        <v>48</v>
      </c>
      <c r="C1749" s="11" t="s">
        <v>389</v>
      </c>
      <c r="D1749" s="11" t="s">
        <v>390</v>
      </c>
      <c r="E1749" s="11" t="s">
        <v>1372</v>
      </c>
      <c r="F1749" s="11" t="s">
        <v>10564</v>
      </c>
      <c r="G1749" s="11" t="s">
        <v>10565</v>
      </c>
      <c r="H1749" s="11"/>
      <c r="I1749" s="11" t="s">
        <v>10566</v>
      </c>
      <c r="J1749" s="11" t="s">
        <v>10567</v>
      </c>
      <c r="K1749" s="11" t="s">
        <v>10568</v>
      </c>
      <c r="L1749" s="11" t="s">
        <v>10569</v>
      </c>
      <c r="M1749" s="11"/>
      <c r="N1749" s="14" t="n">
        <v>2</v>
      </c>
      <c r="O1749" s="14" t="n">
        <v>3</v>
      </c>
      <c r="P1749" s="14" t="n">
        <v>3</v>
      </c>
      <c r="Q1749" s="14"/>
      <c r="R1749" s="12" t="n">
        <f aca="false">IF(OR(N1749="",P1749=""),"",ROUND(N1749*O1749/P1749,1))</f>
        <v>2</v>
      </c>
      <c r="S1749" s="13" t="n">
        <f aca="false">IF(R1749="","",IF(Q1749="Y",1,IF(P1749&gt;='Read me'!$B$16,3,IF(AND(R1749&gt;='Read me'!$B$14,P1749&lt;='Read me'!$B$15),1,2))))</f>
        <v>2</v>
      </c>
    </row>
    <row r="1750" customFormat="false" ht="35.05" hidden="false" customHeight="false" outlineLevel="0" collapsed="false">
      <c r="A1750" s="11" t="s">
        <v>10570</v>
      </c>
      <c r="B1750" s="11" t="s">
        <v>48</v>
      </c>
      <c r="C1750" s="11" t="s">
        <v>394</v>
      </c>
      <c r="D1750" s="11" t="s">
        <v>395</v>
      </c>
      <c r="E1750" s="11" t="s">
        <v>476</v>
      </c>
      <c r="F1750" s="11" t="s">
        <v>10571</v>
      </c>
      <c r="G1750" s="11"/>
      <c r="H1750" s="11"/>
      <c r="I1750" s="11" t="s">
        <v>10572</v>
      </c>
      <c r="J1750" s="11" t="s">
        <v>10573</v>
      </c>
      <c r="K1750" s="11" t="s">
        <v>10574</v>
      </c>
      <c r="L1750" s="11" t="s">
        <v>10575</v>
      </c>
      <c r="M1750" s="11"/>
      <c r="N1750" s="14" t="n">
        <v>4</v>
      </c>
      <c r="O1750" s="14" t="n">
        <v>4</v>
      </c>
      <c r="P1750" s="14" t="n">
        <v>3</v>
      </c>
      <c r="Q1750" s="14"/>
      <c r="R1750" s="12" t="n">
        <f aca="false">IF(OR(N1750="",P1750=""),"",ROUND(N1750*O1750/P1750,1))</f>
        <v>5.3</v>
      </c>
      <c r="S1750" s="13" t="n">
        <f aca="false">IF(R1750="","",IF(Q1750="Y",1,IF(P1750&gt;='Read me'!$B$16,3,IF(AND(R1750&gt;='Read me'!$B$14,P1750&lt;='Read me'!$B$15),1,2))))</f>
        <v>2</v>
      </c>
    </row>
    <row r="1751" customFormat="false" ht="35.05" hidden="false" customHeight="false" outlineLevel="0" collapsed="false">
      <c r="A1751" s="11" t="s">
        <v>10576</v>
      </c>
      <c r="B1751" s="11" t="s">
        <v>48</v>
      </c>
      <c r="C1751" s="11" t="s">
        <v>394</v>
      </c>
      <c r="D1751" s="11" t="s">
        <v>395</v>
      </c>
      <c r="E1751" s="11" t="s">
        <v>476</v>
      </c>
      <c r="F1751" s="11" t="s">
        <v>10571</v>
      </c>
      <c r="G1751" s="11" t="s">
        <v>10577</v>
      </c>
      <c r="H1751" s="11" t="s">
        <v>10578</v>
      </c>
      <c r="I1751" s="11" t="s">
        <v>10579</v>
      </c>
      <c r="J1751" s="11" t="s">
        <v>10580</v>
      </c>
      <c r="K1751" s="11" t="s">
        <v>890</v>
      </c>
      <c r="L1751" s="11" t="s">
        <v>10581</v>
      </c>
      <c r="M1751" s="11" t="s">
        <v>10582</v>
      </c>
      <c r="N1751" s="14" t="n">
        <v>3</v>
      </c>
      <c r="O1751" s="14" t="n">
        <v>3</v>
      </c>
      <c r="P1751" s="14" t="n">
        <v>3</v>
      </c>
      <c r="Q1751" s="14"/>
      <c r="R1751" s="12" t="n">
        <f aca="false">IF(OR(N1751="",P1751=""),"",ROUND(N1751*O1751/P1751,1))</f>
        <v>3</v>
      </c>
      <c r="S1751" s="13" t="n">
        <f aca="false">IF(R1751="","",IF(Q1751="Y",1,IF(P1751&gt;='Read me'!$B$16,3,IF(AND(R1751&gt;='Read me'!$B$14,P1751&lt;='Read me'!$B$15),1,2))))</f>
        <v>2</v>
      </c>
    </row>
    <row r="1752" customFormat="false" ht="23.85" hidden="false" customHeight="false" outlineLevel="0" collapsed="false">
      <c r="A1752" s="11" t="s">
        <v>10583</v>
      </c>
      <c r="B1752" s="11" t="s">
        <v>48</v>
      </c>
      <c r="C1752" s="11" t="s">
        <v>394</v>
      </c>
      <c r="D1752" s="11" t="s">
        <v>395</v>
      </c>
      <c r="E1752" s="11" t="s">
        <v>476</v>
      </c>
      <c r="F1752" s="11" t="s">
        <v>10584</v>
      </c>
      <c r="G1752" s="11" t="s">
        <v>10585</v>
      </c>
      <c r="H1752" s="11"/>
      <c r="I1752" s="11" t="s">
        <v>10586</v>
      </c>
      <c r="J1752" s="11" t="s">
        <v>10587</v>
      </c>
      <c r="K1752" s="11" t="s">
        <v>10588</v>
      </c>
      <c r="L1752" s="11" t="s">
        <v>10589</v>
      </c>
      <c r="M1752" s="11" t="s">
        <v>10590</v>
      </c>
      <c r="N1752" s="14" t="n">
        <v>3</v>
      </c>
      <c r="O1752" s="14" t="n">
        <v>3</v>
      </c>
      <c r="P1752" s="14" t="n">
        <v>2</v>
      </c>
      <c r="Q1752" s="14"/>
      <c r="R1752" s="12" t="n">
        <f aca="false">IF(OR(N1752="",P1752=""),"",ROUND(N1752*O1752/P1752,1))</f>
        <v>4.5</v>
      </c>
      <c r="S1752" s="13" t="n">
        <f aca="false">IF(R1752="","",IF(Q1752="Y",1,IF(P1752&gt;='Read me'!$B$16,3,IF(AND(R1752&gt;='Read me'!$B$14,P1752&lt;='Read me'!$B$15),1,2))))</f>
        <v>2</v>
      </c>
    </row>
    <row r="1753" customFormat="false" ht="35.05" hidden="false" customHeight="false" outlineLevel="0" collapsed="false">
      <c r="A1753" s="11" t="s">
        <v>10591</v>
      </c>
      <c r="B1753" s="11" t="s">
        <v>48</v>
      </c>
      <c r="C1753" s="11" t="s">
        <v>394</v>
      </c>
      <c r="D1753" s="11" t="s">
        <v>395</v>
      </c>
      <c r="E1753" s="11" t="s">
        <v>476</v>
      </c>
      <c r="F1753" s="11" t="s">
        <v>10592</v>
      </c>
      <c r="G1753" s="11" t="s">
        <v>10593</v>
      </c>
      <c r="H1753" s="11"/>
      <c r="I1753" s="11" t="s">
        <v>512</v>
      </c>
      <c r="J1753" s="11" t="s">
        <v>10594</v>
      </c>
      <c r="K1753" s="11" t="s">
        <v>10595</v>
      </c>
      <c r="L1753" s="11" t="s">
        <v>10596</v>
      </c>
      <c r="M1753" s="11" t="s">
        <v>10463</v>
      </c>
      <c r="N1753" s="14" t="n">
        <v>2</v>
      </c>
      <c r="O1753" s="14" t="n">
        <v>3</v>
      </c>
      <c r="P1753" s="14" t="n">
        <v>2</v>
      </c>
      <c r="Q1753" s="14"/>
      <c r="R1753" s="12" t="n">
        <f aca="false">IF(OR(N1753="",P1753=""),"",ROUND(N1753*O1753/P1753,1))</f>
        <v>3</v>
      </c>
      <c r="S1753" s="13" t="n">
        <f aca="false">IF(R1753="","",IF(Q1753="Y",1,IF(P1753&gt;='Read me'!$B$16,3,IF(AND(R1753&gt;='Read me'!$B$14,P1753&lt;='Read me'!$B$15),1,2))))</f>
        <v>2</v>
      </c>
    </row>
    <row r="1754" customFormat="false" ht="23.85" hidden="false" customHeight="false" outlineLevel="0" collapsed="false">
      <c r="A1754" s="11" t="s">
        <v>10597</v>
      </c>
      <c r="B1754" s="11" t="s">
        <v>48</v>
      </c>
      <c r="C1754" s="11" t="s">
        <v>394</v>
      </c>
      <c r="D1754" s="11" t="s">
        <v>395</v>
      </c>
      <c r="E1754" s="11" t="s">
        <v>476</v>
      </c>
      <c r="F1754" s="11" t="s">
        <v>10598</v>
      </c>
      <c r="G1754" s="11" t="s">
        <v>10599</v>
      </c>
      <c r="H1754" s="11"/>
      <c r="I1754" s="11" t="s">
        <v>10600</v>
      </c>
      <c r="J1754" s="11" t="s">
        <v>10601</v>
      </c>
      <c r="K1754" s="11" t="s">
        <v>10602</v>
      </c>
      <c r="L1754" s="11" t="s">
        <v>10603</v>
      </c>
      <c r="M1754" s="11" t="s">
        <v>10604</v>
      </c>
      <c r="N1754" s="14" t="n">
        <v>1</v>
      </c>
      <c r="O1754" s="14" t="n">
        <v>2</v>
      </c>
      <c r="P1754" s="14" t="n">
        <v>2</v>
      </c>
      <c r="Q1754" s="14"/>
      <c r="R1754" s="12" t="n">
        <f aca="false">IF(OR(N1754="",P1754=""),"",ROUND(N1754*O1754/P1754,1))</f>
        <v>1</v>
      </c>
      <c r="S1754" s="13" t="n">
        <f aca="false">IF(R1754="","",IF(Q1754="Y",1,IF(P1754&gt;='Read me'!$B$16,3,IF(AND(R1754&gt;='Read me'!$B$14,P1754&lt;='Read me'!$B$15),1,2))))</f>
        <v>2</v>
      </c>
    </row>
    <row r="1755" customFormat="false" ht="23.85" hidden="false" customHeight="false" outlineLevel="0" collapsed="false">
      <c r="A1755" s="11" t="s">
        <v>10605</v>
      </c>
      <c r="B1755" s="11" t="s">
        <v>48</v>
      </c>
      <c r="C1755" s="11" t="s">
        <v>394</v>
      </c>
      <c r="D1755" s="11" t="s">
        <v>395</v>
      </c>
      <c r="E1755" s="11" t="s">
        <v>476</v>
      </c>
      <c r="F1755" s="11" t="s">
        <v>10606</v>
      </c>
      <c r="G1755" s="11" t="s">
        <v>6948</v>
      </c>
      <c r="H1755" s="11"/>
      <c r="I1755" s="11" t="s">
        <v>10607</v>
      </c>
      <c r="J1755" s="11" t="s">
        <v>10608</v>
      </c>
      <c r="K1755" s="11" t="s">
        <v>2396</v>
      </c>
      <c r="L1755" s="11" t="s">
        <v>10609</v>
      </c>
      <c r="M1755" s="11"/>
      <c r="N1755" s="14" t="n">
        <v>1</v>
      </c>
      <c r="O1755" s="14" t="n">
        <v>3</v>
      </c>
      <c r="P1755" s="14" t="n">
        <v>3</v>
      </c>
      <c r="Q1755" s="14"/>
      <c r="R1755" s="12" t="n">
        <f aca="false">IF(OR(N1755="",P1755=""),"",ROUND(N1755*O1755/P1755,1))</f>
        <v>1</v>
      </c>
      <c r="S1755" s="13" t="n">
        <f aca="false">IF(R1755="","",IF(Q1755="Y",1,IF(P1755&gt;='Read me'!$B$16,3,IF(AND(R1755&gt;='Read me'!$B$14,P1755&lt;='Read me'!$B$15),1,2))))</f>
        <v>2</v>
      </c>
    </row>
    <row r="1756" customFormat="false" ht="23.85" hidden="false" customHeight="false" outlineLevel="0" collapsed="false">
      <c r="A1756" s="11" t="s">
        <v>10610</v>
      </c>
      <c r="B1756" s="11" t="s">
        <v>48</v>
      </c>
      <c r="C1756" s="11" t="s">
        <v>394</v>
      </c>
      <c r="D1756" s="11" t="s">
        <v>395</v>
      </c>
      <c r="E1756" s="11" t="s">
        <v>751</v>
      </c>
      <c r="F1756" s="11" t="s">
        <v>10611</v>
      </c>
      <c r="G1756" s="11" t="s">
        <v>10612</v>
      </c>
      <c r="H1756" s="11"/>
      <c r="I1756" s="11" t="s">
        <v>10613</v>
      </c>
      <c r="J1756" s="11" t="s">
        <v>10614</v>
      </c>
      <c r="K1756" s="11" t="s">
        <v>10615</v>
      </c>
      <c r="L1756" s="11" t="s">
        <v>10616</v>
      </c>
      <c r="M1756" s="11"/>
      <c r="N1756" s="14" t="n">
        <v>2</v>
      </c>
      <c r="O1756" s="14" t="n">
        <v>4</v>
      </c>
      <c r="P1756" s="14" t="n">
        <v>3</v>
      </c>
      <c r="Q1756" s="14"/>
      <c r="R1756" s="12" t="n">
        <f aca="false">IF(OR(N1756="",P1756=""),"",ROUND(N1756*O1756/P1756,1))</f>
        <v>2.7</v>
      </c>
      <c r="S1756" s="13" t="n">
        <f aca="false">IF(R1756="","",IF(Q1756="Y",1,IF(P1756&gt;='Read me'!$B$16,3,IF(AND(R1756&gt;='Read me'!$B$14,P1756&lt;='Read me'!$B$15),1,2))))</f>
        <v>2</v>
      </c>
    </row>
    <row r="1757" customFormat="false" ht="35.05" hidden="false" customHeight="false" outlineLevel="0" collapsed="false">
      <c r="A1757" s="11" t="s">
        <v>10617</v>
      </c>
      <c r="B1757" s="11" t="s">
        <v>48</v>
      </c>
      <c r="C1757" s="11" t="s">
        <v>394</v>
      </c>
      <c r="D1757" s="11" t="s">
        <v>395</v>
      </c>
      <c r="E1757" s="11" t="s">
        <v>765</v>
      </c>
      <c r="F1757" s="11" t="s">
        <v>10618</v>
      </c>
      <c r="G1757" s="11" t="s">
        <v>10619</v>
      </c>
      <c r="H1757" s="11"/>
      <c r="I1757" s="11" t="s">
        <v>512</v>
      </c>
      <c r="J1757" s="11" t="s">
        <v>10620</v>
      </c>
      <c r="K1757" s="11" t="s">
        <v>9686</v>
      </c>
      <c r="L1757" s="11" t="s">
        <v>10621</v>
      </c>
      <c r="M1757" s="11"/>
      <c r="N1757" s="14" t="n">
        <v>1</v>
      </c>
      <c r="O1757" s="14" t="n">
        <v>2</v>
      </c>
      <c r="P1757" s="14" t="n">
        <v>2</v>
      </c>
      <c r="Q1757" s="14"/>
      <c r="R1757" s="12" t="n">
        <f aca="false">IF(OR(N1757="",P1757=""),"",ROUND(N1757*O1757/P1757,1))</f>
        <v>1</v>
      </c>
      <c r="S1757" s="13" t="n">
        <f aca="false">IF(R1757="","",IF(Q1757="Y",1,IF(P1757&gt;='Read me'!$B$16,3,IF(AND(R1757&gt;='Read me'!$B$14,P1757&lt;='Read me'!$B$15),1,2))))</f>
        <v>2</v>
      </c>
    </row>
    <row r="1758" customFormat="false" ht="57.45" hidden="false" customHeight="false" outlineLevel="0" collapsed="false">
      <c r="A1758" s="11" t="s">
        <v>10622</v>
      </c>
      <c r="B1758" s="11" t="s">
        <v>48</v>
      </c>
      <c r="C1758" s="11" t="s">
        <v>394</v>
      </c>
      <c r="D1758" s="11" t="s">
        <v>395</v>
      </c>
      <c r="E1758" s="11" t="s">
        <v>1187</v>
      </c>
      <c r="F1758" s="11" t="s">
        <v>10623</v>
      </c>
      <c r="G1758" s="11" t="s">
        <v>10624</v>
      </c>
      <c r="H1758" s="11"/>
      <c r="I1758" s="11" t="s">
        <v>10625</v>
      </c>
      <c r="J1758" s="11" t="s">
        <v>10626</v>
      </c>
      <c r="K1758" s="11" t="s">
        <v>10627</v>
      </c>
      <c r="L1758" s="11" t="s">
        <v>10628</v>
      </c>
      <c r="M1758" s="11" t="s">
        <v>10629</v>
      </c>
      <c r="N1758" s="14" t="n">
        <v>3</v>
      </c>
      <c r="O1758" s="14" t="n">
        <v>4</v>
      </c>
      <c r="P1758" s="14" t="n">
        <v>3</v>
      </c>
      <c r="Q1758" s="14"/>
      <c r="R1758" s="12" t="n">
        <f aca="false">IF(OR(N1758="",P1758=""),"",ROUND(N1758*O1758/P1758,1))</f>
        <v>4</v>
      </c>
      <c r="S1758" s="13" t="n">
        <f aca="false">IF(R1758="","",IF(Q1758="Y",1,IF(P1758&gt;='Read me'!$B$16,3,IF(AND(R1758&gt;='Read me'!$B$14,P1758&lt;='Read me'!$B$15),1,2))))</f>
        <v>2</v>
      </c>
    </row>
    <row r="1759" customFormat="false" ht="23.85" hidden="false" customHeight="false" outlineLevel="0" collapsed="false">
      <c r="A1759" s="11" t="s">
        <v>10630</v>
      </c>
      <c r="B1759" s="11" t="s">
        <v>48</v>
      </c>
      <c r="C1759" s="11" t="s">
        <v>394</v>
      </c>
      <c r="D1759" s="11" t="s">
        <v>395</v>
      </c>
      <c r="E1759" s="11" t="s">
        <v>1187</v>
      </c>
      <c r="F1759" s="11" t="s">
        <v>10631</v>
      </c>
      <c r="G1759" s="11" t="s">
        <v>10632</v>
      </c>
      <c r="H1759" s="11"/>
      <c r="I1759" s="11" t="s">
        <v>10633</v>
      </c>
      <c r="J1759" s="11" t="s">
        <v>10634</v>
      </c>
      <c r="K1759" s="11" t="s">
        <v>10635</v>
      </c>
      <c r="L1759" s="11" t="s">
        <v>10636</v>
      </c>
      <c r="M1759" s="11"/>
      <c r="N1759" s="14" t="n">
        <v>3</v>
      </c>
      <c r="O1759" s="14" t="n">
        <v>4</v>
      </c>
      <c r="P1759" s="14" t="n">
        <v>4</v>
      </c>
      <c r="Q1759" s="14"/>
      <c r="R1759" s="12" t="n">
        <f aca="false">IF(OR(N1759="",P1759=""),"",ROUND(N1759*O1759/P1759,1))</f>
        <v>3</v>
      </c>
      <c r="S1759" s="13" t="n">
        <f aca="false">IF(R1759="","",IF(Q1759="Y",1,IF(P1759&gt;='Read me'!$B$16,3,IF(AND(R1759&gt;='Read me'!$B$14,P1759&lt;='Read me'!$B$15),1,2))))</f>
        <v>3</v>
      </c>
    </row>
    <row r="1760" customFormat="false" ht="35.05" hidden="false" customHeight="false" outlineLevel="0" collapsed="false">
      <c r="A1760" s="11" t="s">
        <v>10637</v>
      </c>
      <c r="B1760" s="11" t="s">
        <v>48</v>
      </c>
      <c r="C1760" s="11" t="s">
        <v>394</v>
      </c>
      <c r="D1760" s="11" t="s">
        <v>395</v>
      </c>
      <c r="E1760" s="11" t="s">
        <v>1187</v>
      </c>
      <c r="F1760" s="11" t="s">
        <v>10638</v>
      </c>
      <c r="G1760" s="11" t="s">
        <v>10639</v>
      </c>
      <c r="H1760" s="11"/>
      <c r="I1760" s="11" t="s">
        <v>10640</v>
      </c>
      <c r="J1760" s="11" t="s">
        <v>10641</v>
      </c>
      <c r="K1760" s="11" t="s">
        <v>10642</v>
      </c>
      <c r="L1760" s="11" t="s">
        <v>10643</v>
      </c>
      <c r="M1760" s="11"/>
      <c r="N1760" s="14" t="n">
        <v>2</v>
      </c>
      <c r="O1760" s="14" t="n">
        <v>4</v>
      </c>
      <c r="P1760" s="14" t="n">
        <v>4</v>
      </c>
      <c r="Q1760" s="14"/>
      <c r="R1760" s="12" t="n">
        <f aca="false">IF(OR(N1760="",P1760=""),"",ROUND(N1760*O1760/P1760,1))</f>
        <v>2</v>
      </c>
      <c r="S1760" s="13" t="n">
        <f aca="false">IF(R1760="","",IF(Q1760="Y",1,IF(P1760&gt;='Read me'!$B$16,3,IF(AND(R1760&gt;='Read me'!$B$14,P1760&lt;='Read me'!$B$15),1,2))))</f>
        <v>3</v>
      </c>
    </row>
    <row r="1761" customFormat="false" ht="23.85" hidden="false" customHeight="false" outlineLevel="0" collapsed="false">
      <c r="A1761" s="11" t="s">
        <v>10644</v>
      </c>
      <c r="B1761" s="11" t="s">
        <v>48</v>
      </c>
      <c r="C1761" s="11" t="s">
        <v>394</v>
      </c>
      <c r="D1761" s="11" t="s">
        <v>395</v>
      </c>
      <c r="E1761" s="11" t="s">
        <v>1187</v>
      </c>
      <c r="F1761" s="11" t="s">
        <v>10645</v>
      </c>
      <c r="G1761" s="11" t="s">
        <v>10646</v>
      </c>
      <c r="H1761" s="11"/>
      <c r="I1761" s="11" t="s">
        <v>10647</v>
      </c>
      <c r="J1761" s="11" t="s">
        <v>10648</v>
      </c>
      <c r="K1761" s="11" t="s">
        <v>10649</v>
      </c>
      <c r="L1761" s="11" t="s">
        <v>10650</v>
      </c>
      <c r="M1761" s="11" t="s">
        <v>10651</v>
      </c>
      <c r="N1761" s="14" t="n">
        <v>2</v>
      </c>
      <c r="O1761" s="14" t="n">
        <v>4</v>
      </c>
      <c r="P1761" s="14" t="n">
        <v>3</v>
      </c>
      <c r="Q1761" s="14"/>
      <c r="R1761" s="12" t="n">
        <f aca="false">IF(OR(N1761="",P1761=""),"",ROUND(N1761*O1761/P1761,1))</f>
        <v>2.7</v>
      </c>
      <c r="S1761" s="13" t="n">
        <f aca="false">IF(R1761="","",IF(Q1761="Y",1,IF(P1761&gt;='Read me'!$B$16,3,IF(AND(R1761&gt;='Read me'!$B$14,P1761&lt;='Read me'!$B$15),1,2))))</f>
        <v>2</v>
      </c>
    </row>
    <row r="1762" customFormat="false" ht="23.85" hidden="false" customHeight="false" outlineLevel="0" collapsed="false">
      <c r="A1762" s="11" t="s">
        <v>10652</v>
      </c>
      <c r="B1762" s="11" t="s">
        <v>48</v>
      </c>
      <c r="C1762" s="11" t="s">
        <v>394</v>
      </c>
      <c r="D1762" s="11" t="s">
        <v>395</v>
      </c>
      <c r="E1762" s="11" t="s">
        <v>1187</v>
      </c>
      <c r="F1762" s="11" t="s">
        <v>10631</v>
      </c>
      <c r="G1762" s="11" t="s">
        <v>10653</v>
      </c>
      <c r="H1762" s="11"/>
      <c r="I1762" s="11" t="s">
        <v>10654</v>
      </c>
      <c r="J1762" s="11" t="s">
        <v>10655</v>
      </c>
      <c r="K1762" s="11" t="s">
        <v>890</v>
      </c>
      <c r="L1762" s="11" t="s">
        <v>10656</v>
      </c>
      <c r="M1762" s="11"/>
      <c r="N1762" s="14" t="n">
        <v>1</v>
      </c>
      <c r="O1762" s="14" t="n">
        <v>2</v>
      </c>
      <c r="P1762" s="14" t="n">
        <v>3</v>
      </c>
      <c r="Q1762" s="14"/>
      <c r="R1762" s="12" t="n">
        <f aca="false">IF(OR(N1762="",P1762=""),"",ROUND(N1762*O1762/P1762,1))</f>
        <v>0.7</v>
      </c>
      <c r="S1762" s="13" t="n">
        <f aca="false">IF(R1762="","",IF(Q1762="Y",1,IF(P1762&gt;='Read me'!$B$16,3,IF(AND(R1762&gt;='Read me'!$B$14,P1762&lt;='Read me'!$B$15),1,2))))</f>
        <v>2</v>
      </c>
    </row>
    <row r="1763" customFormat="false" ht="23.85" hidden="false" customHeight="false" outlineLevel="0" collapsed="false">
      <c r="A1763" s="11" t="s">
        <v>10657</v>
      </c>
      <c r="B1763" s="11" t="s">
        <v>48</v>
      </c>
      <c r="C1763" s="11" t="s">
        <v>394</v>
      </c>
      <c r="D1763" s="11" t="s">
        <v>395</v>
      </c>
      <c r="E1763" s="11" t="s">
        <v>1187</v>
      </c>
      <c r="F1763" s="11" t="s">
        <v>10631</v>
      </c>
      <c r="G1763" s="11" t="s">
        <v>10658</v>
      </c>
      <c r="H1763" s="11" t="s">
        <v>10659</v>
      </c>
      <c r="I1763" s="11" t="s">
        <v>10660</v>
      </c>
      <c r="J1763" s="11" t="s">
        <v>10661</v>
      </c>
      <c r="K1763" s="11" t="s">
        <v>4066</v>
      </c>
      <c r="L1763" s="11" t="s">
        <v>10662</v>
      </c>
      <c r="M1763" s="11"/>
      <c r="N1763" s="14" t="n">
        <v>2</v>
      </c>
      <c r="O1763" s="14" t="n">
        <v>3</v>
      </c>
      <c r="P1763" s="14" t="n">
        <v>3</v>
      </c>
      <c r="Q1763" s="14"/>
      <c r="R1763" s="12" t="n">
        <f aca="false">IF(OR(N1763="",P1763=""),"",ROUND(N1763*O1763/P1763,1))</f>
        <v>2</v>
      </c>
      <c r="S1763" s="13" t="n">
        <f aca="false">IF(R1763="","",IF(Q1763="Y",1,IF(P1763&gt;='Read me'!$B$16,3,IF(AND(R1763&gt;='Read me'!$B$14,P1763&lt;='Read me'!$B$15),1,2))))</f>
        <v>2</v>
      </c>
    </row>
    <row r="1764" customFormat="false" ht="23.85" hidden="false" customHeight="false" outlineLevel="0" collapsed="false">
      <c r="A1764" s="11" t="s">
        <v>10663</v>
      </c>
      <c r="B1764" s="11" t="s">
        <v>48</v>
      </c>
      <c r="C1764" s="11" t="s">
        <v>394</v>
      </c>
      <c r="D1764" s="11" t="s">
        <v>395</v>
      </c>
      <c r="E1764" s="11" t="s">
        <v>1187</v>
      </c>
      <c r="F1764" s="11" t="s">
        <v>10638</v>
      </c>
      <c r="G1764" s="11" t="s">
        <v>7713</v>
      </c>
      <c r="H1764" s="11" t="s">
        <v>10664</v>
      </c>
      <c r="I1764" s="11" t="s">
        <v>10665</v>
      </c>
      <c r="J1764" s="11" t="s">
        <v>10666</v>
      </c>
      <c r="K1764" s="11" t="s">
        <v>1341</v>
      </c>
      <c r="L1764" s="11" t="s">
        <v>10667</v>
      </c>
      <c r="M1764" s="11"/>
      <c r="N1764" s="14" t="n">
        <v>2</v>
      </c>
      <c r="O1764" s="14" t="n">
        <v>3</v>
      </c>
      <c r="P1764" s="14" t="n">
        <v>4</v>
      </c>
      <c r="Q1764" s="14"/>
      <c r="R1764" s="12" t="n">
        <f aca="false">IF(OR(N1764="",P1764=""),"",ROUND(N1764*O1764/P1764,1))</f>
        <v>1.5</v>
      </c>
      <c r="S1764" s="13" t="n">
        <f aca="false">IF(R1764="","",IF(Q1764="Y",1,IF(P1764&gt;='Read me'!$B$16,3,IF(AND(R1764&gt;='Read me'!$B$14,P1764&lt;='Read me'!$B$15),1,2))))</f>
        <v>3</v>
      </c>
    </row>
    <row r="1765" customFormat="false" ht="23.85" hidden="false" customHeight="false" outlineLevel="0" collapsed="false">
      <c r="A1765" s="11" t="s">
        <v>10668</v>
      </c>
      <c r="B1765" s="11" t="s">
        <v>48</v>
      </c>
      <c r="C1765" s="11" t="s">
        <v>394</v>
      </c>
      <c r="D1765" s="11" t="s">
        <v>395</v>
      </c>
      <c r="E1765" s="11" t="s">
        <v>1187</v>
      </c>
      <c r="F1765" s="11" t="s">
        <v>10631</v>
      </c>
      <c r="G1765" s="11" t="s">
        <v>10669</v>
      </c>
      <c r="H1765" s="11" t="s">
        <v>10670</v>
      </c>
      <c r="I1765" s="11" t="s">
        <v>10671</v>
      </c>
      <c r="J1765" s="11" t="s">
        <v>10672</v>
      </c>
      <c r="K1765" s="11" t="s">
        <v>916</v>
      </c>
      <c r="L1765" s="11" t="s">
        <v>10673</v>
      </c>
      <c r="M1765" s="11"/>
      <c r="N1765" s="14" t="n">
        <v>1</v>
      </c>
      <c r="O1765" s="14" t="n">
        <v>3</v>
      </c>
      <c r="P1765" s="14" t="n">
        <v>3</v>
      </c>
      <c r="Q1765" s="14"/>
      <c r="R1765" s="12" t="n">
        <f aca="false">IF(OR(N1765="",P1765=""),"",ROUND(N1765*O1765/P1765,1))</f>
        <v>1</v>
      </c>
      <c r="S1765" s="13" t="n">
        <f aca="false">IF(R1765="","",IF(Q1765="Y",1,IF(P1765&gt;='Read me'!$B$16,3,IF(AND(R1765&gt;='Read me'!$B$14,P1765&lt;='Read me'!$B$15),1,2))))</f>
        <v>2</v>
      </c>
    </row>
    <row r="1766" customFormat="false" ht="35.05" hidden="false" customHeight="false" outlineLevel="0" collapsed="false">
      <c r="A1766" s="11" t="s">
        <v>10674</v>
      </c>
      <c r="B1766" s="11" t="s">
        <v>48</v>
      </c>
      <c r="C1766" s="11" t="s">
        <v>394</v>
      </c>
      <c r="D1766" s="11" t="s">
        <v>395</v>
      </c>
      <c r="E1766" s="11" t="s">
        <v>1187</v>
      </c>
      <c r="F1766" s="11" t="s">
        <v>10631</v>
      </c>
      <c r="G1766" s="11" t="s">
        <v>10675</v>
      </c>
      <c r="H1766" s="11" t="s">
        <v>10676</v>
      </c>
      <c r="I1766" s="11" t="s">
        <v>10677</v>
      </c>
      <c r="J1766" s="11" t="s">
        <v>10678</v>
      </c>
      <c r="K1766" s="11" t="s">
        <v>890</v>
      </c>
      <c r="L1766" s="11" t="s">
        <v>10679</v>
      </c>
      <c r="M1766" s="11"/>
      <c r="N1766" s="14" t="n">
        <v>2</v>
      </c>
      <c r="O1766" s="14" t="n">
        <v>3</v>
      </c>
      <c r="P1766" s="14" t="n">
        <v>3</v>
      </c>
      <c r="Q1766" s="14"/>
      <c r="R1766" s="12" t="n">
        <f aca="false">IF(OR(N1766="",P1766=""),"",ROUND(N1766*O1766/P1766,1))</f>
        <v>2</v>
      </c>
      <c r="S1766" s="13" t="n">
        <f aca="false">IF(R1766="","",IF(Q1766="Y",1,IF(P1766&gt;='Read me'!$B$16,3,IF(AND(R1766&gt;='Read me'!$B$14,P1766&lt;='Read me'!$B$15),1,2))))</f>
        <v>2</v>
      </c>
    </row>
    <row r="1767" customFormat="false" ht="23.85" hidden="false" customHeight="false" outlineLevel="0" collapsed="false">
      <c r="A1767" s="11" t="s">
        <v>10680</v>
      </c>
      <c r="B1767" s="11" t="s">
        <v>48</v>
      </c>
      <c r="C1767" s="11" t="s">
        <v>394</v>
      </c>
      <c r="D1767" s="11" t="s">
        <v>395</v>
      </c>
      <c r="E1767" s="11" t="s">
        <v>1187</v>
      </c>
      <c r="F1767" s="11" t="s">
        <v>10681</v>
      </c>
      <c r="G1767" s="11" t="s">
        <v>10682</v>
      </c>
      <c r="H1767" s="11" t="s">
        <v>10683</v>
      </c>
      <c r="I1767" s="11" t="s">
        <v>512</v>
      </c>
      <c r="J1767" s="11" t="s">
        <v>10684</v>
      </c>
      <c r="K1767" s="11" t="s">
        <v>10685</v>
      </c>
      <c r="L1767" s="11" t="s">
        <v>10686</v>
      </c>
      <c r="M1767" s="11"/>
      <c r="N1767" s="14" t="n">
        <v>2</v>
      </c>
      <c r="O1767" s="14" t="n">
        <v>3</v>
      </c>
      <c r="P1767" s="14" t="n">
        <v>3</v>
      </c>
      <c r="Q1767" s="14"/>
      <c r="R1767" s="12" t="n">
        <f aca="false">IF(OR(N1767="",P1767=""),"",ROUND(N1767*O1767/P1767,1))</f>
        <v>2</v>
      </c>
      <c r="S1767" s="13" t="n">
        <f aca="false">IF(R1767="","",IF(Q1767="Y",1,IF(P1767&gt;='Read me'!$B$16,3,IF(AND(R1767&gt;='Read me'!$B$14,P1767&lt;='Read me'!$B$15),1,2))))</f>
        <v>2</v>
      </c>
    </row>
    <row r="1768" customFormat="false" ht="68.65" hidden="false" customHeight="false" outlineLevel="0" collapsed="false">
      <c r="A1768" s="11" t="s">
        <v>10687</v>
      </c>
      <c r="B1768" s="11" t="s">
        <v>48</v>
      </c>
      <c r="C1768" s="11" t="s">
        <v>394</v>
      </c>
      <c r="D1768" s="11" t="s">
        <v>395</v>
      </c>
      <c r="E1768" s="11" t="s">
        <v>1187</v>
      </c>
      <c r="F1768" s="11" t="s">
        <v>10688</v>
      </c>
      <c r="G1768" s="11"/>
      <c r="H1768" s="11" t="s">
        <v>10689</v>
      </c>
      <c r="I1768" s="11" t="s">
        <v>10690</v>
      </c>
      <c r="J1768" s="11" t="s">
        <v>10691</v>
      </c>
      <c r="K1768" s="11" t="s">
        <v>2061</v>
      </c>
      <c r="L1768" s="11" t="s">
        <v>10692</v>
      </c>
      <c r="M1768" s="11" t="s">
        <v>10693</v>
      </c>
      <c r="N1768" s="14" t="n">
        <v>2</v>
      </c>
      <c r="O1768" s="14" t="n">
        <v>4</v>
      </c>
      <c r="P1768" s="14" t="n">
        <v>4</v>
      </c>
      <c r="Q1768" s="14"/>
      <c r="R1768" s="12" t="n">
        <f aca="false">IF(OR(N1768="",P1768=""),"",ROUND(N1768*O1768/P1768,1))</f>
        <v>2</v>
      </c>
      <c r="S1768" s="13" t="n">
        <f aca="false">IF(R1768="","",IF(Q1768="Y",1,IF(P1768&gt;='Read me'!$B$16,3,IF(AND(R1768&gt;='Read me'!$B$14,P1768&lt;='Read me'!$B$15),1,2))))</f>
        <v>3</v>
      </c>
    </row>
    <row r="1769" customFormat="false" ht="23.85" hidden="false" customHeight="false" outlineLevel="0" collapsed="false">
      <c r="A1769" s="11" t="s">
        <v>10694</v>
      </c>
      <c r="B1769" s="11" t="s">
        <v>48</v>
      </c>
      <c r="C1769" s="11" t="s">
        <v>394</v>
      </c>
      <c r="D1769" s="11" t="s">
        <v>395</v>
      </c>
      <c r="E1769" s="11" t="s">
        <v>1187</v>
      </c>
      <c r="F1769" s="11" t="s">
        <v>10695</v>
      </c>
      <c r="G1769" s="11" t="s">
        <v>6948</v>
      </c>
      <c r="H1769" s="11" t="s">
        <v>10696</v>
      </c>
      <c r="I1769" s="11" t="s">
        <v>10697</v>
      </c>
      <c r="J1769" s="11" t="s">
        <v>10698</v>
      </c>
      <c r="K1769" s="11" t="s">
        <v>5612</v>
      </c>
      <c r="L1769" s="11" t="s">
        <v>10699</v>
      </c>
      <c r="M1769" s="11"/>
      <c r="N1769" s="14" t="n">
        <v>1</v>
      </c>
      <c r="O1769" s="14" t="n">
        <v>4</v>
      </c>
      <c r="P1769" s="14" t="n">
        <v>4</v>
      </c>
      <c r="Q1769" s="14"/>
      <c r="R1769" s="12" t="n">
        <f aca="false">IF(OR(N1769="",P1769=""),"",ROUND(N1769*O1769/P1769,1))</f>
        <v>1</v>
      </c>
      <c r="S1769" s="13" t="n">
        <f aca="false">IF(R1769="","",IF(Q1769="Y",1,IF(P1769&gt;='Read me'!$B$16,3,IF(AND(R1769&gt;='Read me'!$B$14,P1769&lt;='Read me'!$B$15),1,2))))</f>
        <v>3</v>
      </c>
    </row>
    <row r="1770" customFormat="false" ht="23.85" hidden="false" customHeight="false" outlineLevel="0" collapsed="false">
      <c r="A1770" s="11" t="s">
        <v>10700</v>
      </c>
      <c r="B1770" s="11" t="s">
        <v>48</v>
      </c>
      <c r="C1770" s="11" t="s">
        <v>394</v>
      </c>
      <c r="D1770" s="11" t="s">
        <v>395</v>
      </c>
      <c r="E1770" s="11" t="s">
        <v>1133</v>
      </c>
      <c r="F1770" s="11" t="s">
        <v>10701</v>
      </c>
      <c r="G1770" s="11"/>
      <c r="H1770" s="11"/>
      <c r="I1770" s="11" t="s">
        <v>10702</v>
      </c>
      <c r="J1770" s="11" t="s">
        <v>10703</v>
      </c>
      <c r="K1770" s="11" t="s">
        <v>9467</v>
      </c>
      <c r="L1770" s="11" t="s">
        <v>10704</v>
      </c>
      <c r="M1770" s="11"/>
      <c r="N1770" s="14" t="n">
        <v>3</v>
      </c>
      <c r="O1770" s="14" t="n">
        <v>3</v>
      </c>
      <c r="P1770" s="14" t="n">
        <v>2</v>
      </c>
      <c r="Q1770" s="14"/>
      <c r="R1770" s="12" t="n">
        <f aca="false">IF(OR(N1770="",P1770=""),"",ROUND(N1770*O1770/P1770,1))</f>
        <v>4.5</v>
      </c>
      <c r="S1770" s="13" t="n">
        <f aca="false">IF(R1770="","",IF(Q1770="Y",1,IF(P1770&gt;='Read me'!$B$16,3,IF(AND(R1770&gt;='Read me'!$B$14,P1770&lt;='Read me'!$B$15),1,2))))</f>
        <v>2</v>
      </c>
    </row>
    <row r="1771" customFormat="false" ht="23.85" hidden="false" customHeight="false" outlineLevel="0" collapsed="false">
      <c r="A1771" s="11" t="s">
        <v>10705</v>
      </c>
      <c r="B1771" s="11" t="s">
        <v>48</v>
      </c>
      <c r="C1771" s="11" t="s">
        <v>394</v>
      </c>
      <c r="D1771" s="11" t="s">
        <v>395</v>
      </c>
      <c r="E1771" s="11" t="s">
        <v>1372</v>
      </c>
      <c r="F1771" s="11" t="s">
        <v>10706</v>
      </c>
      <c r="G1771" s="11" t="s">
        <v>10707</v>
      </c>
      <c r="H1771" s="11"/>
      <c r="I1771" s="11" t="s">
        <v>10708</v>
      </c>
      <c r="J1771" s="11" t="s">
        <v>10709</v>
      </c>
      <c r="K1771" s="11" t="s">
        <v>10710</v>
      </c>
      <c r="L1771" s="11" t="s">
        <v>10711</v>
      </c>
      <c r="M1771" s="11"/>
      <c r="N1771" s="14" t="n">
        <v>2</v>
      </c>
      <c r="O1771" s="14" t="n">
        <v>3</v>
      </c>
      <c r="P1771" s="14" t="n">
        <v>2</v>
      </c>
      <c r="Q1771" s="14"/>
      <c r="R1771" s="12" t="n">
        <f aca="false">IF(OR(N1771="",P1771=""),"",ROUND(N1771*O1771/P1771,1))</f>
        <v>3</v>
      </c>
      <c r="S1771" s="13" t="n">
        <f aca="false">IF(R1771="","",IF(Q1771="Y",1,IF(P1771&gt;='Read me'!$B$16,3,IF(AND(R1771&gt;='Read me'!$B$14,P1771&lt;='Read me'!$B$15),1,2))))</f>
        <v>2</v>
      </c>
    </row>
    <row r="1772" customFormat="false" ht="23.85" hidden="false" customHeight="false" outlineLevel="0" collapsed="false">
      <c r="A1772" s="11" t="s">
        <v>10712</v>
      </c>
      <c r="B1772" s="11" t="s">
        <v>48</v>
      </c>
      <c r="C1772" s="11" t="s">
        <v>394</v>
      </c>
      <c r="D1772" s="11" t="s">
        <v>395</v>
      </c>
      <c r="E1772" s="11" t="s">
        <v>1372</v>
      </c>
      <c r="F1772" s="11" t="s">
        <v>10713</v>
      </c>
      <c r="G1772" s="11" t="s">
        <v>10714</v>
      </c>
      <c r="H1772" s="11"/>
      <c r="I1772" s="11" t="s">
        <v>10715</v>
      </c>
      <c r="J1772" s="11" t="s">
        <v>10716</v>
      </c>
      <c r="K1772" s="11" t="s">
        <v>10717</v>
      </c>
      <c r="L1772" s="11" t="s">
        <v>10718</v>
      </c>
      <c r="M1772" s="11"/>
      <c r="N1772" s="14" t="n">
        <v>1</v>
      </c>
      <c r="O1772" s="14" t="n">
        <v>2</v>
      </c>
      <c r="P1772" s="14" t="n">
        <v>2</v>
      </c>
      <c r="Q1772" s="14"/>
      <c r="R1772" s="12" t="n">
        <f aca="false">IF(OR(N1772="",P1772=""),"",ROUND(N1772*O1772/P1772,1))</f>
        <v>1</v>
      </c>
      <c r="S1772" s="13" t="n">
        <f aca="false">IF(R1772="","",IF(Q1772="Y",1,IF(P1772&gt;='Read me'!$B$16,3,IF(AND(R1772&gt;='Read me'!$B$14,P1772&lt;='Read me'!$B$15),1,2))))</f>
        <v>2</v>
      </c>
    </row>
    <row r="1773" customFormat="false" ht="35.05" hidden="false" customHeight="false" outlineLevel="0" collapsed="false">
      <c r="A1773" s="11" t="s">
        <v>10719</v>
      </c>
      <c r="B1773" s="11" t="s">
        <v>48</v>
      </c>
      <c r="C1773" s="11" t="s">
        <v>397</v>
      </c>
      <c r="D1773" s="11" t="s">
        <v>398</v>
      </c>
      <c r="E1773" s="11" t="s">
        <v>476</v>
      </c>
      <c r="F1773" s="11" t="s">
        <v>10720</v>
      </c>
      <c r="G1773" s="11" t="s">
        <v>10721</v>
      </c>
      <c r="H1773" s="11"/>
      <c r="I1773" s="11" t="s">
        <v>512</v>
      </c>
      <c r="J1773" s="11" t="s">
        <v>10722</v>
      </c>
      <c r="K1773" s="11" t="s">
        <v>10723</v>
      </c>
      <c r="L1773" s="11" t="s">
        <v>10724</v>
      </c>
      <c r="M1773" s="11"/>
      <c r="N1773" s="14" t="n">
        <v>2</v>
      </c>
      <c r="O1773" s="14" t="n">
        <v>3</v>
      </c>
      <c r="P1773" s="14" t="n">
        <v>3</v>
      </c>
      <c r="Q1773" s="14"/>
      <c r="R1773" s="12" t="n">
        <f aca="false">IF(OR(N1773="",P1773=""),"",ROUND(N1773*O1773/P1773,1))</f>
        <v>2</v>
      </c>
      <c r="S1773" s="13" t="n">
        <f aca="false">IF(R1773="","",IF(Q1773="Y",1,IF(P1773&gt;='Read me'!$B$16,3,IF(AND(R1773&gt;='Read me'!$B$14,P1773&lt;='Read me'!$B$15),1,2))))</f>
        <v>2</v>
      </c>
    </row>
    <row r="1774" customFormat="false" ht="23.85" hidden="false" customHeight="false" outlineLevel="0" collapsed="false">
      <c r="A1774" s="11" t="s">
        <v>10725</v>
      </c>
      <c r="B1774" s="11" t="s">
        <v>48</v>
      </c>
      <c r="C1774" s="11" t="s">
        <v>397</v>
      </c>
      <c r="D1774" s="11" t="s">
        <v>398</v>
      </c>
      <c r="E1774" s="11" t="s">
        <v>751</v>
      </c>
      <c r="F1774" s="11" t="s">
        <v>10726</v>
      </c>
      <c r="G1774" s="11" t="s">
        <v>10727</v>
      </c>
      <c r="H1774" s="11"/>
      <c r="I1774" s="11" t="s">
        <v>10728</v>
      </c>
      <c r="J1774" s="11" t="s">
        <v>10729</v>
      </c>
      <c r="K1774" s="11" t="s">
        <v>10730</v>
      </c>
      <c r="L1774" s="11" t="s">
        <v>10731</v>
      </c>
      <c r="M1774" s="11"/>
      <c r="N1774" s="14" t="n">
        <v>3</v>
      </c>
      <c r="O1774" s="14" t="n">
        <v>4</v>
      </c>
      <c r="P1774" s="14" t="n">
        <v>4</v>
      </c>
      <c r="Q1774" s="14"/>
      <c r="R1774" s="12" t="n">
        <f aca="false">IF(OR(N1774="",P1774=""),"",ROUND(N1774*O1774/P1774,1))</f>
        <v>3</v>
      </c>
      <c r="S1774" s="13" t="n">
        <f aca="false">IF(R1774="","",IF(Q1774="Y",1,IF(P1774&gt;='Read me'!$B$16,3,IF(AND(R1774&gt;='Read me'!$B$14,P1774&lt;='Read me'!$B$15),1,2))))</f>
        <v>3</v>
      </c>
    </row>
    <row r="1775" customFormat="false" ht="35.05" hidden="false" customHeight="false" outlineLevel="0" collapsed="false">
      <c r="A1775" s="11" t="s">
        <v>10732</v>
      </c>
      <c r="B1775" s="11" t="s">
        <v>48</v>
      </c>
      <c r="C1775" s="11" t="s">
        <v>397</v>
      </c>
      <c r="D1775" s="11" t="s">
        <v>398</v>
      </c>
      <c r="E1775" s="11" t="s">
        <v>751</v>
      </c>
      <c r="F1775" s="11" t="s">
        <v>10733</v>
      </c>
      <c r="G1775" s="11" t="s">
        <v>10734</v>
      </c>
      <c r="H1775" s="11"/>
      <c r="I1775" s="11" t="s">
        <v>512</v>
      </c>
      <c r="J1775" s="11" t="s">
        <v>10735</v>
      </c>
      <c r="K1775" s="11" t="s">
        <v>10736</v>
      </c>
      <c r="L1775" s="11" t="s">
        <v>10737</v>
      </c>
      <c r="M1775" s="11"/>
      <c r="N1775" s="14" t="n">
        <v>2</v>
      </c>
      <c r="O1775" s="14" t="n">
        <v>4</v>
      </c>
      <c r="P1775" s="14" t="n">
        <v>3</v>
      </c>
      <c r="Q1775" s="14"/>
      <c r="R1775" s="12" t="n">
        <f aca="false">IF(OR(N1775="",P1775=""),"",ROUND(N1775*O1775/P1775,1))</f>
        <v>2.7</v>
      </c>
      <c r="S1775" s="13" t="n">
        <f aca="false">IF(R1775="","",IF(Q1775="Y",1,IF(P1775&gt;='Read me'!$B$16,3,IF(AND(R1775&gt;='Read me'!$B$14,P1775&lt;='Read me'!$B$15),1,2))))</f>
        <v>2</v>
      </c>
    </row>
    <row r="1776" customFormat="false" ht="35.05" hidden="false" customHeight="false" outlineLevel="0" collapsed="false">
      <c r="A1776" s="11" t="s">
        <v>10738</v>
      </c>
      <c r="B1776" s="11" t="s">
        <v>48</v>
      </c>
      <c r="C1776" s="11" t="s">
        <v>397</v>
      </c>
      <c r="D1776" s="11" t="s">
        <v>398</v>
      </c>
      <c r="E1776" s="11" t="s">
        <v>1187</v>
      </c>
      <c r="F1776" s="11" t="s">
        <v>10739</v>
      </c>
      <c r="G1776" s="11" t="s">
        <v>10740</v>
      </c>
      <c r="H1776" s="11"/>
      <c r="I1776" s="11" t="s">
        <v>10741</v>
      </c>
      <c r="J1776" s="11" t="s">
        <v>10742</v>
      </c>
      <c r="K1776" s="11" t="s">
        <v>10743</v>
      </c>
      <c r="L1776" s="11" t="s">
        <v>10744</v>
      </c>
      <c r="M1776" s="11" t="s">
        <v>10582</v>
      </c>
      <c r="N1776" s="14" t="n">
        <v>4</v>
      </c>
      <c r="O1776" s="14" t="n">
        <v>5</v>
      </c>
      <c r="P1776" s="14" t="n">
        <v>5</v>
      </c>
      <c r="Q1776" s="14"/>
      <c r="R1776" s="12" t="n">
        <f aca="false">IF(OR(N1776="",P1776=""),"",ROUND(N1776*O1776/P1776,1))</f>
        <v>4</v>
      </c>
      <c r="S1776" s="13" t="n">
        <f aca="false">IF(R1776="","",IF(Q1776="Y",1,IF(P1776&gt;='Read me'!$B$16,3,IF(AND(R1776&gt;='Read me'!$B$14,P1776&lt;='Read me'!$B$15),1,2))))</f>
        <v>3</v>
      </c>
    </row>
    <row r="1777" customFormat="false" ht="35.05" hidden="false" customHeight="false" outlineLevel="0" collapsed="false">
      <c r="A1777" s="11" t="s">
        <v>10745</v>
      </c>
      <c r="B1777" s="11" t="s">
        <v>48</v>
      </c>
      <c r="C1777" s="11" t="s">
        <v>397</v>
      </c>
      <c r="D1777" s="11" t="s">
        <v>398</v>
      </c>
      <c r="E1777" s="11" t="s">
        <v>1187</v>
      </c>
      <c r="F1777" s="11" t="s">
        <v>10739</v>
      </c>
      <c r="G1777" s="11" t="s">
        <v>10746</v>
      </c>
      <c r="H1777" s="11"/>
      <c r="I1777" s="11" t="s">
        <v>10747</v>
      </c>
      <c r="J1777" s="11" t="s">
        <v>10748</v>
      </c>
      <c r="K1777" s="11" t="s">
        <v>10749</v>
      </c>
      <c r="L1777" s="11" t="s">
        <v>10750</v>
      </c>
      <c r="M1777" s="11" t="s">
        <v>10751</v>
      </c>
      <c r="N1777" s="14" t="n">
        <v>4</v>
      </c>
      <c r="O1777" s="14" t="n">
        <v>3</v>
      </c>
      <c r="P1777" s="14" t="n">
        <v>4</v>
      </c>
      <c r="Q1777" s="14"/>
      <c r="R1777" s="12" t="n">
        <f aca="false">IF(OR(N1777="",P1777=""),"",ROUND(N1777*O1777/P1777,1))</f>
        <v>3</v>
      </c>
      <c r="S1777" s="13" t="n">
        <f aca="false">IF(R1777="","",IF(Q1777="Y",1,IF(P1777&gt;='Read me'!$B$16,3,IF(AND(R1777&gt;='Read me'!$B$14,P1777&lt;='Read me'!$B$15),1,2))))</f>
        <v>3</v>
      </c>
    </row>
    <row r="1778" customFormat="false" ht="35.05" hidden="false" customHeight="false" outlineLevel="0" collapsed="false">
      <c r="A1778" s="11" t="s">
        <v>10752</v>
      </c>
      <c r="B1778" s="11" t="s">
        <v>48</v>
      </c>
      <c r="C1778" s="11" t="s">
        <v>397</v>
      </c>
      <c r="D1778" s="11" t="s">
        <v>398</v>
      </c>
      <c r="E1778" s="11" t="s">
        <v>1187</v>
      </c>
      <c r="F1778" s="11" t="s">
        <v>10753</v>
      </c>
      <c r="G1778" s="11"/>
      <c r="H1778" s="11"/>
      <c r="I1778" s="11" t="s">
        <v>10754</v>
      </c>
      <c r="J1778" s="11" t="s">
        <v>10755</v>
      </c>
      <c r="K1778" s="11" t="s">
        <v>10756</v>
      </c>
      <c r="L1778" s="11" t="s">
        <v>10757</v>
      </c>
      <c r="M1778" s="11" t="s">
        <v>10582</v>
      </c>
      <c r="N1778" s="14" t="n">
        <v>3</v>
      </c>
      <c r="O1778" s="14" t="n">
        <v>4</v>
      </c>
      <c r="P1778" s="14" t="n">
        <v>4</v>
      </c>
      <c r="Q1778" s="14"/>
      <c r="R1778" s="12" t="n">
        <f aca="false">IF(OR(N1778="",P1778=""),"",ROUND(N1778*O1778/P1778,1))</f>
        <v>3</v>
      </c>
      <c r="S1778" s="13" t="n">
        <f aca="false">IF(R1778="","",IF(Q1778="Y",1,IF(P1778&gt;='Read me'!$B$16,3,IF(AND(R1778&gt;='Read me'!$B$14,P1778&lt;='Read me'!$B$15),1,2))))</f>
        <v>3</v>
      </c>
    </row>
    <row r="1779" customFormat="false" ht="35.05" hidden="false" customHeight="false" outlineLevel="0" collapsed="false">
      <c r="A1779" s="11" t="s">
        <v>10758</v>
      </c>
      <c r="B1779" s="11" t="s">
        <v>48</v>
      </c>
      <c r="C1779" s="11" t="s">
        <v>397</v>
      </c>
      <c r="D1779" s="11" t="s">
        <v>398</v>
      </c>
      <c r="E1779" s="11" t="s">
        <v>1187</v>
      </c>
      <c r="F1779" s="11" t="s">
        <v>10759</v>
      </c>
      <c r="G1779" s="11"/>
      <c r="H1779" s="11"/>
      <c r="I1779" s="11" t="s">
        <v>10760</v>
      </c>
      <c r="J1779" s="11" t="s">
        <v>10761</v>
      </c>
      <c r="K1779" s="11" t="s">
        <v>10749</v>
      </c>
      <c r="L1779" s="11" t="s">
        <v>10762</v>
      </c>
      <c r="M1779" s="11" t="s">
        <v>10582</v>
      </c>
      <c r="N1779" s="14" t="n">
        <v>3</v>
      </c>
      <c r="O1779" s="14" t="n">
        <v>3</v>
      </c>
      <c r="P1779" s="14" t="n">
        <v>3</v>
      </c>
      <c r="Q1779" s="14"/>
      <c r="R1779" s="12" t="n">
        <f aca="false">IF(OR(N1779="",P1779=""),"",ROUND(N1779*O1779/P1779,1))</f>
        <v>3</v>
      </c>
      <c r="S1779" s="13" t="n">
        <f aca="false">IF(R1779="","",IF(Q1779="Y",1,IF(P1779&gt;='Read me'!$B$16,3,IF(AND(R1779&gt;='Read me'!$B$14,P1779&lt;='Read me'!$B$15),1,2))))</f>
        <v>2</v>
      </c>
    </row>
    <row r="1780" customFormat="false" ht="35.05" hidden="false" customHeight="false" outlineLevel="0" collapsed="false">
      <c r="A1780" s="11" t="s">
        <v>10763</v>
      </c>
      <c r="B1780" s="11" t="s">
        <v>48</v>
      </c>
      <c r="C1780" s="11" t="s">
        <v>397</v>
      </c>
      <c r="D1780" s="11" t="s">
        <v>398</v>
      </c>
      <c r="E1780" s="11" t="s">
        <v>1187</v>
      </c>
      <c r="F1780" s="11" t="s">
        <v>10764</v>
      </c>
      <c r="G1780" s="11" t="s">
        <v>10765</v>
      </c>
      <c r="H1780" s="11"/>
      <c r="I1780" s="11" t="s">
        <v>10766</v>
      </c>
      <c r="J1780" s="11" t="s">
        <v>10767</v>
      </c>
      <c r="K1780" s="11" t="s">
        <v>10749</v>
      </c>
      <c r="L1780" s="11" t="s">
        <v>10768</v>
      </c>
      <c r="M1780" s="11" t="s">
        <v>10582</v>
      </c>
      <c r="N1780" s="14" t="n">
        <v>2</v>
      </c>
      <c r="O1780" s="14" t="n">
        <v>4</v>
      </c>
      <c r="P1780" s="14" t="n">
        <v>4</v>
      </c>
      <c r="Q1780" s="14"/>
      <c r="R1780" s="12" t="n">
        <f aca="false">IF(OR(N1780="",P1780=""),"",ROUND(N1780*O1780/P1780,1))</f>
        <v>2</v>
      </c>
      <c r="S1780" s="13" t="n">
        <f aca="false">IF(R1780="","",IF(Q1780="Y",1,IF(P1780&gt;='Read me'!$B$16,3,IF(AND(R1780&gt;='Read me'!$B$14,P1780&lt;='Read me'!$B$15),1,2))))</f>
        <v>3</v>
      </c>
    </row>
    <row r="1781" customFormat="false" ht="35.05" hidden="false" customHeight="false" outlineLevel="0" collapsed="false">
      <c r="A1781" s="11" t="s">
        <v>10769</v>
      </c>
      <c r="B1781" s="11" t="s">
        <v>48</v>
      </c>
      <c r="C1781" s="11" t="s">
        <v>397</v>
      </c>
      <c r="D1781" s="11" t="s">
        <v>398</v>
      </c>
      <c r="E1781" s="11" t="s">
        <v>1187</v>
      </c>
      <c r="F1781" s="11" t="s">
        <v>10770</v>
      </c>
      <c r="G1781" s="11" t="s">
        <v>10771</v>
      </c>
      <c r="H1781" s="11"/>
      <c r="I1781" s="11" t="s">
        <v>10772</v>
      </c>
      <c r="J1781" s="11" t="s">
        <v>10773</v>
      </c>
      <c r="K1781" s="11" t="s">
        <v>10749</v>
      </c>
      <c r="L1781" s="11" t="s">
        <v>10768</v>
      </c>
      <c r="M1781" s="11" t="s">
        <v>10582</v>
      </c>
      <c r="N1781" s="14" t="n">
        <v>2</v>
      </c>
      <c r="O1781" s="14" t="n">
        <v>5</v>
      </c>
      <c r="P1781" s="14" t="n">
        <v>5</v>
      </c>
      <c r="Q1781" s="14"/>
      <c r="R1781" s="12" t="n">
        <f aca="false">IF(OR(N1781="",P1781=""),"",ROUND(N1781*O1781/P1781,1))</f>
        <v>2</v>
      </c>
      <c r="S1781" s="13" t="n">
        <f aca="false">IF(R1781="","",IF(Q1781="Y",1,IF(P1781&gt;='Read me'!$B$16,3,IF(AND(R1781&gt;='Read me'!$B$14,P1781&lt;='Read me'!$B$15),1,2))))</f>
        <v>3</v>
      </c>
    </row>
    <row r="1782" customFormat="false" ht="35.05" hidden="false" customHeight="false" outlineLevel="0" collapsed="false">
      <c r="A1782" s="11" t="s">
        <v>10774</v>
      </c>
      <c r="B1782" s="11" t="s">
        <v>48</v>
      </c>
      <c r="C1782" s="11" t="s">
        <v>397</v>
      </c>
      <c r="D1782" s="11" t="s">
        <v>398</v>
      </c>
      <c r="E1782" s="11" t="s">
        <v>1187</v>
      </c>
      <c r="F1782" s="11" t="s">
        <v>10775</v>
      </c>
      <c r="G1782" s="11" t="s">
        <v>10776</v>
      </c>
      <c r="H1782" s="11"/>
      <c r="I1782" s="11" t="s">
        <v>10777</v>
      </c>
      <c r="J1782" s="11" t="s">
        <v>10778</v>
      </c>
      <c r="K1782" s="11" t="s">
        <v>10779</v>
      </c>
      <c r="L1782" s="11" t="s">
        <v>10780</v>
      </c>
      <c r="M1782" s="11" t="s">
        <v>10781</v>
      </c>
      <c r="N1782" s="14" t="n">
        <v>1</v>
      </c>
      <c r="O1782" s="14" t="n">
        <v>5</v>
      </c>
      <c r="P1782" s="14" t="n">
        <v>5</v>
      </c>
      <c r="Q1782" s="14"/>
      <c r="R1782" s="12" t="n">
        <f aca="false">IF(OR(N1782="",P1782=""),"",ROUND(N1782*O1782/P1782,1))</f>
        <v>1</v>
      </c>
      <c r="S1782" s="13" t="n">
        <f aca="false">IF(R1782="","",IF(Q1782="Y",1,IF(P1782&gt;='Read me'!$B$16,3,IF(AND(R1782&gt;='Read me'!$B$14,P1782&lt;='Read me'!$B$15),1,2))))</f>
        <v>3</v>
      </c>
    </row>
    <row r="1783" customFormat="false" ht="35.05" hidden="false" customHeight="false" outlineLevel="0" collapsed="false">
      <c r="A1783" s="11" t="s">
        <v>10782</v>
      </c>
      <c r="B1783" s="11" t="s">
        <v>48</v>
      </c>
      <c r="C1783" s="11" t="s">
        <v>397</v>
      </c>
      <c r="D1783" s="11" t="s">
        <v>398</v>
      </c>
      <c r="E1783" s="11" t="s">
        <v>1187</v>
      </c>
      <c r="F1783" s="11" t="s">
        <v>10783</v>
      </c>
      <c r="G1783" s="11" t="s">
        <v>10784</v>
      </c>
      <c r="H1783" s="11"/>
      <c r="I1783" s="11" t="s">
        <v>10785</v>
      </c>
      <c r="J1783" s="11" t="s">
        <v>10786</v>
      </c>
      <c r="K1783" s="11" t="s">
        <v>10787</v>
      </c>
      <c r="L1783" s="11" t="s">
        <v>10788</v>
      </c>
      <c r="M1783" s="11" t="s">
        <v>10789</v>
      </c>
      <c r="N1783" s="14" t="n">
        <v>1</v>
      </c>
      <c r="O1783" s="14" t="n">
        <v>5</v>
      </c>
      <c r="P1783" s="14" t="n">
        <v>5</v>
      </c>
      <c r="Q1783" s="14"/>
      <c r="R1783" s="12" t="n">
        <f aca="false">IF(OR(N1783="",P1783=""),"",ROUND(N1783*O1783/P1783,1))</f>
        <v>1</v>
      </c>
      <c r="S1783" s="13" t="n">
        <f aca="false">IF(R1783="","",IF(Q1783="Y",1,IF(P1783&gt;='Read me'!$B$16,3,IF(AND(R1783&gt;='Read me'!$B$14,P1783&lt;='Read me'!$B$15),1,2))))</f>
        <v>3</v>
      </c>
    </row>
    <row r="1784" customFormat="false" ht="35.05" hidden="false" customHeight="false" outlineLevel="0" collapsed="false">
      <c r="A1784" s="11" t="s">
        <v>10790</v>
      </c>
      <c r="B1784" s="11" t="s">
        <v>48</v>
      </c>
      <c r="C1784" s="11" t="s">
        <v>397</v>
      </c>
      <c r="D1784" s="11" t="s">
        <v>398</v>
      </c>
      <c r="E1784" s="11" t="s">
        <v>1187</v>
      </c>
      <c r="F1784" s="11" t="s">
        <v>10783</v>
      </c>
      <c r="G1784" s="11" t="s">
        <v>10791</v>
      </c>
      <c r="H1784" s="11" t="s">
        <v>10792</v>
      </c>
      <c r="I1784" s="11" t="s">
        <v>10793</v>
      </c>
      <c r="J1784" s="11" t="s">
        <v>10794</v>
      </c>
      <c r="K1784" s="11" t="s">
        <v>10795</v>
      </c>
      <c r="L1784" s="11" t="s">
        <v>10750</v>
      </c>
      <c r="M1784" s="11" t="s">
        <v>10796</v>
      </c>
      <c r="N1784" s="14" t="n">
        <v>2</v>
      </c>
      <c r="O1784" s="14" t="n">
        <v>4</v>
      </c>
      <c r="P1784" s="14" t="n">
        <v>4</v>
      </c>
      <c r="Q1784" s="14"/>
      <c r="R1784" s="12" t="n">
        <f aca="false">IF(OR(N1784="",P1784=""),"",ROUND(N1784*O1784/P1784,1))</f>
        <v>2</v>
      </c>
      <c r="S1784" s="13" t="n">
        <f aca="false">IF(R1784="","",IF(Q1784="Y",1,IF(P1784&gt;='Read me'!$B$16,3,IF(AND(R1784&gt;='Read me'!$B$14,P1784&lt;='Read me'!$B$15),1,2))))</f>
        <v>3</v>
      </c>
    </row>
    <row r="1785" customFormat="false" ht="35.05" hidden="false" customHeight="false" outlineLevel="0" collapsed="false">
      <c r="A1785" s="11" t="s">
        <v>10797</v>
      </c>
      <c r="B1785" s="11" t="s">
        <v>48</v>
      </c>
      <c r="C1785" s="11" t="s">
        <v>397</v>
      </c>
      <c r="D1785" s="11" t="s">
        <v>398</v>
      </c>
      <c r="E1785" s="11" t="s">
        <v>1187</v>
      </c>
      <c r="F1785" s="11" t="s">
        <v>10783</v>
      </c>
      <c r="G1785" s="11" t="s">
        <v>10798</v>
      </c>
      <c r="H1785" s="11" t="s">
        <v>10799</v>
      </c>
      <c r="I1785" s="11" t="s">
        <v>10800</v>
      </c>
      <c r="J1785" s="11" t="s">
        <v>10801</v>
      </c>
      <c r="K1785" s="11" t="s">
        <v>10802</v>
      </c>
      <c r="L1785" s="11" t="s">
        <v>10803</v>
      </c>
      <c r="M1785" s="11" t="s">
        <v>10804</v>
      </c>
      <c r="N1785" s="14" t="n">
        <v>2</v>
      </c>
      <c r="O1785" s="14" t="n">
        <v>3</v>
      </c>
      <c r="P1785" s="14" t="n">
        <v>4</v>
      </c>
      <c r="Q1785" s="14"/>
      <c r="R1785" s="12" t="n">
        <f aca="false">IF(OR(N1785="",P1785=""),"",ROUND(N1785*O1785/P1785,1))</f>
        <v>1.5</v>
      </c>
      <c r="S1785" s="13" t="n">
        <f aca="false">IF(R1785="","",IF(Q1785="Y",1,IF(P1785&gt;='Read me'!$B$16,3,IF(AND(R1785&gt;='Read me'!$B$14,P1785&lt;='Read me'!$B$15),1,2))))</f>
        <v>3</v>
      </c>
    </row>
    <row r="1786" customFormat="false" ht="35.05" hidden="false" customHeight="false" outlineLevel="0" collapsed="false">
      <c r="A1786" s="11" t="s">
        <v>10805</v>
      </c>
      <c r="B1786" s="11" t="s">
        <v>48</v>
      </c>
      <c r="C1786" s="11" t="s">
        <v>397</v>
      </c>
      <c r="D1786" s="11" t="s">
        <v>398</v>
      </c>
      <c r="E1786" s="11" t="s">
        <v>1187</v>
      </c>
      <c r="F1786" s="11" t="s">
        <v>10783</v>
      </c>
      <c r="G1786" s="11" t="s">
        <v>10806</v>
      </c>
      <c r="H1786" s="11"/>
      <c r="I1786" s="11" t="s">
        <v>10807</v>
      </c>
      <c r="J1786" s="11" t="s">
        <v>10808</v>
      </c>
      <c r="K1786" s="11" t="s">
        <v>916</v>
      </c>
      <c r="L1786" s="11" t="s">
        <v>10768</v>
      </c>
      <c r="M1786" s="11" t="s">
        <v>10809</v>
      </c>
      <c r="N1786" s="14" t="n">
        <v>1</v>
      </c>
      <c r="O1786" s="14" t="n">
        <v>3</v>
      </c>
      <c r="P1786" s="14" t="n">
        <v>4</v>
      </c>
      <c r="Q1786" s="14"/>
      <c r="R1786" s="12" t="n">
        <f aca="false">IF(OR(N1786="",P1786=""),"",ROUND(N1786*O1786/P1786,1))</f>
        <v>0.8</v>
      </c>
      <c r="S1786" s="13" t="n">
        <f aca="false">IF(R1786="","",IF(Q1786="Y",1,IF(P1786&gt;='Read me'!$B$16,3,IF(AND(R1786&gt;='Read me'!$B$14,P1786&lt;='Read me'!$B$15),1,2))))</f>
        <v>3</v>
      </c>
    </row>
    <row r="1787" customFormat="false" ht="23.85" hidden="false" customHeight="false" outlineLevel="0" collapsed="false">
      <c r="A1787" s="11" t="s">
        <v>10810</v>
      </c>
      <c r="B1787" s="11" t="s">
        <v>48</v>
      </c>
      <c r="C1787" s="11" t="s">
        <v>397</v>
      </c>
      <c r="D1787" s="11" t="s">
        <v>398</v>
      </c>
      <c r="E1787" s="11" t="s">
        <v>1187</v>
      </c>
      <c r="F1787" s="11" t="s">
        <v>10783</v>
      </c>
      <c r="G1787" s="11" t="s">
        <v>10811</v>
      </c>
      <c r="H1787" s="11" t="s">
        <v>10812</v>
      </c>
      <c r="I1787" s="11" t="s">
        <v>10813</v>
      </c>
      <c r="J1787" s="11" t="s">
        <v>10814</v>
      </c>
      <c r="K1787" s="11" t="s">
        <v>10815</v>
      </c>
      <c r="L1787" s="11" t="s">
        <v>10816</v>
      </c>
      <c r="M1787" s="11"/>
      <c r="N1787" s="14" t="n">
        <v>2</v>
      </c>
      <c r="O1787" s="14" t="n">
        <v>2</v>
      </c>
      <c r="P1787" s="14" t="n">
        <v>3</v>
      </c>
      <c r="Q1787" s="14"/>
      <c r="R1787" s="12" t="n">
        <f aca="false">IF(OR(N1787="",P1787=""),"",ROUND(N1787*O1787/P1787,1))</f>
        <v>1.3</v>
      </c>
      <c r="S1787" s="13" t="n">
        <f aca="false">IF(R1787="","",IF(Q1787="Y",1,IF(P1787&gt;='Read me'!$B$16,3,IF(AND(R1787&gt;='Read me'!$B$14,P1787&lt;='Read me'!$B$15),1,2))))</f>
        <v>2</v>
      </c>
    </row>
    <row r="1788" customFormat="false" ht="23.85" hidden="false" customHeight="false" outlineLevel="0" collapsed="false">
      <c r="A1788" s="11" t="s">
        <v>10817</v>
      </c>
      <c r="B1788" s="11" t="s">
        <v>48</v>
      </c>
      <c r="C1788" s="11" t="s">
        <v>397</v>
      </c>
      <c r="D1788" s="11" t="s">
        <v>398</v>
      </c>
      <c r="E1788" s="11" t="s">
        <v>1187</v>
      </c>
      <c r="F1788" s="11" t="s">
        <v>10783</v>
      </c>
      <c r="G1788" s="11" t="s">
        <v>10818</v>
      </c>
      <c r="H1788" s="11" t="s">
        <v>10819</v>
      </c>
      <c r="I1788" s="11" t="s">
        <v>10820</v>
      </c>
      <c r="J1788" s="11" t="s">
        <v>10821</v>
      </c>
      <c r="K1788" s="11" t="s">
        <v>2000</v>
      </c>
      <c r="L1788" s="11" t="s">
        <v>10822</v>
      </c>
      <c r="M1788" s="11"/>
      <c r="N1788" s="14" t="n">
        <v>2</v>
      </c>
      <c r="O1788" s="14" t="n">
        <v>2</v>
      </c>
      <c r="P1788" s="14" t="n">
        <v>2</v>
      </c>
      <c r="Q1788" s="14"/>
      <c r="R1788" s="12" t="n">
        <f aca="false">IF(OR(N1788="",P1788=""),"",ROUND(N1788*O1788/P1788,1))</f>
        <v>2</v>
      </c>
      <c r="S1788" s="13" t="n">
        <f aca="false">IF(R1788="","",IF(Q1788="Y",1,IF(P1788&gt;='Read me'!$B$16,3,IF(AND(R1788&gt;='Read me'!$B$14,P1788&lt;='Read me'!$B$15),1,2))))</f>
        <v>2</v>
      </c>
    </row>
    <row r="1789" customFormat="false" ht="46.25" hidden="false" customHeight="false" outlineLevel="0" collapsed="false">
      <c r="A1789" s="11" t="s">
        <v>10823</v>
      </c>
      <c r="B1789" s="11" t="s">
        <v>48</v>
      </c>
      <c r="C1789" s="11" t="s">
        <v>397</v>
      </c>
      <c r="D1789" s="11" t="s">
        <v>398</v>
      </c>
      <c r="E1789" s="11" t="s">
        <v>1187</v>
      </c>
      <c r="F1789" s="11" t="s">
        <v>10783</v>
      </c>
      <c r="G1789" s="11" t="s">
        <v>10824</v>
      </c>
      <c r="H1789" s="11"/>
      <c r="I1789" s="11" t="s">
        <v>10825</v>
      </c>
      <c r="J1789" s="11" t="s">
        <v>10826</v>
      </c>
      <c r="K1789" s="11" t="s">
        <v>2061</v>
      </c>
      <c r="L1789" s="11" t="s">
        <v>10827</v>
      </c>
      <c r="M1789" s="11" t="s">
        <v>10828</v>
      </c>
      <c r="N1789" s="14" t="n">
        <v>2</v>
      </c>
      <c r="O1789" s="14" t="n">
        <v>4</v>
      </c>
      <c r="P1789" s="14" t="n">
        <v>5</v>
      </c>
      <c r="Q1789" s="14"/>
      <c r="R1789" s="12" t="n">
        <f aca="false">IF(OR(N1789="",P1789=""),"",ROUND(N1789*O1789/P1789,1))</f>
        <v>1.6</v>
      </c>
      <c r="S1789" s="13" t="n">
        <f aca="false">IF(R1789="","",IF(Q1789="Y",1,IF(P1789&gt;='Read me'!$B$16,3,IF(AND(R1789&gt;='Read me'!$B$14,P1789&lt;='Read me'!$B$15),1,2))))</f>
        <v>3</v>
      </c>
    </row>
    <row r="1790" customFormat="false" ht="23.85" hidden="false" customHeight="false" outlineLevel="0" collapsed="false">
      <c r="A1790" s="11" t="s">
        <v>10829</v>
      </c>
      <c r="B1790" s="11" t="s">
        <v>48</v>
      </c>
      <c r="C1790" s="11" t="s">
        <v>397</v>
      </c>
      <c r="D1790" s="11" t="s">
        <v>398</v>
      </c>
      <c r="E1790" s="11" t="s">
        <v>1187</v>
      </c>
      <c r="F1790" s="11" t="s">
        <v>10830</v>
      </c>
      <c r="G1790" s="11"/>
      <c r="H1790" s="11"/>
      <c r="I1790" s="11" t="s">
        <v>10831</v>
      </c>
      <c r="J1790" s="11" t="s">
        <v>10832</v>
      </c>
      <c r="K1790" s="11" t="s">
        <v>10833</v>
      </c>
      <c r="L1790" s="11" t="s">
        <v>10834</v>
      </c>
      <c r="M1790" s="11"/>
      <c r="N1790" s="14" t="n">
        <v>4</v>
      </c>
      <c r="O1790" s="14" t="n">
        <v>3</v>
      </c>
      <c r="P1790" s="14" t="n">
        <v>3</v>
      </c>
      <c r="Q1790" s="14"/>
      <c r="R1790" s="12" t="n">
        <f aca="false">IF(OR(N1790="",P1790=""),"",ROUND(N1790*O1790/P1790,1))</f>
        <v>4</v>
      </c>
      <c r="S1790" s="13" t="n">
        <f aca="false">IF(R1790="","",IF(Q1790="Y",1,IF(P1790&gt;='Read me'!$B$16,3,IF(AND(R1790&gt;='Read me'!$B$14,P1790&lt;='Read me'!$B$15),1,2))))</f>
        <v>2</v>
      </c>
    </row>
    <row r="1791" customFormat="false" ht="23.85" hidden="false" customHeight="false" outlineLevel="0" collapsed="false">
      <c r="A1791" s="11" t="s">
        <v>10835</v>
      </c>
      <c r="B1791" s="11" t="s">
        <v>48</v>
      </c>
      <c r="C1791" s="11" t="s">
        <v>397</v>
      </c>
      <c r="D1791" s="11" t="s">
        <v>398</v>
      </c>
      <c r="E1791" s="11" t="s">
        <v>1187</v>
      </c>
      <c r="F1791" s="11" t="s">
        <v>10836</v>
      </c>
      <c r="G1791" s="11"/>
      <c r="H1791" s="11"/>
      <c r="I1791" s="11" t="s">
        <v>10837</v>
      </c>
      <c r="J1791" s="11" t="s">
        <v>10838</v>
      </c>
      <c r="K1791" s="11" t="s">
        <v>10839</v>
      </c>
      <c r="L1791" s="11" t="s">
        <v>10840</v>
      </c>
      <c r="M1791" s="11"/>
      <c r="N1791" s="14" t="n">
        <v>3</v>
      </c>
      <c r="O1791" s="14" t="n">
        <v>3</v>
      </c>
      <c r="P1791" s="14" t="n">
        <v>3</v>
      </c>
      <c r="Q1791" s="14"/>
      <c r="R1791" s="12" t="n">
        <f aca="false">IF(OR(N1791="",P1791=""),"",ROUND(N1791*O1791/P1791,1))</f>
        <v>3</v>
      </c>
      <c r="S1791" s="13" t="n">
        <f aca="false">IF(R1791="","",IF(Q1791="Y",1,IF(P1791&gt;='Read me'!$B$16,3,IF(AND(R1791&gt;='Read me'!$B$14,P1791&lt;='Read me'!$B$15),1,2))))</f>
        <v>2</v>
      </c>
    </row>
    <row r="1792" customFormat="false" ht="23.85" hidden="false" customHeight="false" outlineLevel="0" collapsed="false">
      <c r="A1792" s="11" t="s">
        <v>10841</v>
      </c>
      <c r="B1792" s="11" t="s">
        <v>48</v>
      </c>
      <c r="C1792" s="11" t="s">
        <v>397</v>
      </c>
      <c r="D1792" s="11" t="s">
        <v>398</v>
      </c>
      <c r="E1792" s="11" t="s">
        <v>1187</v>
      </c>
      <c r="F1792" s="11" t="s">
        <v>10842</v>
      </c>
      <c r="G1792" s="11" t="s">
        <v>10843</v>
      </c>
      <c r="H1792" s="11" t="s">
        <v>10844</v>
      </c>
      <c r="I1792" s="11" t="s">
        <v>10845</v>
      </c>
      <c r="J1792" s="11" t="s">
        <v>10846</v>
      </c>
      <c r="K1792" s="11" t="s">
        <v>10847</v>
      </c>
      <c r="L1792" s="11" t="s">
        <v>10848</v>
      </c>
      <c r="M1792" s="11"/>
      <c r="N1792" s="14" t="n">
        <v>4</v>
      </c>
      <c r="O1792" s="14" t="n">
        <v>3</v>
      </c>
      <c r="P1792" s="14" t="n">
        <v>3</v>
      </c>
      <c r="Q1792" s="14"/>
      <c r="R1792" s="12" t="n">
        <f aca="false">IF(OR(N1792="",P1792=""),"",ROUND(N1792*O1792/P1792,1))</f>
        <v>4</v>
      </c>
      <c r="S1792" s="13" t="n">
        <f aca="false">IF(R1792="","",IF(Q1792="Y",1,IF(P1792&gt;='Read me'!$B$16,3,IF(AND(R1792&gt;='Read me'!$B$14,P1792&lt;='Read me'!$B$15),1,2))))</f>
        <v>2</v>
      </c>
    </row>
    <row r="1793" customFormat="false" ht="35.05" hidden="false" customHeight="false" outlineLevel="0" collapsed="false">
      <c r="A1793" s="11" t="s">
        <v>10849</v>
      </c>
      <c r="B1793" s="11" t="s">
        <v>48</v>
      </c>
      <c r="C1793" s="11" t="s">
        <v>397</v>
      </c>
      <c r="D1793" s="11" t="s">
        <v>398</v>
      </c>
      <c r="E1793" s="11" t="s">
        <v>1187</v>
      </c>
      <c r="F1793" s="11" t="s">
        <v>10850</v>
      </c>
      <c r="G1793" s="11" t="s">
        <v>10851</v>
      </c>
      <c r="H1793" s="11" t="s">
        <v>10852</v>
      </c>
      <c r="I1793" s="11" t="s">
        <v>10853</v>
      </c>
      <c r="J1793" s="11" t="s">
        <v>10854</v>
      </c>
      <c r="K1793" s="11" t="s">
        <v>10855</v>
      </c>
      <c r="L1793" s="11" t="s">
        <v>10856</v>
      </c>
      <c r="M1793" s="11"/>
      <c r="N1793" s="14" t="n">
        <v>3</v>
      </c>
      <c r="O1793" s="14" t="n">
        <v>3</v>
      </c>
      <c r="P1793" s="14" t="n">
        <v>3</v>
      </c>
      <c r="Q1793" s="14"/>
      <c r="R1793" s="12" t="n">
        <f aca="false">IF(OR(N1793="",P1793=""),"",ROUND(N1793*O1793/P1793,1))</f>
        <v>3</v>
      </c>
      <c r="S1793" s="13" t="n">
        <f aca="false">IF(R1793="","",IF(Q1793="Y",1,IF(P1793&gt;='Read me'!$B$16,3,IF(AND(R1793&gt;='Read me'!$B$14,P1793&lt;='Read me'!$B$15),1,2))))</f>
        <v>2</v>
      </c>
    </row>
    <row r="1794" customFormat="false" ht="35.05" hidden="false" customHeight="false" outlineLevel="0" collapsed="false">
      <c r="A1794" s="11" t="s">
        <v>10857</v>
      </c>
      <c r="B1794" s="11" t="s">
        <v>48</v>
      </c>
      <c r="C1794" s="11" t="s">
        <v>397</v>
      </c>
      <c r="D1794" s="11" t="s">
        <v>398</v>
      </c>
      <c r="E1794" s="11" t="s">
        <v>1187</v>
      </c>
      <c r="F1794" s="11" t="s">
        <v>10858</v>
      </c>
      <c r="G1794" s="11" t="s">
        <v>10859</v>
      </c>
      <c r="H1794" s="11" t="s">
        <v>10860</v>
      </c>
      <c r="I1794" s="11" t="s">
        <v>10861</v>
      </c>
      <c r="J1794" s="11" t="s">
        <v>10862</v>
      </c>
      <c r="K1794" s="11" t="s">
        <v>10847</v>
      </c>
      <c r="L1794" s="11" t="s">
        <v>10863</v>
      </c>
      <c r="M1794" s="11" t="s">
        <v>10864</v>
      </c>
      <c r="N1794" s="14" t="n">
        <v>2</v>
      </c>
      <c r="O1794" s="14" t="n">
        <v>3</v>
      </c>
      <c r="P1794" s="14" t="n">
        <v>4</v>
      </c>
      <c r="Q1794" s="14"/>
      <c r="R1794" s="12" t="n">
        <f aca="false">IF(OR(N1794="",P1794=""),"",ROUND(N1794*O1794/P1794,1))</f>
        <v>1.5</v>
      </c>
      <c r="S1794" s="13" t="n">
        <f aca="false">IF(R1794="","",IF(Q1794="Y",1,IF(P1794&gt;='Read me'!$B$16,3,IF(AND(R1794&gt;='Read me'!$B$14,P1794&lt;='Read me'!$B$15),1,2))))</f>
        <v>3</v>
      </c>
    </row>
    <row r="1795" customFormat="false" ht="35.05" hidden="false" customHeight="false" outlineLevel="0" collapsed="false">
      <c r="A1795" s="11" t="s">
        <v>10865</v>
      </c>
      <c r="B1795" s="11" t="s">
        <v>48</v>
      </c>
      <c r="C1795" s="11" t="s">
        <v>397</v>
      </c>
      <c r="D1795" s="11" t="s">
        <v>398</v>
      </c>
      <c r="E1795" s="11" t="s">
        <v>1187</v>
      </c>
      <c r="F1795" s="11" t="s">
        <v>10866</v>
      </c>
      <c r="G1795" s="11" t="s">
        <v>10867</v>
      </c>
      <c r="H1795" s="11"/>
      <c r="I1795" s="11" t="s">
        <v>10868</v>
      </c>
      <c r="J1795" s="11" t="s">
        <v>10869</v>
      </c>
      <c r="K1795" s="11" t="s">
        <v>10870</v>
      </c>
      <c r="L1795" s="11" t="s">
        <v>10871</v>
      </c>
      <c r="M1795" s="11"/>
      <c r="N1795" s="14" t="n">
        <v>3</v>
      </c>
      <c r="O1795" s="14" t="n">
        <v>3</v>
      </c>
      <c r="P1795" s="14" t="n">
        <v>2</v>
      </c>
      <c r="Q1795" s="14"/>
      <c r="R1795" s="12" t="n">
        <f aca="false">IF(OR(N1795="",P1795=""),"",ROUND(N1795*O1795/P1795,1))</f>
        <v>4.5</v>
      </c>
      <c r="S1795" s="13" t="n">
        <f aca="false">IF(R1795="","",IF(Q1795="Y",1,IF(P1795&gt;='Read me'!$B$16,3,IF(AND(R1795&gt;='Read me'!$B$14,P1795&lt;='Read me'!$B$15),1,2))))</f>
        <v>2</v>
      </c>
    </row>
    <row r="1796" customFormat="false" ht="23.85" hidden="false" customHeight="false" outlineLevel="0" collapsed="false">
      <c r="A1796" s="11" t="s">
        <v>10872</v>
      </c>
      <c r="B1796" s="11" t="s">
        <v>48</v>
      </c>
      <c r="C1796" s="11" t="s">
        <v>397</v>
      </c>
      <c r="D1796" s="11" t="s">
        <v>398</v>
      </c>
      <c r="E1796" s="11" t="s">
        <v>1187</v>
      </c>
      <c r="F1796" s="11" t="s">
        <v>10873</v>
      </c>
      <c r="G1796" s="11" t="s">
        <v>10874</v>
      </c>
      <c r="H1796" s="11"/>
      <c r="I1796" s="11" t="s">
        <v>10875</v>
      </c>
      <c r="J1796" s="11" t="s">
        <v>10876</v>
      </c>
      <c r="K1796" s="11" t="s">
        <v>10877</v>
      </c>
      <c r="L1796" s="11" t="s">
        <v>10878</v>
      </c>
      <c r="M1796" s="11"/>
      <c r="N1796" s="14" t="n">
        <v>2</v>
      </c>
      <c r="O1796" s="14" t="n">
        <v>4</v>
      </c>
      <c r="P1796" s="14" t="n">
        <v>4</v>
      </c>
      <c r="Q1796" s="14"/>
      <c r="R1796" s="12" t="n">
        <f aca="false">IF(OR(N1796="",P1796=""),"",ROUND(N1796*O1796/P1796,1))</f>
        <v>2</v>
      </c>
      <c r="S1796" s="13" t="n">
        <f aca="false">IF(R1796="","",IF(Q1796="Y",1,IF(P1796&gt;='Read me'!$B$16,3,IF(AND(R1796&gt;='Read me'!$B$14,P1796&lt;='Read me'!$B$15),1,2))))</f>
        <v>3</v>
      </c>
    </row>
    <row r="1797" customFormat="false" ht="57.45" hidden="false" customHeight="false" outlineLevel="0" collapsed="false">
      <c r="A1797" s="11" t="s">
        <v>10879</v>
      </c>
      <c r="B1797" s="11" t="s">
        <v>48</v>
      </c>
      <c r="C1797" s="11" t="s">
        <v>397</v>
      </c>
      <c r="D1797" s="11" t="s">
        <v>398</v>
      </c>
      <c r="E1797" s="11" t="s">
        <v>1187</v>
      </c>
      <c r="F1797" s="11" t="s">
        <v>10880</v>
      </c>
      <c r="G1797" s="11" t="s">
        <v>10881</v>
      </c>
      <c r="H1797" s="11" t="s">
        <v>10882</v>
      </c>
      <c r="I1797" s="11" t="s">
        <v>10883</v>
      </c>
      <c r="J1797" s="11" t="s">
        <v>10884</v>
      </c>
      <c r="K1797" s="11" t="s">
        <v>2768</v>
      </c>
      <c r="L1797" s="11" t="s">
        <v>10885</v>
      </c>
      <c r="M1797" s="11" t="s">
        <v>10886</v>
      </c>
      <c r="N1797" s="14" t="n">
        <v>4</v>
      </c>
      <c r="O1797" s="14" t="n">
        <v>4</v>
      </c>
      <c r="P1797" s="14" t="n">
        <v>5</v>
      </c>
      <c r="Q1797" s="14"/>
      <c r="R1797" s="12" t="n">
        <f aca="false">IF(OR(N1797="",P1797=""),"",ROUND(N1797*O1797/P1797,1))</f>
        <v>3.2</v>
      </c>
      <c r="S1797" s="13" t="n">
        <f aca="false">IF(R1797="","",IF(Q1797="Y",1,IF(P1797&gt;='Read me'!$B$16,3,IF(AND(R1797&gt;='Read me'!$B$14,P1797&lt;='Read me'!$B$15),1,2))))</f>
        <v>3</v>
      </c>
    </row>
    <row r="1798" customFormat="false" ht="35.05" hidden="false" customHeight="false" outlineLevel="0" collapsed="false">
      <c r="A1798" s="11" t="s">
        <v>10887</v>
      </c>
      <c r="B1798" s="11" t="s">
        <v>48</v>
      </c>
      <c r="C1798" s="11" t="s">
        <v>397</v>
      </c>
      <c r="D1798" s="11" t="s">
        <v>398</v>
      </c>
      <c r="E1798" s="11" t="s">
        <v>1187</v>
      </c>
      <c r="F1798" s="11" t="s">
        <v>10888</v>
      </c>
      <c r="G1798" s="11" t="s">
        <v>10889</v>
      </c>
      <c r="H1798" s="11" t="s">
        <v>8525</v>
      </c>
      <c r="I1798" s="11" t="s">
        <v>10890</v>
      </c>
      <c r="J1798" s="11" t="s">
        <v>10891</v>
      </c>
      <c r="K1798" s="11" t="s">
        <v>675</v>
      </c>
      <c r="L1798" s="11" t="s">
        <v>10892</v>
      </c>
      <c r="M1798" s="11"/>
      <c r="N1798" s="14" t="n">
        <v>2</v>
      </c>
      <c r="O1798" s="14" t="n">
        <v>5</v>
      </c>
      <c r="P1798" s="14" t="n">
        <v>5</v>
      </c>
      <c r="Q1798" s="14"/>
      <c r="R1798" s="12" t="n">
        <f aca="false">IF(OR(N1798="",P1798=""),"",ROUND(N1798*O1798/P1798,1))</f>
        <v>2</v>
      </c>
      <c r="S1798" s="13" t="n">
        <f aca="false">IF(R1798="","",IF(Q1798="Y",1,IF(P1798&gt;='Read me'!$B$16,3,IF(AND(R1798&gt;='Read me'!$B$14,P1798&lt;='Read me'!$B$15),1,2))))</f>
        <v>3</v>
      </c>
    </row>
    <row r="1799" customFormat="false" ht="35.05" hidden="false" customHeight="false" outlineLevel="0" collapsed="false">
      <c r="A1799" s="11" t="s">
        <v>10893</v>
      </c>
      <c r="B1799" s="11" t="s">
        <v>48</v>
      </c>
      <c r="C1799" s="11" t="s">
        <v>397</v>
      </c>
      <c r="D1799" s="11" t="s">
        <v>398</v>
      </c>
      <c r="E1799" s="11" t="s">
        <v>1187</v>
      </c>
      <c r="F1799" s="11" t="s">
        <v>10894</v>
      </c>
      <c r="G1799" s="11" t="s">
        <v>10895</v>
      </c>
      <c r="H1799" s="11" t="s">
        <v>10896</v>
      </c>
      <c r="I1799" s="11" t="s">
        <v>512</v>
      </c>
      <c r="J1799" s="11" t="s">
        <v>10897</v>
      </c>
      <c r="K1799" s="11" t="s">
        <v>10685</v>
      </c>
      <c r="L1799" s="11" t="s">
        <v>10898</v>
      </c>
      <c r="M1799" s="11"/>
      <c r="N1799" s="14" t="n">
        <v>3</v>
      </c>
      <c r="O1799" s="14" t="n">
        <v>3</v>
      </c>
      <c r="P1799" s="14" t="n">
        <v>4</v>
      </c>
      <c r="Q1799" s="14"/>
      <c r="R1799" s="12" t="n">
        <f aca="false">IF(OR(N1799="",P1799=""),"",ROUND(N1799*O1799/P1799,1))</f>
        <v>2.3</v>
      </c>
      <c r="S1799" s="13" t="n">
        <f aca="false">IF(R1799="","",IF(Q1799="Y",1,IF(P1799&gt;='Read me'!$B$16,3,IF(AND(R1799&gt;='Read me'!$B$14,P1799&lt;='Read me'!$B$15),1,2))))</f>
        <v>3</v>
      </c>
    </row>
    <row r="1800" customFormat="false" ht="23.85" hidden="false" customHeight="false" outlineLevel="0" collapsed="false">
      <c r="A1800" s="11" t="s">
        <v>10899</v>
      </c>
      <c r="B1800" s="11" t="s">
        <v>48</v>
      </c>
      <c r="C1800" s="11" t="s">
        <v>397</v>
      </c>
      <c r="D1800" s="11" t="s">
        <v>398</v>
      </c>
      <c r="E1800" s="11" t="s">
        <v>1187</v>
      </c>
      <c r="F1800" s="11" t="s">
        <v>10900</v>
      </c>
      <c r="G1800" s="11" t="s">
        <v>10901</v>
      </c>
      <c r="H1800" s="11" t="s">
        <v>10902</v>
      </c>
      <c r="I1800" s="11" t="s">
        <v>10903</v>
      </c>
      <c r="J1800" s="11" t="s">
        <v>10904</v>
      </c>
      <c r="K1800" s="11" t="s">
        <v>10905</v>
      </c>
      <c r="L1800" s="11" t="s">
        <v>10906</v>
      </c>
      <c r="M1800" s="11"/>
      <c r="N1800" s="14" t="n">
        <v>2</v>
      </c>
      <c r="O1800" s="14" t="n">
        <v>4</v>
      </c>
      <c r="P1800" s="14" t="n">
        <v>4</v>
      </c>
      <c r="Q1800" s="14"/>
      <c r="R1800" s="12" t="n">
        <f aca="false">IF(OR(N1800="",P1800=""),"",ROUND(N1800*O1800/P1800,1))</f>
        <v>2</v>
      </c>
      <c r="S1800" s="13" t="n">
        <f aca="false">IF(R1800="","",IF(Q1800="Y",1,IF(P1800&gt;='Read me'!$B$16,3,IF(AND(R1800&gt;='Read me'!$B$14,P1800&lt;='Read me'!$B$15),1,2))))</f>
        <v>3</v>
      </c>
    </row>
    <row r="1801" customFormat="false" ht="68.65" hidden="false" customHeight="false" outlineLevel="0" collapsed="false">
      <c r="A1801" s="11" t="s">
        <v>10907</v>
      </c>
      <c r="B1801" s="11" t="s">
        <v>48</v>
      </c>
      <c r="C1801" s="11" t="s">
        <v>397</v>
      </c>
      <c r="D1801" s="11" t="s">
        <v>398</v>
      </c>
      <c r="E1801" s="11" t="s">
        <v>1187</v>
      </c>
      <c r="F1801" s="11" t="s">
        <v>10908</v>
      </c>
      <c r="G1801" s="11"/>
      <c r="H1801" s="11" t="s">
        <v>10689</v>
      </c>
      <c r="I1801" s="11" t="s">
        <v>10909</v>
      </c>
      <c r="J1801" s="11" t="s">
        <v>10910</v>
      </c>
      <c r="K1801" s="11" t="s">
        <v>2061</v>
      </c>
      <c r="L1801" s="11" t="s">
        <v>10911</v>
      </c>
      <c r="M1801" s="11" t="s">
        <v>10693</v>
      </c>
      <c r="N1801" s="14" t="n">
        <v>2</v>
      </c>
      <c r="O1801" s="14" t="n">
        <v>4</v>
      </c>
      <c r="P1801" s="14" t="n">
        <v>5</v>
      </c>
      <c r="Q1801" s="14"/>
      <c r="R1801" s="12" t="n">
        <f aca="false">IF(OR(N1801="",P1801=""),"",ROUND(N1801*O1801/P1801,1))</f>
        <v>1.6</v>
      </c>
      <c r="S1801" s="13" t="n">
        <f aca="false">IF(R1801="","",IF(Q1801="Y",1,IF(P1801&gt;='Read me'!$B$16,3,IF(AND(R1801&gt;='Read me'!$B$14,P1801&lt;='Read me'!$B$15),1,2))))</f>
        <v>3</v>
      </c>
    </row>
    <row r="1802" customFormat="false" ht="23.85" hidden="false" customHeight="false" outlineLevel="0" collapsed="false">
      <c r="A1802" s="11" t="s">
        <v>10912</v>
      </c>
      <c r="B1802" s="11" t="s">
        <v>48</v>
      </c>
      <c r="C1802" s="11" t="s">
        <v>397</v>
      </c>
      <c r="D1802" s="11" t="s">
        <v>398</v>
      </c>
      <c r="E1802" s="11" t="s">
        <v>1133</v>
      </c>
      <c r="F1802" s="11" t="s">
        <v>9739</v>
      </c>
      <c r="G1802" s="11"/>
      <c r="H1802" s="11"/>
      <c r="I1802" s="11" t="s">
        <v>10913</v>
      </c>
      <c r="J1802" s="11" t="s">
        <v>10914</v>
      </c>
      <c r="K1802" s="11" t="s">
        <v>9467</v>
      </c>
      <c r="L1802" s="11" t="s">
        <v>10915</v>
      </c>
      <c r="M1802" s="11"/>
      <c r="N1802" s="14" t="n">
        <v>4</v>
      </c>
      <c r="O1802" s="14" t="n">
        <v>3</v>
      </c>
      <c r="P1802" s="14" t="n">
        <v>3</v>
      </c>
      <c r="Q1802" s="14"/>
      <c r="R1802" s="12" t="n">
        <f aca="false">IF(OR(N1802="",P1802=""),"",ROUND(N1802*O1802/P1802,1))</f>
        <v>4</v>
      </c>
      <c r="S1802" s="13" t="n">
        <f aca="false">IF(R1802="","",IF(Q1802="Y",1,IF(P1802&gt;='Read me'!$B$16,3,IF(AND(R1802&gt;='Read me'!$B$14,P1802&lt;='Read me'!$B$15),1,2))))</f>
        <v>2</v>
      </c>
    </row>
    <row r="1803" customFormat="false" ht="23.85" hidden="false" customHeight="false" outlineLevel="0" collapsed="false">
      <c r="A1803" s="11" t="s">
        <v>10916</v>
      </c>
      <c r="B1803" s="11" t="s">
        <v>48</v>
      </c>
      <c r="C1803" s="11" t="s">
        <v>397</v>
      </c>
      <c r="D1803" s="11" t="s">
        <v>398</v>
      </c>
      <c r="E1803" s="11" t="s">
        <v>1372</v>
      </c>
      <c r="F1803" s="11" t="s">
        <v>10917</v>
      </c>
      <c r="G1803" s="11" t="s">
        <v>10918</v>
      </c>
      <c r="H1803" s="11"/>
      <c r="I1803" s="11" t="s">
        <v>10919</v>
      </c>
      <c r="J1803" s="11" t="s">
        <v>10920</v>
      </c>
      <c r="K1803" s="11" t="s">
        <v>10921</v>
      </c>
      <c r="L1803" s="11" t="s">
        <v>10922</v>
      </c>
      <c r="M1803" s="11"/>
      <c r="N1803" s="14" t="n">
        <v>2</v>
      </c>
      <c r="O1803" s="14" t="n">
        <v>2</v>
      </c>
      <c r="P1803" s="14" t="n">
        <v>3</v>
      </c>
      <c r="Q1803" s="14"/>
      <c r="R1803" s="12" t="n">
        <f aca="false">IF(OR(N1803="",P1803=""),"",ROUND(N1803*O1803/P1803,1))</f>
        <v>1.3</v>
      </c>
      <c r="S1803" s="13" t="n">
        <f aca="false">IF(R1803="","",IF(Q1803="Y",1,IF(P1803&gt;='Read me'!$B$16,3,IF(AND(R1803&gt;='Read me'!$B$14,P1803&lt;='Read me'!$B$15),1,2))))</f>
        <v>2</v>
      </c>
    </row>
    <row r="1804" customFormat="false" ht="35.05" hidden="false" customHeight="false" outlineLevel="0" collapsed="false">
      <c r="A1804" s="11" t="s">
        <v>10923</v>
      </c>
      <c r="B1804" s="11" t="s">
        <v>48</v>
      </c>
      <c r="C1804" s="11" t="s">
        <v>401</v>
      </c>
      <c r="D1804" s="11" t="s">
        <v>402</v>
      </c>
      <c r="E1804" s="11" t="s">
        <v>476</v>
      </c>
      <c r="F1804" s="11" t="s">
        <v>10924</v>
      </c>
      <c r="G1804" s="11" t="s">
        <v>10925</v>
      </c>
      <c r="H1804" s="11" t="s">
        <v>10430</v>
      </c>
      <c r="I1804" s="11" t="s">
        <v>10926</v>
      </c>
      <c r="J1804" s="11" t="s">
        <v>10927</v>
      </c>
      <c r="K1804" s="11" t="s">
        <v>5180</v>
      </c>
      <c r="L1804" s="11" t="s">
        <v>10928</v>
      </c>
      <c r="M1804" s="11" t="s">
        <v>10929</v>
      </c>
      <c r="N1804" s="14" t="n">
        <v>3</v>
      </c>
      <c r="O1804" s="14" t="n">
        <v>3</v>
      </c>
      <c r="P1804" s="14" t="n">
        <v>4</v>
      </c>
      <c r="Q1804" s="14"/>
      <c r="R1804" s="12" t="n">
        <f aca="false">IF(OR(N1804="",P1804=""),"",ROUND(N1804*O1804/P1804,1))</f>
        <v>2.3</v>
      </c>
      <c r="S1804" s="13" t="n">
        <f aca="false">IF(R1804="","",IF(Q1804="Y",1,IF(P1804&gt;='Read me'!$B$16,3,IF(AND(R1804&gt;='Read me'!$B$14,P1804&lt;='Read me'!$B$15),1,2))))</f>
        <v>3</v>
      </c>
    </row>
    <row r="1805" customFormat="false" ht="23.85" hidden="false" customHeight="false" outlineLevel="0" collapsed="false">
      <c r="A1805" s="11" t="s">
        <v>10930</v>
      </c>
      <c r="B1805" s="11" t="s">
        <v>48</v>
      </c>
      <c r="C1805" s="11" t="s">
        <v>401</v>
      </c>
      <c r="D1805" s="11" t="s">
        <v>402</v>
      </c>
      <c r="E1805" s="11" t="s">
        <v>751</v>
      </c>
      <c r="F1805" s="11" t="s">
        <v>10931</v>
      </c>
      <c r="G1805" s="11" t="s">
        <v>10612</v>
      </c>
      <c r="H1805" s="11"/>
      <c r="I1805" s="11" t="s">
        <v>10932</v>
      </c>
      <c r="J1805" s="11" t="s">
        <v>10933</v>
      </c>
      <c r="K1805" s="11" t="s">
        <v>10615</v>
      </c>
      <c r="L1805" s="11" t="s">
        <v>10934</v>
      </c>
      <c r="M1805" s="11"/>
      <c r="N1805" s="14" t="n">
        <v>2</v>
      </c>
      <c r="O1805" s="14" t="n">
        <v>3</v>
      </c>
      <c r="P1805" s="14" t="n">
        <v>3</v>
      </c>
      <c r="Q1805" s="14"/>
      <c r="R1805" s="12" t="n">
        <f aca="false">IF(OR(N1805="",P1805=""),"",ROUND(N1805*O1805/P1805,1))</f>
        <v>2</v>
      </c>
      <c r="S1805" s="13" t="n">
        <f aca="false">IF(R1805="","",IF(Q1805="Y",1,IF(P1805&gt;='Read me'!$B$16,3,IF(AND(R1805&gt;='Read me'!$B$14,P1805&lt;='Read me'!$B$15),1,2))))</f>
        <v>2</v>
      </c>
    </row>
    <row r="1806" customFormat="false" ht="35.05" hidden="false" customHeight="false" outlineLevel="0" collapsed="false">
      <c r="A1806" s="11" t="s">
        <v>10935</v>
      </c>
      <c r="B1806" s="11" t="s">
        <v>48</v>
      </c>
      <c r="C1806" s="11" t="s">
        <v>401</v>
      </c>
      <c r="D1806" s="11" t="s">
        <v>402</v>
      </c>
      <c r="E1806" s="11" t="s">
        <v>765</v>
      </c>
      <c r="F1806" s="11" t="s">
        <v>10924</v>
      </c>
      <c r="G1806" s="11" t="s">
        <v>10936</v>
      </c>
      <c r="H1806" s="11"/>
      <c r="I1806" s="11" t="s">
        <v>10937</v>
      </c>
      <c r="J1806" s="11" t="s">
        <v>10938</v>
      </c>
      <c r="K1806" s="11" t="s">
        <v>10939</v>
      </c>
      <c r="L1806" s="11" t="s">
        <v>10940</v>
      </c>
      <c r="M1806" s="11" t="s">
        <v>10929</v>
      </c>
      <c r="N1806" s="14" t="n">
        <v>4</v>
      </c>
      <c r="O1806" s="14" t="n">
        <v>4</v>
      </c>
      <c r="P1806" s="14" t="n">
        <v>4</v>
      </c>
      <c r="Q1806" s="14"/>
      <c r="R1806" s="12" t="n">
        <f aca="false">IF(OR(N1806="",P1806=""),"",ROUND(N1806*O1806/P1806,1))</f>
        <v>4</v>
      </c>
      <c r="S1806" s="13" t="n">
        <f aca="false">IF(R1806="","",IF(Q1806="Y",1,IF(P1806&gt;='Read me'!$B$16,3,IF(AND(R1806&gt;='Read me'!$B$14,P1806&lt;='Read me'!$B$15),1,2))))</f>
        <v>3</v>
      </c>
    </row>
    <row r="1807" customFormat="false" ht="57.45" hidden="false" customHeight="false" outlineLevel="0" collapsed="false">
      <c r="A1807" s="11" t="s">
        <v>10941</v>
      </c>
      <c r="B1807" s="11" t="s">
        <v>48</v>
      </c>
      <c r="C1807" s="11" t="s">
        <v>401</v>
      </c>
      <c r="D1807" s="11" t="s">
        <v>402</v>
      </c>
      <c r="E1807" s="11" t="s">
        <v>765</v>
      </c>
      <c r="F1807" s="11" t="s">
        <v>10942</v>
      </c>
      <c r="G1807" s="11" t="s">
        <v>10943</v>
      </c>
      <c r="H1807" s="11"/>
      <c r="I1807" s="11" t="s">
        <v>512</v>
      </c>
      <c r="J1807" s="11" t="s">
        <v>10944</v>
      </c>
      <c r="K1807" s="11" t="s">
        <v>10945</v>
      </c>
      <c r="L1807" s="11" t="s">
        <v>10946</v>
      </c>
      <c r="M1807" s="11"/>
      <c r="N1807" s="14" t="n">
        <v>3</v>
      </c>
      <c r="O1807" s="14" t="n">
        <v>4</v>
      </c>
      <c r="P1807" s="14" t="n">
        <v>4</v>
      </c>
      <c r="Q1807" s="14"/>
      <c r="R1807" s="12" t="n">
        <f aca="false">IF(OR(N1807="",P1807=""),"",ROUND(N1807*O1807/P1807,1))</f>
        <v>3</v>
      </c>
      <c r="S1807" s="13" t="n">
        <f aca="false">IF(R1807="","",IF(Q1807="Y",1,IF(P1807&gt;='Read me'!$B$16,3,IF(AND(R1807&gt;='Read me'!$B$14,P1807&lt;='Read me'!$B$15),1,2))))</f>
        <v>3</v>
      </c>
    </row>
    <row r="1808" customFormat="false" ht="23.85" hidden="false" customHeight="false" outlineLevel="0" collapsed="false">
      <c r="A1808" s="11" t="s">
        <v>10947</v>
      </c>
      <c r="B1808" s="11" t="s">
        <v>48</v>
      </c>
      <c r="C1808" s="11" t="s">
        <v>401</v>
      </c>
      <c r="D1808" s="11" t="s">
        <v>402</v>
      </c>
      <c r="E1808" s="11" t="s">
        <v>765</v>
      </c>
      <c r="F1808" s="11" t="s">
        <v>10948</v>
      </c>
      <c r="G1808" s="11" t="s">
        <v>10949</v>
      </c>
      <c r="H1808" s="11"/>
      <c r="I1808" s="11" t="s">
        <v>10950</v>
      </c>
      <c r="J1808" s="11" t="s">
        <v>10951</v>
      </c>
      <c r="K1808" s="11" t="s">
        <v>10952</v>
      </c>
      <c r="L1808" s="11" t="s">
        <v>10953</v>
      </c>
      <c r="M1808" s="11"/>
      <c r="N1808" s="14" t="n">
        <v>3</v>
      </c>
      <c r="O1808" s="14" t="n">
        <v>3</v>
      </c>
      <c r="P1808" s="14" t="n">
        <v>4</v>
      </c>
      <c r="Q1808" s="14"/>
      <c r="R1808" s="12" t="n">
        <f aca="false">IF(OR(N1808="",P1808=""),"",ROUND(N1808*O1808/P1808,1))</f>
        <v>2.3</v>
      </c>
      <c r="S1808" s="13" t="n">
        <f aca="false">IF(R1808="","",IF(Q1808="Y",1,IF(P1808&gt;='Read me'!$B$16,3,IF(AND(R1808&gt;='Read me'!$B$14,P1808&lt;='Read me'!$B$15),1,2))))</f>
        <v>3</v>
      </c>
    </row>
    <row r="1809" customFormat="false" ht="23.85" hidden="false" customHeight="false" outlineLevel="0" collapsed="false">
      <c r="A1809" s="11" t="s">
        <v>10954</v>
      </c>
      <c r="B1809" s="11" t="s">
        <v>48</v>
      </c>
      <c r="C1809" s="11" t="s">
        <v>401</v>
      </c>
      <c r="D1809" s="11" t="s">
        <v>402</v>
      </c>
      <c r="E1809" s="11" t="s">
        <v>765</v>
      </c>
      <c r="F1809" s="11" t="s">
        <v>10955</v>
      </c>
      <c r="G1809" s="11"/>
      <c r="H1809" s="11"/>
      <c r="I1809" s="11" t="s">
        <v>10956</v>
      </c>
      <c r="J1809" s="11" t="s">
        <v>10957</v>
      </c>
      <c r="K1809" s="11" t="s">
        <v>2396</v>
      </c>
      <c r="L1809" s="11" t="s">
        <v>10958</v>
      </c>
      <c r="M1809" s="11"/>
      <c r="N1809" s="14" t="n">
        <v>3</v>
      </c>
      <c r="O1809" s="14" t="n">
        <v>3</v>
      </c>
      <c r="P1809" s="14" t="n">
        <v>3</v>
      </c>
      <c r="Q1809" s="14"/>
      <c r="R1809" s="12" t="n">
        <f aca="false">IF(OR(N1809="",P1809=""),"",ROUND(N1809*O1809/P1809,1))</f>
        <v>3</v>
      </c>
      <c r="S1809" s="13" t="n">
        <f aca="false">IF(R1809="","",IF(Q1809="Y",1,IF(P1809&gt;='Read me'!$B$16,3,IF(AND(R1809&gt;='Read me'!$B$14,P1809&lt;='Read me'!$B$15),1,2))))</f>
        <v>2</v>
      </c>
    </row>
    <row r="1810" customFormat="false" ht="35.05" hidden="false" customHeight="false" outlineLevel="0" collapsed="false">
      <c r="A1810" s="11" t="s">
        <v>10959</v>
      </c>
      <c r="B1810" s="11" t="s">
        <v>48</v>
      </c>
      <c r="C1810" s="11" t="s">
        <v>401</v>
      </c>
      <c r="D1810" s="11" t="s">
        <v>402</v>
      </c>
      <c r="E1810" s="11" t="s">
        <v>765</v>
      </c>
      <c r="F1810" s="11" t="s">
        <v>10960</v>
      </c>
      <c r="G1810" s="11" t="s">
        <v>10961</v>
      </c>
      <c r="H1810" s="11"/>
      <c r="I1810" s="11" t="s">
        <v>10962</v>
      </c>
      <c r="J1810" s="11" t="s">
        <v>10963</v>
      </c>
      <c r="K1810" s="11" t="s">
        <v>890</v>
      </c>
      <c r="L1810" s="11" t="s">
        <v>10964</v>
      </c>
      <c r="M1810" s="11" t="s">
        <v>10929</v>
      </c>
      <c r="N1810" s="14" t="n">
        <v>2</v>
      </c>
      <c r="O1810" s="14" t="n">
        <v>3</v>
      </c>
      <c r="P1810" s="14" t="n">
        <v>4</v>
      </c>
      <c r="Q1810" s="14"/>
      <c r="R1810" s="12" t="n">
        <f aca="false">IF(OR(N1810="",P1810=""),"",ROUND(N1810*O1810/P1810,1))</f>
        <v>1.5</v>
      </c>
      <c r="S1810" s="13" t="n">
        <f aca="false">IF(R1810="","",IF(Q1810="Y",1,IF(P1810&gt;='Read me'!$B$16,3,IF(AND(R1810&gt;='Read me'!$B$14,P1810&lt;='Read me'!$B$15),1,2))))</f>
        <v>3</v>
      </c>
    </row>
    <row r="1811" customFormat="false" ht="35.05" hidden="false" customHeight="false" outlineLevel="0" collapsed="false">
      <c r="A1811" s="11" t="s">
        <v>10965</v>
      </c>
      <c r="B1811" s="11" t="s">
        <v>48</v>
      </c>
      <c r="C1811" s="11" t="s">
        <v>401</v>
      </c>
      <c r="D1811" s="11" t="s">
        <v>402</v>
      </c>
      <c r="E1811" s="11" t="s">
        <v>765</v>
      </c>
      <c r="F1811" s="11" t="s">
        <v>10966</v>
      </c>
      <c r="G1811" s="11" t="s">
        <v>10967</v>
      </c>
      <c r="H1811" s="11"/>
      <c r="I1811" s="11" t="s">
        <v>10968</v>
      </c>
      <c r="J1811" s="11" t="s">
        <v>10969</v>
      </c>
      <c r="K1811" s="11" t="s">
        <v>916</v>
      </c>
      <c r="L1811" s="11" t="s">
        <v>10970</v>
      </c>
      <c r="M1811" s="11" t="s">
        <v>10929</v>
      </c>
      <c r="N1811" s="14" t="n">
        <v>2</v>
      </c>
      <c r="O1811" s="14" t="n">
        <v>3</v>
      </c>
      <c r="P1811" s="14" t="n">
        <v>5</v>
      </c>
      <c r="Q1811" s="14"/>
      <c r="R1811" s="12" t="n">
        <f aca="false">IF(OR(N1811="",P1811=""),"",ROUND(N1811*O1811/P1811,1))</f>
        <v>1.2</v>
      </c>
      <c r="S1811" s="13" t="n">
        <f aca="false">IF(R1811="","",IF(Q1811="Y",1,IF(P1811&gt;='Read me'!$B$16,3,IF(AND(R1811&gt;='Read me'!$B$14,P1811&lt;='Read me'!$B$15),1,2))))</f>
        <v>3</v>
      </c>
    </row>
    <row r="1812" customFormat="false" ht="23.85" hidden="false" customHeight="false" outlineLevel="0" collapsed="false">
      <c r="A1812" s="11" t="s">
        <v>10971</v>
      </c>
      <c r="B1812" s="11" t="s">
        <v>48</v>
      </c>
      <c r="C1812" s="11" t="s">
        <v>401</v>
      </c>
      <c r="D1812" s="11" t="s">
        <v>402</v>
      </c>
      <c r="E1812" s="11" t="s">
        <v>765</v>
      </c>
      <c r="F1812" s="11" t="s">
        <v>10972</v>
      </c>
      <c r="G1812" s="11" t="s">
        <v>9631</v>
      </c>
      <c r="H1812" s="11"/>
      <c r="I1812" s="11" t="s">
        <v>10973</v>
      </c>
      <c r="J1812" s="11" t="s">
        <v>10974</v>
      </c>
      <c r="K1812" s="11" t="s">
        <v>5612</v>
      </c>
      <c r="L1812" s="11" t="s">
        <v>10975</v>
      </c>
      <c r="M1812" s="11"/>
      <c r="N1812" s="14" t="n">
        <v>2</v>
      </c>
      <c r="O1812" s="14" t="n">
        <v>3</v>
      </c>
      <c r="P1812" s="14" t="n">
        <v>4</v>
      </c>
      <c r="Q1812" s="14"/>
      <c r="R1812" s="12" t="n">
        <f aca="false">IF(OR(N1812="",P1812=""),"",ROUND(N1812*O1812/P1812,1))</f>
        <v>1.5</v>
      </c>
      <c r="S1812" s="13" t="n">
        <f aca="false">IF(R1812="","",IF(Q1812="Y",1,IF(P1812&gt;='Read me'!$B$16,3,IF(AND(R1812&gt;='Read me'!$B$14,P1812&lt;='Read me'!$B$15),1,2))))</f>
        <v>3</v>
      </c>
    </row>
    <row r="1813" customFormat="false" ht="23.85" hidden="false" customHeight="false" outlineLevel="0" collapsed="false">
      <c r="A1813" s="11" t="s">
        <v>10976</v>
      </c>
      <c r="B1813" s="11" t="s">
        <v>48</v>
      </c>
      <c r="C1813" s="11" t="s">
        <v>401</v>
      </c>
      <c r="D1813" s="11" t="s">
        <v>402</v>
      </c>
      <c r="E1813" s="11" t="s">
        <v>765</v>
      </c>
      <c r="F1813" s="11" t="s">
        <v>10977</v>
      </c>
      <c r="G1813" s="11" t="s">
        <v>6948</v>
      </c>
      <c r="H1813" s="11"/>
      <c r="I1813" s="11" t="s">
        <v>10978</v>
      </c>
      <c r="J1813" s="11" t="s">
        <v>10979</v>
      </c>
      <c r="K1813" s="11" t="s">
        <v>10980</v>
      </c>
      <c r="L1813" s="11" t="s">
        <v>10981</v>
      </c>
      <c r="M1813" s="11"/>
      <c r="N1813" s="14" t="n">
        <v>1</v>
      </c>
      <c r="O1813" s="14" t="n">
        <v>3</v>
      </c>
      <c r="P1813" s="14" t="n">
        <v>4</v>
      </c>
      <c r="Q1813" s="14"/>
      <c r="R1813" s="12" t="n">
        <f aca="false">IF(OR(N1813="",P1813=""),"",ROUND(N1813*O1813/P1813,1))</f>
        <v>0.8</v>
      </c>
      <c r="S1813" s="13" t="n">
        <f aca="false">IF(R1813="","",IF(Q1813="Y",1,IF(P1813&gt;='Read me'!$B$16,3,IF(AND(R1813&gt;='Read me'!$B$14,P1813&lt;='Read me'!$B$15),1,2))))</f>
        <v>3</v>
      </c>
    </row>
    <row r="1814" customFormat="false" ht="35.05" hidden="false" customHeight="false" outlineLevel="0" collapsed="false">
      <c r="A1814" s="11" t="s">
        <v>10982</v>
      </c>
      <c r="B1814" s="11" t="s">
        <v>48</v>
      </c>
      <c r="C1814" s="11" t="s">
        <v>401</v>
      </c>
      <c r="D1814" s="11" t="s">
        <v>402</v>
      </c>
      <c r="E1814" s="11" t="s">
        <v>765</v>
      </c>
      <c r="F1814" s="11" t="s">
        <v>10983</v>
      </c>
      <c r="G1814" s="11" t="s">
        <v>160</v>
      </c>
      <c r="H1814" s="11"/>
      <c r="I1814" s="11" t="s">
        <v>10984</v>
      </c>
      <c r="J1814" s="11" t="s">
        <v>10985</v>
      </c>
      <c r="K1814" s="11" t="s">
        <v>1061</v>
      </c>
      <c r="L1814" s="11" t="s">
        <v>10986</v>
      </c>
      <c r="M1814" s="11" t="s">
        <v>10929</v>
      </c>
      <c r="N1814" s="14" t="n">
        <v>2</v>
      </c>
      <c r="O1814" s="14" t="n">
        <v>3</v>
      </c>
      <c r="P1814" s="14" t="n">
        <v>4</v>
      </c>
      <c r="Q1814" s="14"/>
      <c r="R1814" s="12" t="n">
        <f aca="false">IF(OR(N1814="",P1814=""),"",ROUND(N1814*O1814/P1814,1))</f>
        <v>1.5</v>
      </c>
      <c r="S1814" s="13" t="n">
        <f aca="false">IF(R1814="","",IF(Q1814="Y",1,IF(P1814&gt;='Read me'!$B$16,3,IF(AND(R1814&gt;='Read me'!$B$14,P1814&lt;='Read me'!$B$15),1,2))))</f>
        <v>3</v>
      </c>
    </row>
    <row r="1815" customFormat="false" ht="35.05" hidden="false" customHeight="false" outlineLevel="0" collapsed="false">
      <c r="A1815" s="11" t="s">
        <v>10987</v>
      </c>
      <c r="B1815" s="11" t="s">
        <v>48</v>
      </c>
      <c r="C1815" s="11" t="s">
        <v>401</v>
      </c>
      <c r="D1815" s="11" t="s">
        <v>402</v>
      </c>
      <c r="E1815" s="11" t="s">
        <v>765</v>
      </c>
      <c r="F1815" s="11" t="s">
        <v>10988</v>
      </c>
      <c r="G1815" s="11" t="s">
        <v>10989</v>
      </c>
      <c r="H1815" s="11"/>
      <c r="I1815" s="11" t="s">
        <v>10990</v>
      </c>
      <c r="J1815" s="11" t="s">
        <v>10991</v>
      </c>
      <c r="K1815" s="11" t="s">
        <v>10992</v>
      </c>
      <c r="L1815" s="11" t="s">
        <v>10993</v>
      </c>
      <c r="M1815" s="11" t="s">
        <v>10994</v>
      </c>
      <c r="N1815" s="14" t="n">
        <v>2</v>
      </c>
      <c r="O1815" s="14" t="n">
        <v>4</v>
      </c>
      <c r="P1815" s="14" t="n">
        <v>4</v>
      </c>
      <c r="Q1815" s="14"/>
      <c r="R1815" s="12" t="n">
        <f aca="false">IF(OR(N1815="",P1815=""),"",ROUND(N1815*O1815/P1815,1))</f>
        <v>2</v>
      </c>
      <c r="S1815" s="13" t="n">
        <f aca="false">IF(R1815="","",IF(Q1815="Y",1,IF(P1815&gt;='Read me'!$B$16,3,IF(AND(R1815&gt;='Read me'!$B$14,P1815&lt;='Read me'!$B$15),1,2))))</f>
        <v>3</v>
      </c>
    </row>
    <row r="1816" customFormat="false" ht="23.85" hidden="false" customHeight="false" outlineLevel="0" collapsed="false">
      <c r="A1816" s="11" t="s">
        <v>10995</v>
      </c>
      <c r="B1816" s="11" t="s">
        <v>48</v>
      </c>
      <c r="C1816" s="11" t="s">
        <v>401</v>
      </c>
      <c r="D1816" s="11" t="s">
        <v>402</v>
      </c>
      <c r="E1816" s="11" t="s">
        <v>1081</v>
      </c>
      <c r="F1816" s="11" t="s">
        <v>10996</v>
      </c>
      <c r="G1816" s="11" t="s">
        <v>10292</v>
      </c>
      <c r="H1816" s="11"/>
      <c r="I1816" s="11" t="s">
        <v>10997</v>
      </c>
      <c r="J1816" s="11" t="s">
        <v>10998</v>
      </c>
      <c r="K1816" s="11" t="s">
        <v>10999</v>
      </c>
      <c r="L1816" s="11" t="s">
        <v>11000</v>
      </c>
      <c r="M1816" s="11" t="s">
        <v>11001</v>
      </c>
      <c r="N1816" s="14" t="n">
        <v>1</v>
      </c>
      <c r="O1816" s="14" t="n">
        <v>5</v>
      </c>
      <c r="P1816" s="14" t="n">
        <v>5</v>
      </c>
      <c r="Q1816" s="14"/>
      <c r="R1816" s="12" t="n">
        <f aca="false">IF(OR(N1816="",P1816=""),"",ROUND(N1816*O1816/P1816,1))</f>
        <v>1</v>
      </c>
      <c r="S1816" s="13" t="n">
        <f aca="false">IF(R1816="","",IF(Q1816="Y",1,IF(P1816&gt;='Read me'!$B$16,3,IF(AND(R1816&gt;='Read me'!$B$14,P1816&lt;='Read me'!$B$15),1,2))))</f>
        <v>3</v>
      </c>
    </row>
    <row r="1817" customFormat="false" ht="35.05" hidden="false" customHeight="false" outlineLevel="0" collapsed="false">
      <c r="A1817" s="11" t="s">
        <v>11002</v>
      </c>
      <c r="B1817" s="11" t="s">
        <v>48</v>
      </c>
      <c r="C1817" s="11" t="s">
        <v>401</v>
      </c>
      <c r="D1817" s="11" t="s">
        <v>402</v>
      </c>
      <c r="E1817" s="11" t="s">
        <v>1187</v>
      </c>
      <c r="F1817" s="11" t="s">
        <v>10924</v>
      </c>
      <c r="G1817" s="11" t="s">
        <v>11003</v>
      </c>
      <c r="H1817" s="11" t="s">
        <v>11004</v>
      </c>
      <c r="I1817" s="11" t="s">
        <v>11005</v>
      </c>
      <c r="J1817" s="11" t="s">
        <v>11006</v>
      </c>
      <c r="K1817" s="11" t="s">
        <v>916</v>
      </c>
      <c r="L1817" s="11" t="s">
        <v>11007</v>
      </c>
      <c r="M1817" s="11"/>
      <c r="N1817" s="14" t="n">
        <v>2</v>
      </c>
      <c r="O1817" s="14" t="n">
        <v>3</v>
      </c>
      <c r="P1817" s="14" t="n">
        <v>4</v>
      </c>
      <c r="Q1817" s="14"/>
      <c r="R1817" s="12" t="n">
        <f aca="false">IF(OR(N1817="",P1817=""),"",ROUND(N1817*O1817/P1817,1))</f>
        <v>1.5</v>
      </c>
      <c r="S1817" s="13" t="n">
        <f aca="false">IF(R1817="","",IF(Q1817="Y",1,IF(P1817&gt;='Read me'!$B$16,3,IF(AND(R1817&gt;='Read me'!$B$14,P1817&lt;='Read me'!$B$15),1,2))))</f>
        <v>3</v>
      </c>
    </row>
    <row r="1818" customFormat="false" ht="35.05" hidden="false" customHeight="false" outlineLevel="0" collapsed="false">
      <c r="A1818" s="11" t="s">
        <v>11008</v>
      </c>
      <c r="B1818" s="11" t="s">
        <v>48</v>
      </c>
      <c r="C1818" s="11" t="s">
        <v>401</v>
      </c>
      <c r="D1818" s="11" t="s">
        <v>402</v>
      </c>
      <c r="E1818" s="11" t="s">
        <v>1187</v>
      </c>
      <c r="F1818" s="11" t="s">
        <v>11009</v>
      </c>
      <c r="G1818" s="11" t="s">
        <v>11010</v>
      </c>
      <c r="H1818" s="11"/>
      <c r="I1818" s="11" t="s">
        <v>11011</v>
      </c>
      <c r="J1818" s="11" t="s">
        <v>11012</v>
      </c>
      <c r="K1818" s="11" t="s">
        <v>11013</v>
      </c>
      <c r="L1818" s="11" t="s">
        <v>11014</v>
      </c>
      <c r="M1818" s="11"/>
      <c r="N1818" s="14" t="n">
        <v>2</v>
      </c>
      <c r="O1818" s="14" t="n">
        <v>3</v>
      </c>
      <c r="P1818" s="14" t="n">
        <v>3</v>
      </c>
      <c r="Q1818" s="14"/>
      <c r="R1818" s="12" t="n">
        <f aca="false">IF(OR(N1818="",P1818=""),"",ROUND(N1818*O1818/P1818,1))</f>
        <v>2</v>
      </c>
      <c r="S1818" s="13" t="n">
        <f aca="false">IF(R1818="","",IF(Q1818="Y",1,IF(P1818&gt;='Read me'!$B$16,3,IF(AND(R1818&gt;='Read me'!$B$14,P1818&lt;='Read me'!$B$15),1,2))))</f>
        <v>2</v>
      </c>
    </row>
    <row r="1819" customFormat="false" ht="35.05" hidden="false" customHeight="false" outlineLevel="0" collapsed="false">
      <c r="A1819" s="11" t="s">
        <v>11015</v>
      </c>
      <c r="B1819" s="11" t="s">
        <v>48</v>
      </c>
      <c r="C1819" s="11" t="s">
        <v>401</v>
      </c>
      <c r="D1819" s="11" t="s">
        <v>402</v>
      </c>
      <c r="E1819" s="11" t="s">
        <v>1187</v>
      </c>
      <c r="F1819" s="11" t="s">
        <v>9734</v>
      </c>
      <c r="G1819" s="11" t="s">
        <v>11016</v>
      </c>
      <c r="H1819" s="11"/>
      <c r="I1819" s="11" t="s">
        <v>11017</v>
      </c>
      <c r="J1819" s="11" t="s">
        <v>11018</v>
      </c>
      <c r="K1819" s="11" t="s">
        <v>5612</v>
      </c>
      <c r="L1819" s="11" t="s">
        <v>11019</v>
      </c>
      <c r="M1819" s="11"/>
      <c r="N1819" s="14" t="n">
        <v>2</v>
      </c>
      <c r="O1819" s="14" t="n">
        <v>4</v>
      </c>
      <c r="P1819" s="14" t="n">
        <v>4</v>
      </c>
      <c r="Q1819" s="14"/>
      <c r="R1819" s="12" t="n">
        <f aca="false">IF(OR(N1819="",P1819=""),"",ROUND(N1819*O1819/P1819,1))</f>
        <v>2</v>
      </c>
      <c r="S1819" s="13" t="n">
        <f aca="false">IF(R1819="","",IF(Q1819="Y",1,IF(P1819&gt;='Read me'!$B$16,3,IF(AND(R1819&gt;='Read me'!$B$14,P1819&lt;='Read me'!$B$15),1,2))))</f>
        <v>3</v>
      </c>
    </row>
    <row r="1820" customFormat="false" ht="35.05" hidden="false" customHeight="false" outlineLevel="0" collapsed="false">
      <c r="A1820" s="11" t="s">
        <v>11020</v>
      </c>
      <c r="B1820" s="11" t="s">
        <v>48</v>
      </c>
      <c r="C1820" s="11" t="s">
        <v>401</v>
      </c>
      <c r="D1820" s="11" t="s">
        <v>402</v>
      </c>
      <c r="E1820" s="11" t="s">
        <v>1187</v>
      </c>
      <c r="F1820" s="11" t="s">
        <v>11021</v>
      </c>
      <c r="G1820" s="11"/>
      <c r="H1820" s="11"/>
      <c r="I1820" s="11" t="s">
        <v>11022</v>
      </c>
      <c r="J1820" s="11" t="s">
        <v>11023</v>
      </c>
      <c r="K1820" s="11" t="s">
        <v>10642</v>
      </c>
      <c r="L1820" s="11" t="s">
        <v>11024</v>
      </c>
      <c r="M1820" s="11"/>
      <c r="N1820" s="14" t="n">
        <v>2</v>
      </c>
      <c r="O1820" s="14" t="n">
        <v>3</v>
      </c>
      <c r="P1820" s="14" t="n">
        <v>4</v>
      </c>
      <c r="Q1820" s="14"/>
      <c r="R1820" s="12" t="n">
        <f aca="false">IF(OR(N1820="",P1820=""),"",ROUND(N1820*O1820/P1820,1))</f>
        <v>1.5</v>
      </c>
      <c r="S1820" s="13" t="n">
        <f aca="false">IF(R1820="","",IF(Q1820="Y",1,IF(P1820&gt;='Read me'!$B$16,3,IF(AND(R1820&gt;='Read me'!$B$14,P1820&lt;='Read me'!$B$15),1,2))))</f>
        <v>3</v>
      </c>
    </row>
    <row r="1821" customFormat="false" ht="35.05" hidden="false" customHeight="false" outlineLevel="0" collapsed="false">
      <c r="A1821" s="11" t="s">
        <v>11025</v>
      </c>
      <c r="B1821" s="11" t="s">
        <v>48</v>
      </c>
      <c r="C1821" s="11" t="s">
        <v>401</v>
      </c>
      <c r="D1821" s="11" t="s">
        <v>402</v>
      </c>
      <c r="E1821" s="11" t="s">
        <v>1187</v>
      </c>
      <c r="F1821" s="11" t="s">
        <v>11026</v>
      </c>
      <c r="G1821" s="11" t="s">
        <v>11027</v>
      </c>
      <c r="H1821" s="11"/>
      <c r="I1821" s="11" t="s">
        <v>11028</v>
      </c>
      <c r="J1821" s="11" t="s">
        <v>11029</v>
      </c>
      <c r="K1821" s="11" t="s">
        <v>10602</v>
      </c>
      <c r="L1821" s="11" t="s">
        <v>11030</v>
      </c>
      <c r="M1821" s="11" t="s">
        <v>10929</v>
      </c>
      <c r="N1821" s="14" t="n">
        <v>2</v>
      </c>
      <c r="O1821" s="14" t="n">
        <v>3</v>
      </c>
      <c r="P1821" s="14" t="n">
        <v>3</v>
      </c>
      <c r="Q1821" s="14"/>
      <c r="R1821" s="12" t="n">
        <f aca="false">IF(OR(N1821="",P1821=""),"",ROUND(N1821*O1821/P1821,1))</f>
        <v>2</v>
      </c>
      <c r="S1821" s="13" t="n">
        <f aca="false">IF(R1821="","",IF(Q1821="Y",1,IF(P1821&gt;='Read me'!$B$16,3,IF(AND(R1821&gt;='Read me'!$B$14,P1821&lt;='Read me'!$B$15),1,2))))</f>
        <v>2</v>
      </c>
    </row>
    <row r="1822" customFormat="false" ht="35.05" hidden="false" customHeight="false" outlineLevel="0" collapsed="false">
      <c r="A1822" s="11" t="s">
        <v>11031</v>
      </c>
      <c r="B1822" s="11" t="s">
        <v>48</v>
      </c>
      <c r="C1822" s="11" t="s">
        <v>401</v>
      </c>
      <c r="D1822" s="11" t="s">
        <v>402</v>
      </c>
      <c r="E1822" s="11" t="s">
        <v>1187</v>
      </c>
      <c r="F1822" s="11" t="s">
        <v>11032</v>
      </c>
      <c r="G1822" s="11"/>
      <c r="H1822" s="11" t="s">
        <v>10689</v>
      </c>
      <c r="I1822" s="11" t="s">
        <v>11033</v>
      </c>
      <c r="J1822" s="11" t="s">
        <v>11034</v>
      </c>
      <c r="K1822" s="11" t="s">
        <v>2061</v>
      </c>
      <c r="L1822" s="11" t="s">
        <v>11035</v>
      </c>
      <c r="M1822" s="11" t="s">
        <v>11036</v>
      </c>
      <c r="N1822" s="14" t="n">
        <v>1</v>
      </c>
      <c r="O1822" s="14" t="n">
        <v>4</v>
      </c>
      <c r="P1822" s="14" t="n">
        <v>5</v>
      </c>
      <c r="Q1822" s="14"/>
      <c r="R1822" s="12" t="n">
        <f aca="false">IF(OR(N1822="",P1822=""),"",ROUND(N1822*O1822/P1822,1))</f>
        <v>0.8</v>
      </c>
      <c r="S1822" s="13" t="n">
        <f aca="false">IF(R1822="","",IF(Q1822="Y",1,IF(P1822&gt;='Read me'!$B$16,3,IF(AND(R1822&gt;='Read me'!$B$14,P1822&lt;='Read me'!$B$15),1,2))))</f>
        <v>3</v>
      </c>
    </row>
    <row r="1823" customFormat="false" ht="23.85" hidden="false" customHeight="false" outlineLevel="0" collapsed="false">
      <c r="A1823" s="11" t="s">
        <v>11037</v>
      </c>
      <c r="B1823" s="11" t="s">
        <v>48</v>
      </c>
      <c r="C1823" s="11" t="s">
        <v>401</v>
      </c>
      <c r="D1823" s="11" t="s">
        <v>402</v>
      </c>
      <c r="E1823" s="11" t="s">
        <v>1133</v>
      </c>
      <c r="F1823" s="11" t="s">
        <v>11038</v>
      </c>
      <c r="G1823" s="11"/>
      <c r="H1823" s="11"/>
      <c r="I1823" s="11" t="s">
        <v>11039</v>
      </c>
      <c r="J1823" s="11" t="s">
        <v>11040</v>
      </c>
      <c r="K1823" s="11" t="s">
        <v>9467</v>
      </c>
      <c r="L1823" s="11" t="s">
        <v>9743</v>
      </c>
      <c r="M1823" s="11"/>
      <c r="N1823" s="14" t="n">
        <v>2</v>
      </c>
      <c r="O1823" s="14" t="n">
        <v>3</v>
      </c>
      <c r="P1823" s="14" t="n">
        <v>3</v>
      </c>
      <c r="Q1823" s="14"/>
      <c r="R1823" s="12" t="n">
        <f aca="false">IF(OR(N1823="",P1823=""),"",ROUND(N1823*O1823/P1823,1))</f>
        <v>2</v>
      </c>
      <c r="S1823" s="13" t="n">
        <f aca="false">IF(R1823="","",IF(Q1823="Y",1,IF(P1823&gt;='Read me'!$B$16,3,IF(AND(R1823&gt;='Read me'!$B$14,P1823&lt;='Read me'!$B$15),1,2))))</f>
        <v>2</v>
      </c>
    </row>
    <row r="1824" customFormat="false" ht="23.85" hidden="false" customHeight="false" outlineLevel="0" collapsed="false">
      <c r="A1824" s="11" t="s">
        <v>11041</v>
      </c>
      <c r="B1824" s="11" t="s">
        <v>48</v>
      </c>
      <c r="C1824" s="11" t="s">
        <v>401</v>
      </c>
      <c r="D1824" s="11" t="s">
        <v>402</v>
      </c>
      <c r="E1824" s="11" t="s">
        <v>1372</v>
      </c>
      <c r="F1824" s="11" t="s">
        <v>11042</v>
      </c>
      <c r="G1824" s="11"/>
      <c r="H1824" s="11"/>
      <c r="I1824" s="11" t="s">
        <v>11043</v>
      </c>
      <c r="J1824" s="11" t="s">
        <v>11044</v>
      </c>
      <c r="K1824" s="11" t="s">
        <v>11045</v>
      </c>
      <c r="L1824" s="11" t="s">
        <v>11046</v>
      </c>
      <c r="M1824" s="11"/>
      <c r="N1824" s="14" t="n">
        <v>2</v>
      </c>
      <c r="O1824" s="14" t="n">
        <v>2</v>
      </c>
      <c r="P1824" s="14" t="n">
        <v>2</v>
      </c>
      <c r="Q1824" s="14"/>
      <c r="R1824" s="12" t="n">
        <f aca="false">IF(OR(N1824="",P1824=""),"",ROUND(N1824*O1824/P1824,1))</f>
        <v>2</v>
      </c>
      <c r="S1824" s="13" t="n">
        <f aca="false">IF(R1824="","",IF(Q1824="Y",1,IF(P1824&gt;='Read me'!$B$16,3,IF(AND(R1824&gt;='Read me'!$B$14,P1824&lt;='Read me'!$B$15),1,2))))</f>
        <v>2</v>
      </c>
    </row>
    <row r="1825" customFormat="false" ht="23.85" hidden="false" customHeight="false" outlineLevel="0" collapsed="false">
      <c r="A1825" s="11" t="s">
        <v>11047</v>
      </c>
      <c r="B1825" s="11" t="s">
        <v>48</v>
      </c>
      <c r="C1825" s="11" t="s">
        <v>401</v>
      </c>
      <c r="D1825" s="11" t="s">
        <v>402</v>
      </c>
      <c r="E1825" s="11" t="s">
        <v>1372</v>
      </c>
      <c r="F1825" s="11" t="s">
        <v>11048</v>
      </c>
      <c r="G1825" s="11" t="s">
        <v>11049</v>
      </c>
      <c r="H1825" s="11"/>
      <c r="I1825" s="11" t="s">
        <v>11050</v>
      </c>
      <c r="J1825" s="11" t="s">
        <v>11051</v>
      </c>
      <c r="K1825" s="11" t="s">
        <v>4527</v>
      </c>
      <c r="L1825" s="11" t="s">
        <v>11052</v>
      </c>
      <c r="M1825" s="11"/>
      <c r="N1825" s="14" t="n">
        <v>1</v>
      </c>
      <c r="O1825" s="14" t="n">
        <v>3</v>
      </c>
      <c r="P1825" s="14" t="n">
        <v>4</v>
      </c>
      <c r="Q1825" s="14"/>
      <c r="R1825" s="12" t="n">
        <f aca="false">IF(OR(N1825="",P1825=""),"",ROUND(N1825*O1825/P1825,1))</f>
        <v>0.8</v>
      </c>
      <c r="S1825" s="13" t="n">
        <f aca="false">IF(R1825="","",IF(Q1825="Y",1,IF(P1825&gt;='Read me'!$B$16,3,IF(AND(R1825&gt;='Read me'!$B$14,P1825&lt;='Read me'!$B$15),1,2))))</f>
        <v>3</v>
      </c>
    </row>
    <row r="1826" customFormat="false" ht="23.85" hidden="false" customHeight="false" outlineLevel="0" collapsed="false">
      <c r="A1826" s="11" t="s">
        <v>11053</v>
      </c>
      <c r="B1826" s="11" t="s">
        <v>48</v>
      </c>
      <c r="C1826" s="11" t="s">
        <v>401</v>
      </c>
      <c r="D1826" s="11" t="s">
        <v>402</v>
      </c>
      <c r="E1826" s="11" t="s">
        <v>1372</v>
      </c>
      <c r="F1826" s="11" t="s">
        <v>11054</v>
      </c>
      <c r="G1826" s="11" t="s">
        <v>11055</v>
      </c>
      <c r="H1826" s="11"/>
      <c r="I1826" s="11" t="s">
        <v>512</v>
      </c>
      <c r="J1826" s="11" t="s">
        <v>11056</v>
      </c>
      <c r="K1826" s="11" t="s">
        <v>9686</v>
      </c>
      <c r="L1826" s="11" t="s">
        <v>11057</v>
      </c>
      <c r="M1826" s="11"/>
      <c r="N1826" s="14" t="n">
        <v>1</v>
      </c>
      <c r="O1826" s="14" t="n">
        <v>4</v>
      </c>
      <c r="P1826" s="14" t="n">
        <v>4</v>
      </c>
      <c r="Q1826" s="14"/>
      <c r="R1826" s="12" t="n">
        <f aca="false">IF(OR(N1826="",P1826=""),"",ROUND(N1826*O1826/P1826,1))</f>
        <v>1</v>
      </c>
      <c r="S1826" s="13" t="n">
        <f aca="false">IF(R1826="","",IF(Q1826="Y",1,IF(P1826&gt;='Read me'!$B$16,3,IF(AND(R1826&gt;='Read me'!$B$14,P1826&lt;='Read me'!$B$15),1,2))))</f>
        <v>3</v>
      </c>
    </row>
    <row r="1827" customFormat="false" ht="23.85" hidden="false" customHeight="false" outlineLevel="0" collapsed="false">
      <c r="A1827" s="11" t="s">
        <v>11058</v>
      </c>
      <c r="B1827" s="11" t="s">
        <v>48</v>
      </c>
      <c r="C1827" s="11" t="s">
        <v>401</v>
      </c>
      <c r="D1827" s="11" t="s">
        <v>402</v>
      </c>
      <c r="E1827" s="11" t="s">
        <v>1372</v>
      </c>
      <c r="F1827" s="11" t="s">
        <v>11059</v>
      </c>
      <c r="G1827" s="11" t="s">
        <v>11060</v>
      </c>
      <c r="H1827" s="11"/>
      <c r="I1827" s="11" t="s">
        <v>11061</v>
      </c>
      <c r="J1827" s="11" t="s">
        <v>11062</v>
      </c>
      <c r="K1827" s="11" t="s">
        <v>11063</v>
      </c>
      <c r="L1827" s="11" t="s">
        <v>11064</v>
      </c>
      <c r="M1827" s="11"/>
      <c r="N1827" s="14" t="n">
        <v>1</v>
      </c>
      <c r="O1827" s="14" t="n">
        <v>2</v>
      </c>
      <c r="P1827" s="14" t="n">
        <v>3</v>
      </c>
      <c r="Q1827" s="14"/>
      <c r="R1827" s="12" t="n">
        <f aca="false">IF(OR(N1827="",P1827=""),"",ROUND(N1827*O1827/P1827,1))</f>
        <v>0.7</v>
      </c>
      <c r="S1827" s="13" t="n">
        <f aca="false">IF(R1827="","",IF(Q1827="Y",1,IF(P1827&gt;='Read me'!$B$16,3,IF(AND(R1827&gt;='Read me'!$B$14,P1827&lt;='Read me'!$B$15),1,2))))</f>
        <v>2</v>
      </c>
    </row>
    <row r="1828" customFormat="false" ht="35.05" hidden="false" customHeight="false" outlineLevel="0" collapsed="false">
      <c r="A1828" s="11" t="s">
        <v>11065</v>
      </c>
      <c r="B1828" s="11" t="s">
        <v>48</v>
      </c>
      <c r="C1828" s="11" t="s">
        <v>404</v>
      </c>
      <c r="D1828" s="11" t="s">
        <v>405</v>
      </c>
      <c r="E1828" s="11" t="s">
        <v>476</v>
      </c>
      <c r="F1828" s="11" t="s">
        <v>11066</v>
      </c>
      <c r="G1828" s="11" t="s">
        <v>11067</v>
      </c>
      <c r="H1828" s="11"/>
      <c r="I1828" s="11" t="s">
        <v>11068</v>
      </c>
      <c r="J1828" s="11" t="s">
        <v>11069</v>
      </c>
      <c r="K1828" s="11" t="s">
        <v>11070</v>
      </c>
      <c r="L1828" s="11" t="s">
        <v>11071</v>
      </c>
      <c r="M1828" s="11"/>
      <c r="N1828" s="14" t="n">
        <v>5</v>
      </c>
      <c r="O1828" s="14" t="n">
        <v>4</v>
      </c>
      <c r="P1828" s="14" t="n">
        <v>2</v>
      </c>
      <c r="Q1828" s="14"/>
      <c r="R1828" s="12" t="n">
        <f aca="false">IF(OR(N1828="",P1828=""),"",ROUND(N1828*O1828/P1828,1))</f>
        <v>10</v>
      </c>
      <c r="S1828" s="13" t="n">
        <f aca="false">IF(R1828="","",IF(Q1828="Y",1,IF(P1828&gt;='Read me'!$B$16,3,IF(AND(R1828&gt;='Read me'!$B$14,P1828&lt;='Read me'!$B$15),1,2))))</f>
        <v>1</v>
      </c>
    </row>
    <row r="1829" customFormat="false" ht="23.85" hidden="false" customHeight="false" outlineLevel="0" collapsed="false">
      <c r="A1829" s="11" t="s">
        <v>11072</v>
      </c>
      <c r="B1829" s="11" t="s">
        <v>48</v>
      </c>
      <c r="C1829" s="11" t="s">
        <v>404</v>
      </c>
      <c r="D1829" s="11" t="s">
        <v>405</v>
      </c>
      <c r="E1829" s="11" t="s">
        <v>476</v>
      </c>
      <c r="F1829" s="11" t="s">
        <v>11066</v>
      </c>
      <c r="G1829" s="11" t="s">
        <v>11073</v>
      </c>
      <c r="H1829" s="11"/>
      <c r="I1829" s="11" t="s">
        <v>11074</v>
      </c>
      <c r="J1829" s="11" t="s">
        <v>11075</v>
      </c>
      <c r="K1829" s="11" t="s">
        <v>11076</v>
      </c>
      <c r="L1829" s="11" t="s">
        <v>11077</v>
      </c>
      <c r="M1829" s="11"/>
      <c r="N1829" s="14" t="n">
        <v>5</v>
      </c>
      <c r="O1829" s="14" t="n">
        <v>4</v>
      </c>
      <c r="P1829" s="14" t="n">
        <v>2</v>
      </c>
      <c r="Q1829" s="14"/>
      <c r="R1829" s="12" t="n">
        <f aca="false">IF(OR(N1829="",P1829=""),"",ROUND(N1829*O1829/P1829,1))</f>
        <v>10</v>
      </c>
      <c r="S1829" s="13" t="n">
        <f aca="false">IF(R1829="","",IF(Q1829="Y",1,IF(P1829&gt;='Read me'!$B$16,3,IF(AND(R1829&gt;='Read me'!$B$14,P1829&lt;='Read me'!$B$15),1,2))))</f>
        <v>1</v>
      </c>
    </row>
    <row r="1830" customFormat="false" ht="23.85" hidden="false" customHeight="false" outlineLevel="0" collapsed="false">
      <c r="A1830" s="11" t="s">
        <v>11078</v>
      </c>
      <c r="B1830" s="11" t="s">
        <v>48</v>
      </c>
      <c r="C1830" s="11" t="s">
        <v>404</v>
      </c>
      <c r="D1830" s="11" t="s">
        <v>405</v>
      </c>
      <c r="E1830" s="11" t="s">
        <v>476</v>
      </c>
      <c r="F1830" s="11" t="s">
        <v>11066</v>
      </c>
      <c r="G1830" s="11" t="s">
        <v>11079</v>
      </c>
      <c r="H1830" s="11"/>
      <c r="I1830" s="11" t="s">
        <v>11080</v>
      </c>
      <c r="J1830" s="11" t="s">
        <v>11081</v>
      </c>
      <c r="K1830" s="11" t="s">
        <v>11082</v>
      </c>
      <c r="L1830" s="11" t="s">
        <v>601</v>
      </c>
      <c r="M1830" s="11" t="s">
        <v>11083</v>
      </c>
      <c r="N1830" s="14" t="n">
        <v>5</v>
      </c>
      <c r="O1830" s="14" t="n">
        <v>4</v>
      </c>
      <c r="P1830" s="14" t="n">
        <v>2</v>
      </c>
      <c r="Q1830" s="14"/>
      <c r="R1830" s="12" t="n">
        <f aca="false">IF(OR(N1830="",P1830=""),"",ROUND(N1830*O1830/P1830,1))</f>
        <v>10</v>
      </c>
      <c r="S1830" s="13" t="n">
        <f aca="false">IF(R1830="","",IF(Q1830="Y",1,IF(P1830&gt;='Read me'!$B$16,3,IF(AND(R1830&gt;='Read me'!$B$14,P1830&lt;='Read me'!$B$15),1,2))))</f>
        <v>1</v>
      </c>
    </row>
    <row r="1831" customFormat="false" ht="35.05" hidden="false" customHeight="false" outlineLevel="0" collapsed="false">
      <c r="A1831" s="11" t="s">
        <v>11084</v>
      </c>
      <c r="B1831" s="11" t="s">
        <v>48</v>
      </c>
      <c r="C1831" s="11" t="s">
        <v>404</v>
      </c>
      <c r="D1831" s="11" t="s">
        <v>405</v>
      </c>
      <c r="E1831" s="11" t="s">
        <v>476</v>
      </c>
      <c r="F1831" s="11" t="s">
        <v>11066</v>
      </c>
      <c r="G1831" s="11" t="s">
        <v>10824</v>
      </c>
      <c r="H1831" s="11"/>
      <c r="I1831" s="11" t="s">
        <v>11085</v>
      </c>
      <c r="J1831" s="11" t="s">
        <v>11086</v>
      </c>
      <c r="K1831" s="11" t="s">
        <v>11087</v>
      </c>
      <c r="L1831" s="11" t="s">
        <v>11088</v>
      </c>
      <c r="M1831" s="11"/>
      <c r="N1831" s="14" t="n">
        <v>2</v>
      </c>
      <c r="O1831" s="14" t="n">
        <v>3</v>
      </c>
      <c r="P1831" s="14" t="n">
        <v>4</v>
      </c>
      <c r="Q1831" s="14"/>
      <c r="R1831" s="12" t="n">
        <f aca="false">IF(OR(N1831="",P1831=""),"",ROUND(N1831*O1831/P1831,1))</f>
        <v>1.5</v>
      </c>
      <c r="S1831" s="13" t="n">
        <f aca="false">IF(R1831="","",IF(Q1831="Y",1,IF(P1831&gt;='Read me'!$B$16,3,IF(AND(R1831&gt;='Read me'!$B$14,P1831&lt;='Read me'!$B$15),1,2))))</f>
        <v>3</v>
      </c>
    </row>
    <row r="1832" customFormat="false" ht="35.05" hidden="false" customHeight="false" outlineLevel="0" collapsed="false">
      <c r="A1832" s="11" t="s">
        <v>11089</v>
      </c>
      <c r="B1832" s="11" t="s">
        <v>48</v>
      </c>
      <c r="C1832" s="11" t="s">
        <v>404</v>
      </c>
      <c r="D1832" s="11" t="s">
        <v>405</v>
      </c>
      <c r="E1832" s="11" t="s">
        <v>476</v>
      </c>
      <c r="F1832" s="11" t="s">
        <v>11090</v>
      </c>
      <c r="G1832" s="11" t="s">
        <v>11091</v>
      </c>
      <c r="H1832" s="11"/>
      <c r="I1832" s="11" t="s">
        <v>11092</v>
      </c>
      <c r="J1832" s="11" t="s">
        <v>11093</v>
      </c>
      <c r="K1832" s="11" t="s">
        <v>890</v>
      </c>
      <c r="L1832" s="11" t="s">
        <v>11094</v>
      </c>
      <c r="M1832" s="11"/>
      <c r="N1832" s="14" t="n">
        <v>3</v>
      </c>
      <c r="O1832" s="14" t="n">
        <v>3</v>
      </c>
      <c r="P1832" s="14" t="n">
        <v>2</v>
      </c>
      <c r="Q1832" s="14"/>
      <c r="R1832" s="12" t="n">
        <f aca="false">IF(OR(N1832="",P1832=""),"",ROUND(N1832*O1832/P1832,1))</f>
        <v>4.5</v>
      </c>
      <c r="S1832" s="13" t="n">
        <f aca="false">IF(R1832="","",IF(Q1832="Y",1,IF(P1832&gt;='Read me'!$B$16,3,IF(AND(R1832&gt;='Read me'!$B$14,P1832&lt;='Read me'!$B$15),1,2))))</f>
        <v>2</v>
      </c>
    </row>
    <row r="1833" customFormat="false" ht="23.85" hidden="false" customHeight="false" outlineLevel="0" collapsed="false">
      <c r="A1833" s="11" t="s">
        <v>11095</v>
      </c>
      <c r="B1833" s="11" t="s">
        <v>48</v>
      </c>
      <c r="C1833" s="11" t="s">
        <v>404</v>
      </c>
      <c r="D1833" s="11" t="s">
        <v>405</v>
      </c>
      <c r="E1833" s="11" t="s">
        <v>476</v>
      </c>
      <c r="F1833" s="11" t="s">
        <v>11090</v>
      </c>
      <c r="G1833" s="11" t="s">
        <v>11096</v>
      </c>
      <c r="H1833" s="11"/>
      <c r="I1833" s="11" t="s">
        <v>11097</v>
      </c>
      <c r="J1833" s="11" t="s">
        <v>11098</v>
      </c>
      <c r="K1833" s="11" t="s">
        <v>5430</v>
      </c>
      <c r="L1833" s="11" t="s">
        <v>11099</v>
      </c>
      <c r="M1833" s="11"/>
      <c r="N1833" s="14" t="n">
        <v>2</v>
      </c>
      <c r="O1833" s="14" t="n">
        <v>2</v>
      </c>
      <c r="P1833" s="14" t="n">
        <v>1</v>
      </c>
      <c r="Q1833" s="14"/>
      <c r="R1833" s="12" t="n">
        <f aca="false">IF(OR(N1833="",P1833=""),"",ROUND(N1833*O1833/P1833,1))</f>
        <v>4</v>
      </c>
      <c r="S1833" s="13" t="n">
        <f aca="false">IF(R1833="","",IF(Q1833="Y",1,IF(P1833&gt;='Read me'!$B$16,3,IF(AND(R1833&gt;='Read me'!$B$14,P1833&lt;='Read me'!$B$15),1,2))))</f>
        <v>2</v>
      </c>
    </row>
    <row r="1834" customFormat="false" ht="23.85" hidden="false" customHeight="false" outlineLevel="0" collapsed="false">
      <c r="A1834" s="11" t="s">
        <v>11100</v>
      </c>
      <c r="B1834" s="11" t="s">
        <v>48</v>
      </c>
      <c r="C1834" s="11" t="s">
        <v>404</v>
      </c>
      <c r="D1834" s="11" t="s">
        <v>405</v>
      </c>
      <c r="E1834" s="11" t="s">
        <v>476</v>
      </c>
      <c r="F1834" s="11" t="s">
        <v>11101</v>
      </c>
      <c r="G1834" s="11"/>
      <c r="H1834" s="11"/>
      <c r="I1834" s="11" t="s">
        <v>11102</v>
      </c>
      <c r="J1834" s="11" t="s">
        <v>11103</v>
      </c>
      <c r="K1834" s="11" t="s">
        <v>890</v>
      </c>
      <c r="L1834" s="11" t="s">
        <v>11104</v>
      </c>
      <c r="M1834" s="11"/>
      <c r="N1834" s="14" t="n">
        <v>3</v>
      </c>
      <c r="O1834" s="14" t="n">
        <v>3</v>
      </c>
      <c r="P1834" s="14" t="n">
        <v>2</v>
      </c>
      <c r="Q1834" s="14"/>
      <c r="R1834" s="12" t="n">
        <f aca="false">IF(OR(N1834="",P1834=""),"",ROUND(N1834*O1834/P1834,1))</f>
        <v>4.5</v>
      </c>
      <c r="S1834" s="13" t="n">
        <f aca="false">IF(R1834="","",IF(Q1834="Y",1,IF(P1834&gt;='Read me'!$B$16,3,IF(AND(R1834&gt;='Read me'!$B$14,P1834&lt;='Read me'!$B$15),1,2))))</f>
        <v>2</v>
      </c>
    </row>
    <row r="1835" customFormat="false" ht="35.05" hidden="false" customHeight="false" outlineLevel="0" collapsed="false">
      <c r="A1835" s="11" t="s">
        <v>11105</v>
      </c>
      <c r="B1835" s="11" t="s">
        <v>48</v>
      </c>
      <c r="C1835" s="11" t="s">
        <v>404</v>
      </c>
      <c r="D1835" s="11" t="s">
        <v>405</v>
      </c>
      <c r="E1835" s="11" t="s">
        <v>476</v>
      </c>
      <c r="F1835" s="11" t="s">
        <v>11106</v>
      </c>
      <c r="G1835" s="11" t="s">
        <v>11107</v>
      </c>
      <c r="H1835" s="11"/>
      <c r="I1835" s="11" t="s">
        <v>11108</v>
      </c>
      <c r="J1835" s="11" t="s">
        <v>11109</v>
      </c>
      <c r="K1835" s="11" t="s">
        <v>11110</v>
      </c>
      <c r="L1835" s="11" t="s">
        <v>11111</v>
      </c>
      <c r="M1835" s="11"/>
      <c r="N1835" s="14" t="n">
        <v>3</v>
      </c>
      <c r="O1835" s="14" t="n">
        <v>4</v>
      </c>
      <c r="P1835" s="14" t="n">
        <v>2</v>
      </c>
      <c r="Q1835" s="14"/>
      <c r="R1835" s="12" t="n">
        <f aca="false">IF(OR(N1835="",P1835=""),"",ROUND(N1835*O1835/P1835,1))</f>
        <v>6</v>
      </c>
      <c r="S1835" s="13" t="n">
        <f aca="false">IF(R1835="","",IF(Q1835="Y",1,IF(P1835&gt;='Read me'!$B$16,3,IF(AND(R1835&gt;='Read me'!$B$14,P1835&lt;='Read me'!$B$15),1,2))))</f>
        <v>1</v>
      </c>
    </row>
    <row r="1836" customFormat="false" ht="35.05" hidden="false" customHeight="false" outlineLevel="0" collapsed="false">
      <c r="A1836" s="11" t="s">
        <v>11112</v>
      </c>
      <c r="B1836" s="11" t="s">
        <v>48</v>
      </c>
      <c r="C1836" s="11" t="s">
        <v>404</v>
      </c>
      <c r="D1836" s="11" t="s">
        <v>405</v>
      </c>
      <c r="E1836" s="11" t="s">
        <v>476</v>
      </c>
      <c r="F1836" s="11" t="s">
        <v>11106</v>
      </c>
      <c r="G1836" s="11" t="s">
        <v>11113</v>
      </c>
      <c r="H1836" s="11"/>
      <c r="I1836" s="11" t="s">
        <v>11114</v>
      </c>
      <c r="J1836" s="11" t="s">
        <v>11115</v>
      </c>
      <c r="K1836" s="11" t="s">
        <v>1145</v>
      </c>
      <c r="L1836" s="11" t="s">
        <v>11116</v>
      </c>
      <c r="M1836" s="11"/>
      <c r="N1836" s="14" t="n">
        <v>2</v>
      </c>
      <c r="O1836" s="14" t="n">
        <v>3</v>
      </c>
      <c r="P1836" s="14" t="n">
        <v>1</v>
      </c>
      <c r="Q1836" s="14"/>
      <c r="R1836" s="12" t="n">
        <f aca="false">IF(OR(N1836="",P1836=""),"",ROUND(N1836*O1836/P1836,1))</f>
        <v>6</v>
      </c>
      <c r="S1836" s="13" t="n">
        <f aca="false">IF(R1836="","",IF(Q1836="Y",1,IF(P1836&gt;='Read me'!$B$16,3,IF(AND(R1836&gt;='Read me'!$B$14,P1836&lt;='Read me'!$B$15),1,2))))</f>
        <v>1</v>
      </c>
    </row>
    <row r="1837" customFormat="false" ht="35.05" hidden="false" customHeight="false" outlineLevel="0" collapsed="false">
      <c r="A1837" s="11" t="s">
        <v>11117</v>
      </c>
      <c r="B1837" s="11" t="s">
        <v>48</v>
      </c>
      <c r="C1837" s="11" t="s">
        <v>404</v>
      </c>
      <c r="D1837" s="11" t="s">
        <v>405</v>
      </c>
      <c r="E1837" s="11" t="s">
        <v>476</v>
      </c>
      <c r="F1837" s="11" t="s">
        <v>11118</v>
      </c>
      <c r="G1837" s="11" t="s">
        <v>11119</v>
      </c>
      <c r="H1837" s="11"/>
      <c r="I1837" s="11" t="s">
        <v>11120</v>
      </c>
      <c r="J1837" s="11" t="s">
        <v>11121</v>
      </c>
      <c r="K1837" s="11" t="s">
        <v>11122</v>
      </c>
      <c r="L1837" s="11" t="s">
        <v>11123</v>
      </c>
      <c r="M1837" s="11"/>
      <c r="N1837" s="14" t="n">
        <v>3</v>
      </c>
      <c r="O1837" s="14" t="n">
        <v>4</v>
      </c>
      <c r="P1837" s="14" t="n">
        <v>2</v>
      </c>
      <c r="Q1837" s="14"/>
      <c r="R1837" s="12" t="n">
        <f aca="false">IF(OR(N1837="",P1837=""),"",ROUND(N1837*O1837/P1837,1))</f>
        <v>6</v>
      </c>
      <c r="S1837" s="13" t="n">
        <f aca="false">IF(R1837="","",IF(Q1837="Y",1,IF(P1837&gt;='Read me'!$B$16,3,IF(AND(R1837&gt;='Read me'!$B$14,P1837&lt;='Read me'!$B$15),1,2))))</f>
        <v>1</v>
      </c>
    </row>
    <row r="1838" customFormat="false" ht="23.85" hidden="false" customHeight="false" outlineLevel="0" collapsed="false">
      <c r="A1838" s="11" t="s">
        <v>11124</v>
      </c>
      <c r="B1838" s="11" t="s">
        <v>48</v>
      </c>
      <c r="C1838" s="11" t="s">
        <v>404</v>
      </c>
      <c r="D1838" s="11" t="s">
        <v>405</v>
      </c>
      <c r="E1838" s="11" t="s">
        <v>476</v>
      </c>
      <c r="F1838" s="11" t="s">
        <v>11125</v>
      </c>
      <c r="G1838" s="11"/>
      <c r="H1838" s="11"/>
      <c r="I1838" s="11" t="s">
        <v>11126</v>
      </c>
      <c r="J1838" s="11" t="s">
        <v>11127</v>
      </c>
      <c r="K1838" s="11" t="s">
        <v>890</v>
      </c>
      <c r="L1838" s="11" t="s">
        <v>11128</v>
      </c>
      <c r="M1838" s="11"/>
      <c r="N1838" s="14" t="n">
        <v>2</v>
      </c>
      <c r="O1838" s="14" t="n">
        <v>3</v>
      </c>
      <c r="P1838" s="14" t="n">
        <v>3</v>
      </c>
      <c r="Q1838" s="14"/>
      <c r="R1838" s="12" t="n">
        <f aca="false">IF(OR(N1838="",P1838=""),"",ROUND(N1838*O1838/P1838,1))</f>
        <v>2</v>
      </c>
      <c r="S1838" s="13" t="n">
        <f aca="false">IF(R1838="","",IF(Q1838="Y",1,IF(P1838&gt;='Read me'!$B$16,3,IF(AND(R1838&gt;='Read me'!$B$14,P1838&lt;='Read me'!$B$15),1,2))))</f>
        <v>2</v>
      </c>
    </row>
    <row r="1839" customFormat="false" ht="23.85" hidden="false" customHeight="false" outlineLevel="0" collapsed="false">
      <c r="A1839" s="11" t="s">
        <v>11129</v>
      </c>
      <c r="B1839" s="11" t="s">
        <v>48</v>
      </c>
      <c r="C1839" s="11" t="s">
        <v>404</v>
      </c>
      <c r="D1839" s="11" t="s">
        <v>405</v>
      </c>
      <c r="E1839" s="11" t="s">
        <v>476</v>
      </c>
      <c r="F1839" s="11" t="s">
        <v>8629</v>
      </c>
      <c r="G1839" s="11" t="s">
        <v>8630</v>
      </c>
      <c r="H1839" s="11"/>
      <c r="I1839" s="11" t="s">
        <v>11130</v>
      </c>
      <c r="J1839" s="11" t="s">
        <v>11131</v>
      </c>
      <c r="K1839" s="11" t="s">
        <v>11132</v>
      </c>
      <c r="L1839" s="11" t="s">
        <v>11133</v>
      </c>
      <c r="M1839" s="11"/>
      <c r="N1839" s="14" t="n">
        <v>4</v>
      </c>
      <c r="O1839" s="14" t="n">
        <v>4</v>
      </c>
      <c r="P1839" s="14" t="n">
        <v>3</v>
      </c>
      <c r="Q1839" s="14"/>
      <c r="R1839" s="12" t="n">
        <f aca="false">IF(OR(N1839="",P1839=""),"",ROUND(N1839*O1839/P1839,1))</f>
        <v>5.3</v>
      </c>
      <c r="S1839" s="13" t="n">
        <f aca="false">IF(R1839="","",IF(Q1839="Y",1,IF(P1839&gt;='Read me'!$B$16,3,IF(AND(R1839&gt;='Read me'!$B$14,P1839&lt;='Read me'!$B$15),1,2))))</f>
        <v>2</v>
      </c>
    </row>
    <row r="1840" customFormat="false" ht="23.85" hidden="false" customHeight="false" outlineLevel="0" collapsed="false">
      <c r="A1840" s="11" t="s">
        <v>11134</v>
      </c>
      <c r="B1840" s="11" t="s">
        <v>48</v>
      </c>
      <c r="C1840" s="11" t="s">
        <v>404</v>
      </c>
      <c r="D1840" s="11" t="s">
        <v>405</v>
      </c>
      <c r="E1840" s="11" t="s">
        <v>476</v>
      </c>
      <c r="F1840" s="11" t="s">
        <v>11135</v>
      </c>
      <c r="G1840" s="11" t="s">
        <v>11136</v>
      </c>
      <c r="H1840" s="11"/>
      <c r="I1840" s="11" t="s">
        <v>11137</v>
      </c>
      <c r="J1840" s="11" t="s">
        <v>11138</v>
      </c>
      <c r="K1840" s="11" t="s">
        <v>11139</v>
      </c>
      <c r="L1840" s="11" t="s">
        <v>11140</v>
      </c>
      <c r="M1840" s="11"/>
      <c r="N1840" s="14" t="n">
        <v>2</v>
      </c>
      <c r="O1840" s="14" t="n">
        <v>2</v>
      </c>
      <c r="P1840" s="14" t="n">
        <v>2</v>
      </c>
      <c r="Q1840" s="14"/>
      <c r="R1840" s="12" t="n">
        <f aca="false">IF(OR(N1840="",P1840=""),"",ROUND(N1840*O1840/P1840,1))</f>
        <v>2</v>
      </c>
      <c r="S1840" s="13" t="n">
        <f aca="false">IF(R1840="","",IF(Q1840="Y",1,IF(P1840&gt;='Read me'!$B$16,3,IF(AND(R1840&gt;='Read me'!$B$14,P1840&lt;='Read me'!$B$15),1,2))))</f>
        <v>2</v>
      </c>
    </row>
    <row r="1841" customFormat="false" ht="23.85" hidden="false" customHeight="false" outlineLevel="0" collapsed="false">
      <c r="A1841" s="11" t="s">
        <v>11141</v>
      </c>
      <c r="B1841" s="11" t="s">
        <v>48</v>
      </c>
      <c r="C1841" s="11" t="s">
        <v>404</v>
      </c>
      <c r="D1841" s="11" t="s">
        <v>405</v>
      </c>
      <c r="E1841" s="11" t="s">
        <v>476</v>
      </c>
      <c r="F1841" s="11" t="s">
        <v>11142</v>
      </c>
      <c r="G1841" s="11" t="s">
        <v>11143</v>
      </c>
      <c r="H1841" s="11"/>
      <c r="I1841" s="11" t="s">
        <v>11144</v>
      </c>
      <c r="J1841" s="11" t="s">
        <v>11145</v>
      </c>
      <c r="K1841" s="11" t="s">
        <v>11076</v>
      </c>
      <c r="L1841" s="11" t="s">
        <v>11146</v>
      </c>
      <c r="M1841" s="11"/>
      <c r="N1841" s="14" t="n">
        <v>2</v>
      </c>
      <c r="O1841" s="14" t="n">
        <v>3</v>
      </c>
      <c r="P1841" s="14" t="n">
        <v>2</v>
      </c>
      <c r="Q1841" s="14"/>
      <c r="R1841" s="12" t="n">
        <f aca="false">IF(OR(N1841="",P1841=""),"",ROUND(N1841*O1841/P1841,1))</f>
        <v>3</v>
      </c>
      <c r="S1841" s="13" t="n">
        <f aca="false">IF(R1841="","",IF(Q1841="Y",1,IF(P1841&gt;='Read me'!$B$16,3,IF(AND(R1841&gt;='Read me'!$B$14,P1841&lt;='Read me'!$B$15),1,2))))</f>
        <v>2</v>
      </c>
    </row>
    <row r="1842" customFormat="false" ht="91" hidden="false" customHeight="false" outlineLevel="0" collapsed="false">
      <c r="A1842" s="11" t="s">
        <v>11147</v>
      </c>
      <c r="B1842" s="11" t="s">
        <v>48</v>
      </c>
      <c r="C1842" s="11" t="s">
        <v>404</v>
      </c>
      <c r="D1842" s="11" t="s">
        <v>405</v>
      </c>
      <c r="E1842" s="11" t="s">
        <v>476</v>
      </c>
      <c r="F1842" s="11" t="s">
        <v>11148</v>
      </c>
      <c r="G1842" s="11" t="s">
        <v>11149</v>
      </c>
      <c r="H1842" s="11"/>
      <c r="I1842" s="11" t="s">
        <v>512</v>
      </c>
      <c r="J1842" s="11" t="s">
        <v>11150</v>
      </c>
      <c r="K1842" s="11" t="s">
        <v>8374</v>
      </c>
      <c r="L1842" s="11" t="s">
        <v>11151</v>
      </c>
      <c r="M1842" s="11" t="s">
        <v>10463</v>
      </c>
      <c r="N1842" s="14" t="n">
        <v>3</v>
      </c>
      <c r="O1842" s="14" t="n">
        <v>4</v>
      </c>
      <c r="P1842" s="14" t="n">
        <v>3</v>
      </c>
      <c r="Q1842" s="14"/>
      <c r="R1842" s="12" t="n">
        <f aca="false">IF(OR(N1842="",P1842=""),"",ROUND(N1842*O1842/P1842,1))</f>
        <v>4</v>
      </c>
      <c r="S1842" s="13" t="n">
        <f aca="false">IF(R1842="","",IF(Q1842="Y",1,IF(P1842&gt;='Read me'!$B$16,3,IF(AND(R1842&gt;='Read me'!$B$14,P1842&lt;='Read me'!$B$15),1,2))))</f>
        <v>2</v>
      </c>
    </row>
    <row r="1843" customFormat="false" ht="35.05" hidden="false" customHeight="false" outlineLevel="0" collapsed="false">
      <c r="A1843" s="11" t="s">
        <v>11152</v>
      </c>
      <c r="B1843" s="11" t="s">
        <v>48</v>
      </c>
      <c r="C1843" s="11" t="s">
        <v>404</v>
      </c>
      <c r="D1843" s="11" t="s">
        <v>405</v>
      </c>
      <c r="E1843" s="11" t="s">
        <v>626</v>
      </c>
      <c r="F1843" s="11" t="s">
        <v>11153</v>
      </c>
      <c r="G1843" s="11" t="s">
        <v>11154</v>
      </c>
      <c r="H1843" s="11"/>
      <c r="I1843" s="11" t="s">
        <v>11155</v>
      </c>
      <c r="J1843" s="11" t="s">
        <v>11156</v>
      </c>
      <c r="K1843" s="11" t="s">
        <v>529</v>
      </c>
      <c r="L1843" s="11" t="s">
        <v>11157</v>
      </c>
      <c r="M1843" s="11"/>
      <c r="N1843" s="14" t="n">
        <v>2</v>
      </c>
      <c r="O1843" s="14" t="n">
        <v>4</v>
      </c>
      <c r="P1843" s="14" t="n">
        <v>2</v>
      </c>
      <c r="Q1843" s="14"/>
      <c r="R1843" s="12" t="n">
        <f aca="false">IF(OR(N1843="",P1843=""),"",ROUND(N1843*O1843/P1843,1))</f>
        <v>4</v>
      </c>
      <c r="S1843" s="13" t="n">
        <f aca="false">IF(R1843="","",IF(Q1843="Y",1,IF(P1843&gt;='Read me'!$B$16,3,IF(AND(R1843&gt;='Read me'!$B$14,P1843&lt;='Read me'!$B$15),1,2))))</f>
        <v>2</v>
      </c>
    </row>
    <row r="1844" customFormat="false" ht="23.85" hidden="false" customHeight="false" outlineLevel="0" collapsed="false">
      <c r="A1844" s="11" t="s">
        <v>11158</v>
      </c>
      <c r="B1844" s="11" t="s">
        <v>48</v>
      </c>
      <c r="C1844" s="11" t="s">
        <v>404</v>
      </c>
      <c r="D1844" s="11" t="s">
        <v>405</v>
      </c>
      <c r="E1844" s="11" t="s">
        <v>751</v>
      </c>
      <c r="F1844" s="11" t="s">
        <v>11159</v>
      </c>
      <c r="G1844" s="11" t="s">
        <v>11160</v>
      </c>
      <c r="H1844" s="11"/>
      <c r="I1844" s="11" t="s">
        <v>11161</v>
      </c>
      <c r="J1844" s="11" t="s">
        <v>11162</v>
      </c>
      <c r="K1844" s="11" t="s">
        <v>4437</v>
      </c>
      <c r="L1844" s="11" t="s">
        <v>11163</v>
      </c>
      <c r="M1844" s="11" t="s">
        <v>1577</v>
      </c>
      <c r="N1844" s="14" t="n">
        <v>3</v>
      </c>
      <c r="O1844" s="14" t="n">
        <v>4</v>
      </c>
      <c r="P1844" s="14" t="n">
        <v>3</v>
      </c>
      <c r="Q1844" s="14"/>
      <c r="R1844" s="12" t="n">
        <f aca="false">IF(OR(N1844="",P1844=""),"",ROUND(N1844*O1844/P1844,1))</f>
        <v>4</v>
      </c>
      <c r="S1844" s="13" t="n">
        <f aca="false">IF(R1844="","",IF(Q1844="Y",1,IF(P1844&gt;='Read me'!$B$16,3,IF(AND(R1844&gt;='Read me'!$B$14,P1844&lt;='Read me'!$B$15),1,2))))</f>
        <v>2</v>
      </c>
    </row>
    <row r="1845" customFormat="false" ht="23.85" hidden="false" customHeight="false" outlineLevel="0" collapsed="false">
      <c r="A1845" s="11" t="s">
        <v>11164</v>
      </c>
      <c r="B1845" s="11" t="s">
        <v>48</v>
      </c>
      <c r="C1845" s="11" t="s">
        <v>404</v>
      </c>
      <c r="D1845" s="11" t="s">
        <v>405</v>
      </c>
      <c r="E1845" s="11" t="s">
        <v>751</v>
      </c>
      <c r="F1845" s="11" t="s">
        <v>11165</v>
      </c>
      <c r="G1845" s="11" t="s">
        <v>11166</v>
      </c>
      <c r="H1845" s="11"/>
      <c r="I1845" s="11" t="s">
        <v>11167</v>
      </c>
      <c r="J1845" s="11" t="s">
        <v>11168</v>
      </c>
      <c r="K1845" s="11" t="s">
        <v>11169</v>
      </c>
      <c r="L1845" s="11" t="s">
        <v>11170</v>
      </c>
      <c r="M1845" s="11" t="s">
        <v>1577</v>
      </c>
      <c r="N1845" s="14" t="n">
        <v>3</v>
      </c>
      <c r="O1845" s="14" t="n">
        <v>3</v>
      </c>
      <c r="P1845" s="14" t="n">
        <v>2</v>
      </c>
      <c r="Q1845" s="14"/>
      <c r="R1845" s="12" t="n">
        <f aca="false">IF(OR(N1845="",P1845=""),"",ROUND(N1845*O1845/P1845,1))</f>
        <v>4.5</v>
      </c>
      <c r="S1845" s="13" t="n">
        <f aca="false">IF(R1845="","",IF(Q1845="Y",1,IF(P1845&gt;='Read me'!$B$16,3,IF(AND(R1845&gt;='Read me'!$B$14,P1845&lt;='Read me'!$B$15),1,2))))</f>
        <v>2</v>
      </c>
    </row>
    <row r="1846" customFormat="false" ht="35.05" hidden="false" customHeight="false" outlineLevel="0" collapsed="false">
      <c r="A1846" s="11" t="s">
        <v>11171</v>
      </c>
      <c r="B1846" s="11" t="s">
        <v>48</v>
      </c>
      <c r="C1846" s="11" t="s">
        <v>404</v>
      </c>
      <c r="D1846" s="11" t="s">
        <v>405</v>
      </c>
      <c r="E1846" s="11" t="s">
        <v>751</v>
      </c>
      <c r="F1846" s="11" t="s">
        <v>11172</v>
      </c>
      <c r="G1846" s="11" t="s">
        <v>11173</v>
      </c>
      <c r="H1846" s="11"/>
      <c r="I1846" s="11" t="s">
        <v>11174</v>
      </c>
      <c r="J1846" s="11" t="s">
        <v>11175</v>
      </c>
      <c r="K1846" s="11" t="s">
        <v>11176</v>
      </c>
      <c r="L1846" s="11" t="s">
        <v>11177</v>
      </c>
      <c r="M1846" s="11" t="s">
        <v>1577</v>
      </c>
      <c r="N1846" s="14" t="n">
        <v>3</v>
      </c>
      <c r="O1846" s="14" t="n">
        <v>4</v>
      </c>
      <c r="P1846" s="14" t="n">
        <v>3</v>
      </c>
      <c r="Q1846" s="14"/>
      <c r="R1846" s="12" t="n">
        <f aca="false">IF(OR(N1846="",P1846=""),"",ROUND(N1846*O1846/P1846,1))</f>
        <v>4</v>
      </c>
      <c r="S1846" s="13" t="n">
        <f aca="false">IF(R1846="","",IF(Q1846="Y",1,IF(P1846&gt;='Read me'!$B$16,3,IF(AND(R1846&gt;='Read me'!$B$14,P1846&lt;='Read me'!$B$15),1,2))))</f>
        <v>2</v>
      </c>
    </row>
    <row r="1847" customFormat="false" ht="35.05" hidden="false" customHeight="false" outlineLevel="0" collapsed="false">
      <c r="A1847" s="11" t="s">
        <v>11178</v>
      </c>
      <c r="B1847" s="11" t="s">
        <v>48</v>
      </c>
      <c r="C1847" s="11" t="s">
        <v>404</v>
      </c>
      <c r="D1847" s="11" t="s">
        <v>405</v>
      </c>
      <c r="E1847" s="11" t="s">
        <v>751</v>
      </c>
      <c r="F1847" s="11" t="s">
        <v>11179</v>
      </c>
      <c r="G1847" s="11" t="s">
        <v>11180</v>
      </c>
      <c r="H1847" s="11"/>
      <c r="I1847" s="11" t="s">
        <v>11181</v>
      </c>
      <c r="J1847" s="11" t="s">
        <v>11182</v>
      </c>
      <c r="K1847" s="11" t="s">
        <v>11183</v>
      </c>
      <c r="L1847" s="11" t="s">
        <v>11184</v>
      </c>
      <c r="M1847" s="11" t="s">
        <v>1577</v>
      </c>
      <c r="N1847" s="14" t="n">
        <v>2</v>
      </c>
      <c r="O1847" s="14" t="n">
        <v>3</v>
      </c>
      <c r="P1847" s="14" t="n">
        <v>2</v>
      </c>
      <c r="Q1847" s="14"/>
      <c r="R1847" s="12" t="n">
        <f aca="false">IF(OR(N1847="",P1847=""),"",ROUND(N1847*O1847/P1847,1))</f>
        <v>3</v>
      </c>
      <c r="S1847" s="13" t="n">
        <f aca="false">IF(R1847="","",IF(Q1847="Y",1,IF(P1847&gt;='Read me'!$B$16,3,IF(AND(R1847&gt;='Read me'!$B$14,P1847&lt;='Read me'!$B$15),1,2))))</f>
        <v>2</v>
      </c>
    </row>
    <row r="1848" customFormat="false" ht="23.85" hidden="false" customHeight="false" outlineLevel="0" collapsed="false">
      <c r="A1848" s="11" t="s">
        <v>11185</v>
      </c>
      <c r="B1848" s="11" t="s">
        <v>48</v>
      </c>
      <c r="C1848" s="11" t="s">
        <v>404</v>
      </c>
      <c r="D1848" s="11" t="s">
        <v>405</v>
      </c>
      <c r="E1848" s="11" t="s">
        <v>765</v>
      </c>
      <c r="F1848" s="11" t="s">
        <v>11186</v>
      </c>
      <c r="G1848" s="11" t="s">
        <v>11187</v>
      </c>
      <c r="H1848" s="11"/>
      <c r="I1848" s="11" t="s">
        <v>512</v>
      </c>
      <c r="J1848" s="11" t="s">
        <v>11188</v>
      </c>
      <c r="K1848" s="11" t="s">
        <v>11189</v>
      </c>
      <c r="L1848" s="11" t="s">
        <v>11190</v>
      </c>
      <c r="M1848" s="11"/>
      <c r="N1848" s="14" t="n">
        <v>2</v>
      </c>
      <c r="O1848" s="14" t="n">
        <v>3</v>
      </c>
      <c r="P1848" s="14" t="n">
        <v>2</v>
      </c>
      <c r="Q1848" s="14"/>
      <c r="R1848" s="12" t="n">
        <f aca="false">IF(OR(N1848="",P1848=""),"",ROUND(N1848*O1848/P1848,1))</f>
        <v>3</v>
      </c>
      <c r="S1848" s="13" t="n">
        <f aca="false">IF(R1848="","",IF(Q1848="Y",1,IF(P1848&gt;='Read me'!$B$16,3,IF(AND(R1848&gt;='Read me'!$B$14,P1848&lt;='Read me'!$B$15),1,2))))</f>
        <v>2</v>
      </c>
    </row>
    <row r="1849" customFormat="false" ht="23.85" hidden="false" customHeight="false" outlineLevel="0" collapsed="false">
      <c r="A1849" s="11" t="s">
        <v>11191</v>
      </c>
      <c r="B1849" s="11" t="s">
        <v>48</v>
      </c>
      <c r="C1849" s="11" t="s">
        <v>404</v>
      </c>
      <c r="D1849" s="11" t="s">
        <v>405</v>
      </c>
      <c r="E1849" s="11" t="s">
        <v>1187</v>
      </c>
      <c r="F1849" s="11" t="s">
        <v>11192</v>
      </c>
      <c r="G1849" s="11" t="s">
        <v>2742</v>
      </c>
      <c r="H1849" s="11" t="s">
        <v>11193</v>
      </c>
      <c r="I1849" s="11" t="s">
        <v>11194</v>
      </c>
      <c r="J1849" s="11" t="s">
        <v>11195</v>
      </c>
      <c r="K1849" s="11" t="s">
        <v>675</v>
      </c>
      <c r="L1849" s="11" t="s">
        <v>11196</v>
      </c>
      <c r="M1849" s="11"/>
      <c r="N1849" s="14" t="n">
        <v>2</v>
      </c>
      <c r="O1849" s="14" t="n">
        <v>3</v>
      </c>
      <c r="P1849" s="14" t="n">
        <v>2</v>
      </c>
      <c r="Q1849" s="14"/>
      <c r="R1849" s="12" t="n">
        <f aca="false">IF(OR(N1849="",P1849=""),"",ROUND(N1849*O1849/P1849,1))</f>
        <v>3</v>
      </c>
      <c r="S1849" s="13" t="n">
        <f aca="false">IF(R1849="","",IF(Q1849="Y",1,IF(P1849&gt;='Read me'!$B$16,3,IF(AND(R1849&gt;='Read me'!$B$14,P1849&lt;='Read me'!$B$15),1,2))))</f>
        <v>2</v>
      </c>
    </row>
    <row r="1850" customFormat="false" ht="35.05" hidden="false" customHeight="false" outlineLevel="0" collapsed="false">
      <c r="A1850" s="11" t="s">
        <v>11197</v>
      </c>
      <c r="B1850" s="11" t="s">
        <v>48</v>
      </c>
      <c r="C1850" s="11" t="s">
        <v>404</v>
      </c>
      <c r="D1850" s="11" t="s">
        <v>405</v>
      </c>
      <c r="E1850" s="11" t="s">
        <v>1187</v>
      </c>
      <c r="F1850" s="11" t="s">
        <v>11198</v>
      </c>
      <c r="G1850" s="11" t="s">
        <v>11199</v>
      </c>
      <c r="H1850" s="11" t="s">
        <v>11200</v>
      </c>
      <c r="I1850" s="11" t="s">
        <v>11201</v>
      </c>
      <c r="J1850" s="11" t="s">
        <v>11202</v>
      </c>
      <c r="K1850" s="11" t="s">
        <v>10847</v>
      </c>
      <c r="L1850" s="11" t="s">
        <v>11203</v>
      </c>
      <c r="M1850" s="11"/>
      <c r="N1850" s="14" t="n">
        <v>3</v>
      </c>
      <c r="O1850" s="14" t="n">
        <v>3</v>
      </c>
      <c r="P1850" s="14" t="n">
        <v>2</v>
      </c>
      <c r="Q1850" s="14"/>
      <c r="R1850" s="12" t="n">
        <f aca="false">IF(OR(N1850="",P1850=""),"",ROUND(N1850*O1850/P1850,1))</f>
        <v>4.5</v>
      </c>
      <c r="S1850" s="13" t="n">
        <f aca="false">IF(R1850="","",IF(Q1850="Y",1,IF(P1850&gt;='Read me'!$B$16,3,IF(AND(R1850&gt;='Read me'!$B$14,P1850&lt;='Read me'!$B$15),1,2))))</f>
        <v>2</v>
      </c>
    </row>
    <row r="1851" customFormat="false" ht="35.05" hidden="false" customHeight="false" outlineLevel="0" collapsed="false">
      <c r="A1851" s="11" t="s">
        <v>11204</v>
      </c>
      <c r="B1851" s="11" t="s">
        <v>48</v>
      </c>
      <c r="C1851" s="11" t="s">
        <v>404</v>
      </c>
      <c r="D1851" s="11" t="s">
        <v>405</v>
      </c>
      <c r="E1851" s="11" t="s">
        <v>1187</v>
      </c>
      <c r="F1851" s="11" t="s">
        <v>11198</v>
      </c>
      <c r="G1851" s="11" t="s">
        <v>11205</v>
      </c>
      <c r="H1851" s="11" t="s">
        <v>11206</v>
      </c>
      <c r="I1851" s="11" t="s">
        <v>11207</v>
      </c>
      <c r="J1851" s="11" t="s">
        <v>11208</v>
      </c>
      <c r="K1851" s="11" t="s">
        <v>11209</v>
      </c>
      <c r="L1851" s="11" t="s">
        <v>11210</v>
      </c>
      <c r="M1851" s="11"/>
      <c r="N1851" s="14" t="n">
        <v>2</v>
      </c>
      <c r="O1851" s="14" t="n">
        <v>2</v>
      </c>
      <c r="P1851" s="14" t="n">
        <v>2</v>
      </c>
      <c r="Q1851" s="14"/>
      <c r="R1851" s="12" t="n">
        <f aca="false">IF(OR(N1851="",P1851=""),"",ROUND(N1851*O1851/P1851,1))</f>
        <v>2</v>
      </c>
      <c r="S1851" s="13" t="n">
        <f aca="false">IF(R1851="","",IF(Q1851="Y",1,IF(P1851&gt;='Read me'!$B$16,3,IF(AND(R1851&gt;='Read me'!$B$14,P1851&lt;='Read me'!$B$15),1,2))))</f>
        <v>2</v>
      </c>
    </row>
    <row r="1852" customFormat="false" ht="23.85" hidden="false" customHeight="false" outlineLevel="0" collapsed="false">
      <c r="A1852" s="11" t="s">
        <v>11211</v>
      </c>
      <c r="B1852" s="11" t="s">
        <v>48</v>
      </c>
      <c r="C1852" s="11" t="s">
        <v>404</v>
      </c>
      <c r="D1852" s="11" t="s">
        <v>405</v>
      </c>
      <c r="E1852" s="11" t="s">
        <v>1187</v>
      </c>
      <c r="F1852" s="11" t="s">
        <v>11212</v>
      </c>
      <c r="G1852" s="11" t="s">
        <v>11213</v>
      </c>
      <c r="H1852" s="11" t="s">
        <v>11214</v>
      </c>
      <c r="I1852" s="11" t="s">
        <v>11215</v>
      </c>
      <c r="J1852" s="11" t="s">
        <v>11216</v>
      </c>
      <c r="K1852" s="11" t="s">
        <v>11217</v>
      </c>
      <c r="L1852" s="11" t="s">
        <v>8327</v>
      </c>
      <c r="M1852" s="11"/>
      <c r="N1852" s="14" t="n">
        <v>2</v>
      </c>
      <c r="O1852" s="14" t="n">
        <v>3</v>
      </c>
      <c r="P1852" s="14" t="n">
        <v>2</v>
      </c>
      <c r="Q1852" s="14"/>
      <c r="R1852" s="12" t="n">
        <f aca="false">IF(OR(N1852="",P1852=""),"",ROUND(N1852*O1852/P1852,1))</f>
        <v>3</v>
      </c>
      <c r="S1852" s="13" t="n">
        <f aca="false">IF(R1852="","",IF(Q1852="Y",1,IF(P1852&gt;='Read me'!$B$16,3,IF(AND(R1852&gt;='Read me'!$B$14,P1852&lt;='Read me'!$B$15),1,2))))</f>
        <v>2</v>
      </c>
    </row>
    <row r="1853" customFormat="false" ht="23.85" hidden="false" customHeight="false" outlineLevel="0" collapsed="false">
      <c r="A1853" s="11" t="s">
        <v>11218</v>
      </c>
      <c r="B1853" s="11" t="s">
        <v>48</v>
      </c>
      <c r="C1853" s="11" t="s">
        <v>404</v>
      </c>
      <c r="D1853" s="11" t="s">
        <v>405</v>
      </c>
      <c r="E1853" s="11" t="s">
        <v>1187</v>
      </c>
      <c r="F1853" s="11" t="s">
        <v>11219</v>
      </c>
      <c r="G1853" s="11" t="s">
        <v>11220</v>
      </c>
      <c r="H1853" s="11" t="s">
        <v>11221</v>
      </c>
      <c r="I1853" s="11" t="s">
        <v>11222</v>
      </c>
      <c r="J1853" s="11" t="s">
        <v>11223</v>
      </c>
      <c r="K1853" s="11" t="s">
        <v>8366</v>
      </c>
      <c r="L1853" s="11" t="s">
        <v>11224</v>
      </c>
      <c r="M1853" s="11"/>
      <c r="N1853" s="14" t="n">
        <v>2</v>
      </c>
      <c r="O1853" s="14" t="n">
        <v>2</v>
      </c>
      <c r="P1853" s="14" t="n">
        <v>2</v>
      </c>
      <c r="Q1853" s="14"/>
      <c r="R1853" s="12" t="n">
        <f aca="false">IF(OR(N1853="",P1853=""),"",ROUND(N1853*O1853/P1853,1))</f>
        <v>2</v>
      </c>
      <c r="S1853" s="13" t="n">
        <f aca="false">IF(R1853="","",IF(Q1853="Y",1,IF(P1853&gt;='Read me'!$B$16,3,IF(AND(R1853&gt;='Read me'!$B$14,P1853&lt;='Read me'!$B$15),1,2))))</f>
        <v>2</v>
      </c>
    </row>
    <row r="1854" customFormat="false" ht="23.85" hidden="false" customHeight="false" outlineLevel="0" collapsed="false">
      <c r="A1854" s="11" t="s">
        <v>11225</v>
      </c>
      <c r="B1854" s="11" t="s">
        <v>48</v>
      </c>
      <c r="C1854" s="11" t="s">
        <v>404</v>
      </c>
      <c r="D1854" s="11" t="s">
        <v>405</v>
      </c>
      <c r="E1854" s="11" t="s">
        <v>1133</v>
      </c>
      <c r="F1854" s="11" t="s">
        <v>11226</v>
      </c>
      <c r="G1854" s="11"/>
      <c r="H1854" s="11"/>
      <c r="I1854" s="11" t="s">
        <v>11227</v>
      </c>
      <c r="J1854" s="11" t="s">
        <v>11228</v>
      </c>
      <c r="K1854" s="11" t="s">
        <v>11229</v>
      </c>
      <c r="L1854" s="11" t="s">
        <v>11230</v>
      </c>
      <c r="M1854" s="11"/>
      <c r="N1854" s="14" t="n">
        <v>4</v>
      </c>
      <c r="O1854" s="14" t="n">
        <v>4</v>
      </c>
      <c r="P1854" s="14" t="n">
        <v>2</v>
      </c>
      <c r="Q1854" s="14"/>
      <c r="R1854" s="12" t="n">
        <f aca="false">IF(OR(N1854="",P1854=""),"",ROUND(N1854*O1854/P1854,1))</f>
        <v>8</v>
      </c>
      <c r="S1854" s="13" t="n">
        <f aca="false">IF(R1854="","",IF(Q1854="Y",1,IF(P1854&gt;='Read me'!$B$16,3,IF(AND(R1854&gt;='Read me'!$B$14,P1854&lt;='Read me'!$B$15),1,2))))</f>
        <v>1</v>
      </c>
    </row>
    <row r="1855" customFormat="false" ht="23.85" hidden="false" customHeight="false" outlineLevel="0" collapsed="false">
      <c r="A1855" s="11" t="s">
        <v>11231</v>
      </c>
      <c r="B1855" s="11" t="s">
        <v>48</v>
      </c>
      <c r="C1855" s="11" t="s">
        <v>404</v>
      </c>
      <c r="D1855" s="11" t="s">
        <v>405</v>
      </c>
      <c r="E1855" s="11" t="s">
        <v>1372</v>
      </c>
      <c r="F1855" s="11" t="s">
        <v>11192</v>
      </c>
      <c r="G1855" s="11" t="s">
        <v>11232</v>
      </c>
      <c r="H1855" s="11"/>
      <c r="I1855" s="11" t="s">
        <v>11233</v>
      </c>
      <c r="J1855" s="11" t="s">
        <v>11234</v>
      </c>
      <c r="K1855" s="11" t="s">
        <v>11235</v>
      </c>
      <c r="L1855" s="11" t="s">
        <v>11236</v>
      </c>
      <c r="M1855" s="11"/>
      <c r="N1855" s="14" t="n">
        <v>2</v>
      </c>
      <c r="O1855" s="14" t="n">
        <v>3</v>
      </c>
      <c r="P1855" s="14" t="n">
        <v>2</v>
      </c>
      <c r="Q1855" s="14"/>
      <c r="R1855" s="12" t="n">
        <f aca="false">IF(OR(N1855="",P1855=""),"",ROUND(N1855*O1855/P1855,1))</f>
        <v>3</v>
      </c>
      <c r="S1855" s="13" t="n">
        <f aca="false">IF(R1855="","",IF(Q1855="Y",1,IF(P1855&gt;='Read me'!$B$16,3,IF(AND(R1855&gt;='Read me'!$B$14,P1855&lt;='Read me'!$B$15),1,2))))</f>
        <v>2</v>
      </c>
    </row>
    <row r="1856" customFormat="false" ht="23.85" hidden="false" customHeight="false" outlineLevel="0" collapsed="false">
      <c r="A1856" s="11" t="s">
        <v>11237</v>
      </c>
      <c r="B1856" s="11" t="s">
        <v>48</v>
      </c>
      <c r="C1856" s="11" t="s">
        <v>404</v>
      </c>
      <c r="D1856" s="11" t="s">
        <v>405</v>
      </c>
      <c r="E1856" s="11" t="s">
        <v>1372</v>
      </c>
      <c r="F1856" s="11" t="s">
        <v>11238</v>
      </c>
      <c r="G1856" s="11" t="s">
        <v>10565</v>
      </c>
      <c r="H1856" s="11" t="s">
        <v>11239</v>
      </c>
      <c r="I1856" s="11" t="s">
        <v>11240</v>
      </c>
      <c r="J1856" s="11" t="s">
        <v>11241</v>
      </c>
      <c r="K1856" s="11" t="s">
        <v>11087</v>
      </c>
      <c r="L1856" s="11" t="s">
        <v>11242</v>
      </c>
      <c r="M1856" s="11"/>
      <c r="N1856" s="14" t="n">
        <v>2</v>
      </c>
      <c r="O1856" s="14" t="n">
        <v>3</v>
      </c>
      <c r="P1856" s="14" t="n">
        <v>3</v>
      </c>
      <c r="Q1856" s="14"/>
      <c r="R1856" s="12" t="n">
        <f aca="false">IF(OR(N1856="",P1856=""),"",ROUND(N1856*O1856/P1856,1))</f>
        <v>2</v>
      </c>
      <c r="S1856" s="13" t="n">
        <f aca="false">IF(R1856="","",IF(Q1856="Y",1,IF(P1856&gt;='Read me'!$B$16,3,IF(AND(R1856&gt;='Read me'!$B$14,P1856&lt;='Read me'!$B$15),1,2))))</f>
        <v>2</v>
      </c>
    </row>
    <row r="1857" customFormat="false" ht="23.85" hidden="false" customHeight="false" outlineLevel="0" collapsed="false">
      <c r="A1857" s="11" t="s">
        <v>11243</v>
      </c>
      <c r="B1857" s="11" t="s">
        <v>48</v>
      </c>
      <c r="C1857" s="11" t="s">
        <v>404</v>
      </c>
      <c r="D1857" s="11" t="s">
        <v>405</v>
      </c>
      <c r="E1857" s="11" t="s">
        <v>1372</v>
      </c>
      <c r="F1857" s="11" t="s">
        <v>11244</v>
      </c>
      <c r="G1857" s="11" t="s">
        <v>11245</v>
      </c>
      <c r="H1857" s="11"/>
      <c r="I1857" s="11" t="s">
        <v>11246</v>
      </c>
      <c r="J1857" s="11" t="s">
        <v>11247</v>
      </c>
      <c r="K1857" s="11" t="s">
        <v>11248</v>
      </c>
      <c r="L1857" s="11" t="s">
        <v>11249</v>
      </c>
      <c r="M1857" s="11"/>
      <c r="N1857" s="14" t="n">
        <v>2</v>
      </c>
      <c r="O1857" s="14" t="n">
        <v>3</v>
      </c>
      <c r="P1857" s="14" t="n">
        <v>2</v>
      </c>
      <c r="Q1857" s="14"/>
      <c r="R1857" s="12" t="n">
        <f aca="false">IF(OR(N1857="",P1857=""),"",ROUND(N1857*O1857/P1857,1))</f>
        <v>3</v>
      </c>
      <c r="S1857" s="13" t="n">
        <f aca="false">IF(R1857="","",IF(Q1857="Y",1,IF(P1857&gt;='Read me'!$B$16,3,IF(AND(R1857&gt;='Read me'!$B$14,P1857&lt;='Read me'!$B$15),1,2))))</f>
        <v>2</v>
      </c>
    </row>
    <row r="1858" customFormat="false" ht="35.05" hidden="false" customHeight="false" outlineLevel="0" collapsed="false">
      <c r="A1858" s="11" t="s">
        <v>11250</v>
      </c>
      <c r="B1858" s="11" t="s">
        <v>48</v>
      </c>
      <c r="C1858" s="11" t="s">
        <v>407</v>
      </c>
      <c r="D1858" s="11" t="s">
        <v>408</v>
      </c>
      <c r="E1858" s="11" t="s">
        <v>476</v>
      </c>
      <c r="F1858" s="11" t="s">
        <v>11251</v>
      </c>
      <c r="G1858" s="11"/>
      <c r="H1858" s="11"/>
      <c r="I1858" s="11" t="s">
        <v>11252</v>
      </c>
      <c r="J1858" s="11" t="s">
        <v>11253</v>
      </c>
      <c r="K1858" s="11" t="s">
        <v>11254</v>
      </c>
      <c r="L1858" s="11" t="s">
        <v>11255</v>
      </c>
      <c r="M1858" s="11" t="s">
        <v>10463</v>
      </c>
      <c r="N1858" s="14" t="n">
        <v>5</v>
      </c>
      <c r="O1858" s="14" t="n">
        <v>4</v>
      </c>
      <c r="P1858" s="14" t="n">
        <v>2</v>
      </c>
      <c r="Q1858" s="14"/>
      <c r="R1858" s="12" t="n">
        <f aca="false">IF(OR(N1858="",P1858=""),"",ROUND(N1858*O1858/P1858,1))</f>
        <v>10</v>
      </c>
      <c r="S1858" s="13" t="n">
        <f aca="false">IF(R1858="","",IF(Q1858="Y",1,IF(P1858&gt;='Read me'!$B$16,3,IF(AND(R1858&gt;='Read me'!$B$14,P1858&lt;='Read me'!$B$15),1,2))))</f>
        <v>1</v>
      </c>
    </row>
    <row r="1859" customFormat="false" ht="35.05" hidden="false" customHeight="false" outlineLevel="0" collapsed="false">
      <c r="A1859" s="11" t="s">
        <v>11256</v>
      </c>
      <c r="B1859" s="11" t="s">
        <v>48</v>
      </c>
      <c r="C1859" s="11" t="s">
        <v>407</v>
      </c>
      <c r="D1859" s="11" t="s">
        <v>408</v>
      </c>
      <c r="E1859" s="11" t="s">
        <v>476</v>
      </c>
      <c r="F1859" s="11" t="s">
        <v>11251</v>
      </c>
      <c r="G1859" s="11" t="s">
        <v>11257</v>
      </c>
      <c r="H1859" s="11"/>
      <c r="I1859" s="11" t="s">
        <v>11258</v>
      </c>
      <c r="J1859" s="11" t="s">
        <v>11259</v>
      </c>
      <c r="K1859" s="11" t="s">
        <v>8564</v>
      </c>
      <c r="L1859" s="11" t="s">
        <v>11260</v>
      </c>
      <c r="M1859" s="11" t="s">
        <v>11261</v>
      </c>
      <c r="N1859" s="14" t="n">
        <v>3</v>
      </c>
      <c r="O1859" s="14" t="n">
        <v>3</v>
      </c>
      <c r="P1859" s="14" t="n">
        <v>1</v>
      </c>
      <c r="Q1859" s="14"/>
      <c r="R1859" s="12" t="n">
        <f aca="false">IF(OR(N1859="",P1859=""),"",ROUND(N1859*O1859/P1859,1))</f>
        <v>9</v>
      </c>
      <c r="S1859" s="13" t="n">
        <f aca="false">IF(R1859="","",IF(Q1859="Y",1,IF(P1859&gt;='Read me'!$B$16,3,IF(AND(R1859&gt;='Read me'!$B$14,P1859&lt;='Read me'!$B$15),1,2))))</f>
        <v>1</v>
      </c>
    </row>
    <row r="1860" customFormat="false" ht="46.25" hidden="false" customHeight="false" outlineLevel="0" collapsed="false">
      <c r="A1860" s="11" t="s">
        <v>11262</v>
      </c>
      <c r="B1860" s="11" t="s">
        <v>48</v>
      </c>
      <c r="C1860" s="11" t="s">
        <v>407</v>
      </c>
      <c r="D1860" s="11" t="s">
        <v>408</v>
      </c>
      <c r="E1860" s="11" t="s">
        <v>476</v>
      </c>
      <c r="F1860" s="11" t="s">
        <v>11251</v>
      </c>
      <c r="G1860" s="11" t="s">
        <v>10824</v>
      </c>
      <c r="H1860" s="11"/>
      <c r="I1860" s="11" t="s">
        <v>11252</v>
      </c>
      <c r="J1860" s="11" t="s">
        <v>11263</v>
      </c>
      <c r="K1860" s="11" t="s">
        <v>11264</v>
      </c>
      <c r="L1860" s="11" t="s">
        <v>11265</v>
      </c>
      <c r="M1860" s="11"/>
      <c r="N1860" s="14" t="n">
        <v>1</v>
      </c>
      <c r="O1860" s="14" t="n">
        <v>3</v>
      </c>
      <c r="P1860" s="14" t="n">
        <v>5</v>
      </c>
      <c r="Q1860" s="14"/>
      <c r="R1860" s="12" t="n">
        <f aca="false">IF(OR(N1860="",P1860=""),"",ROUND(N1860*O1860/P1860,1))</f>
        <v>0.6</v>
      </c>
      <c r="S1860" s="13" t="n">
        <f aca="false">IF(R1860="","",IF(Q1860="Y",1,IF(P1860&gt;='Read me'!$B$16,3,IF(AND(R1860&gt;='Read me'!$B$14,P1860&lt;='Read me'!$B$15),1,2))))</f>
        <v>3</v>
      </c>
    </row>
    <row r="1861" customFormat="false" ht="23.85" hidden="false" customHeight="false" outlineLevel="0" collapsed="false">
      <c r="A1861" s="11" t="s">
        <v>11266</v>
      </c>
      <c r="B1861" s="11" t="s">
        <v>48</v>
      </c>
      <c r="C1861" s="11" t="s">
        <v>407</v>
      </c>
      <c r="D1861" s="11" t="s">
        <v>408</v>
      </c>
      <c r="E1861" s="11" t="s">
        <v>476</v>
      </c>
      <c r="F1861" s="11" t="s">
        <v>11267</v>
      </c>
      <c r="G1861" s="11"/>
      <c r="H1861" s="11"/>
      <c r="I1861" s="11" t="s">
        <v>11268</v>
      </c>
      <c r="J1861" s="11" t="s">
        <v>11269</v>
      </c>
      <c r="K1861" s="11" t="s">
        <v>11270</v>
      </c>
      <c r="L1861" s="11" t="s">
        <v>11271</v>
      </c>
      <c r="M1861" s="11"/>
      <c r="N1861" s="14" t="n">
        <v>2</v>
      </c>
      <c r="O1861" s="14" t="n">
        <v>2</v>
      </c>
      <c r="P1861" s="14" t="n">
        <v>2</v>
      </c>
      <c r="Q1861" s="14"/>
      <c r="R1861" s="12" t="n">
        <f aca="false">IF(OR(N1861="",P1861=""),"",ROUND(N1861*O1861/P1861,1))</f>
        <v>2</v>
      </c>
      <c r="S1861" s="13" t="n">
        <f aca="false">IF(R1861="","",IF(Q1861="Y",1,IF(P1861&gt;='Read me'!$B$16,3,IF(AND(R1861&gt;='Read me'!$B$14,P1861&lt;='Read me'!$B$15),1,2))))</f>
        <v>2</v>
      </c>
    </row>
    <row r="1862" customFormat="false" ht="91" hidden="false" customHeight="false" outlineLevel="0" collapsed="false">
      <c r="A1862" s="11" t="s">
        <v>11272</v>
      </c>
      <c r="B1862" s="11" t="s">
        <v>48</v>
      </c>
      <c r="C1862" s="11" t="s">
        <v>407</v>
      </c>
      <c r="D1862" s="11" t="s">
        <v>408</v>
      </c>
      <c r="E1862" s="11" t="s">
        <v>476</v>
      </c>
      <c r="F1862" s="11" t="s">
        <v>11273</v>
      </c>
      <c r="G1862" s="11" t="s">
        <v>11274</v>
      </c>
      <c r="H1862" s="11"/>
      <c r="I1862" s="11" t="s">
        <v>512</v>
      </c>
      <c r="J1862" s="11" t="s">
        <v>11275</v>
      </c>
      <c r="K1862" s="11" t="s">
        <v>4502</v>
      </c>
      <c r="L1862" s="11" t="s">
        <v>11276</v>
      </c>
      <c r="M1862" s="11" t="s">
        <v>10463</v>
      </c>
      <c r="N1862" s="14" t="n">
        <v>3</v>
      </c>
      <c r="O1862" s="14" t="n">
        <v>4</v>
      </c>
      <c r="P1862" s="14" t="n">
        <v>3</v>
      </c>
      <c r="Q1862" s="14"/>
      <c r="R1862" s="12" t="n">
        <f aca="false">IF(OR(N1862="",P1862=""),"",ROUND(N1862*O1862/P1862,1))</f>
        <v>4</v>
      </c>
      <c r="S1862" s="13" t="n">
        <f aca="false">IF(R1862="","",IF(Q1862="Y",1,IF(P1862&gt;='Read me'!$B$16,3,IF(AND(R1862&gt;='Read me'!$B$14,P1862&lt;='Read me'!$B$15),1,2))))</f>
        <v>2</v>
      </c>
    </row>
    <row r="1863" customFormat="false" ht="46.25" hidden="false" customHeight="false" outlineLevel="0" collapsed="false">
      <c r="A1863" s="11" t="s">
        <v>11277</v>
      </c>
      <c r="B1863" s="11" t="s">
        <v>48</v>
      </c>
      <c r="C1863" s="11" t="s">
        <v>407</v>
      </c>
      <c r="D1863" s="11" t="s">
        <v>408</v>
      </c>
      <c r="E1863" s="11" t="s">
        <v>476</v>
      </c>
      <c r="F1863" s="11" t="s">
        <v>11278</v>
      </c>
      <c r="G1863" s="11" t="s">
        <v>4591</v>
      </c>
      <c r="H1863" s="11"/>
      <c r="I1863" s="11" t="s">
        <v>512</v>
      </c>
      <c r="J1863" s="11" t="s">
        <v>11279</v>
      </c>
      <c r="K1863" s="11" t="s">
        <v>4502</v>
      </c>
      <c r="L1863" s="11" t="s">
        <v>11280</v>
      </c>
      <c r="M1863" s="11"/>
      <c r="N1863" s="14" t="n">
        <v>3</v>
      </c>
      <c r="O1863" s="14" t="n">
        <v>3</v>
      </c>
      <c r="P1863" s="14" t="n">
        <v>1</v>
      </c>
      <c r="Q1863" s="14"/>
      <c r="R1863" s="12" t="n">
        <f aca="false">IF(OR(N1863="",P1863=""),"",ROUND(N1863*O1863/P1863,1))</f>
        <v>9</v>
      </c>
      <c r="S1863" s="13" t="n">
        <f aca="false">IF(R1863="","",IF(Q1863="Y",1,IF(P1863&gt;='Read me'!$B$16,3,IF(AND(R1863&gt;='Read me'!$B$14,P1863&lt;='Read me'!$B$15),1,2))))</f>
        <v>1</v>
      </c>
    </row>
    <row r="1864" customFormat="false" ht="23.85" hidden="false" customHeight="false" outlineLevel="0" collapsed="false">
      <c r="A1864" s="11" t="s">
        <v>11281</v>
      </c>
      <c r="B1864" s="11" t="s">
        <v>48</v>
      </c>
      <c r="C1864" s="11" t="s">
        <v>407</v>
      </c>
      <c r="D1864" s="11" t="s">
        <v>408</v>
      </c>
      <c r="E1864" s="11" t="s">
        <v>476</v>
      </c>
      <c r="F1864" s="11" t="s">
        <v>11282</v>
      </c>
      <c r="G1864" s="11" t="s">
        <v>6948</v>
      </c>
      <c r="H1864" s="11"/>
      <c r="I1864" s="11" t="s">
        <v>11283</v>
      </c>
      <c r="J1864" s="11" t="s">
        <v>11284</v>
      </c>
      <c r="K1864" s="11" t="s">
        <v>8564</v>
      </c>
      <c r="L1864" s="11" t="s">
        <v>11285</v>
      </c>
      <c r="M1864" s="11"/>
      <c r="N1864" s="14" t="n">
        <v>1</v>
      </c>
      <c r="O1864" s="14" t="n">
        <v>3</v>
      </c>
      <c r="P1864" s="14" t="n">
        <v>1</v>
      </c>
      <c r="Q1864" s="14"/>
      <c r="R1864" s="12" t="n">
        <f aca="false">IF(OR(N1864="",P1864=""),"",ROUND(N1864*O1864/P1864,1))</f>
        <v>3</v>
      </c>
      <c r="S1864" s="13" t="n">
        <f aca="false">IF(R1864="","",IF(Q1864="Y",1,IF(P1864&gt;='Read me'!$B$16,3,IF(AND(R1864&gt;='Read me'!$B$14,P1864&lt;='Read me'!$B$15),1,2))))</f>
        <v>2</v>
      </c>
    </row>
    <row r="1865" customFormat="false" ht="23.85" hidden="false" customHeight="false" outlineLevel="0" collapsed="false">
      <c r="A1865" s="11" t="s">
        <v>11286</v>
      </c>
      <c r="B1865" s="11" t="s">
        <v>48</v>
      </c>
      <c r="C1865" s="11" t="s">
        <v>407</v>
      </c>
      <c r="D1865" s="11" t="s">
        <v>408</v>
      </c>
      <c r="E1865" s="11" t="s">
        <v>532</v>
      </c>
      <c r="F1865" s="11" t="s">
        <v>11287</v>
      </c>
      <c r="G1865" s="11" t="s">
        <v>11288</v>
      </c>
      <c r="H1865" s="11"/>
      <c r="I1865" s="11" t="s">
        <v>11289</v>
      </c>
      <c r="J1865" s="11" t="s">
        <v>11290</v>
      </c>
      <c r="K1865" s="11" t="s">
        <v>11291</v>
      </c>
      <c r="L1865" s="11" t="s">
        <v>3905</v>
      </c>
      <c r="M1865" s="11"/>
      <c r="N1865" s="14" t="n">
        <v>4</v>
      </c>
      <c r="O1865" s="14" t="n">
        <v>3</v>
      </c>
      <c r="P1865" s="14" t="n">
        <v>1</v>
      </c>
      <c r="Q1865" s="14"/>
      <c r="R1865" s="12" t="n">
        <f aca="false">IF(OR(N1865="",P1865=""),"",ROUND(N1865*O1865/P1865,1))</f>
        <v>12</v>
      </c>
      <c r="S1865" s="13" t="n">
        <f aca="false">IF(R1865="","",IF(Q1865="Y",1,IF(P1865&gt;='Read me'!$B$16,3,IF(AND(R1865&gt;='Read me'!$B$14,P1865&lt;='Read me'!$B$15),1,2))))</f>
        <v>1</v>
      </c>
    </row>
    <row r="1866" customFormat="false" ht="23.85" hidden="false" customHeight="false" outlineLevel="0" collapsed="false">
      <c r="A1866" s="11" t="s">
        <v>11292</v>
      </c>
      <c r="B1866" s="11" t="s">
        <v>48</v>
      </c>
      <c r="C1866" s="11" t="s">
        <v>407</v>
      </c>
      <c r="D1866" s="11" t="s">
        <v>408</v>
      </c>
      <c r="E1866" s="11" t="s">
        <v>626</v>
      </c>
      <c r="F1866" s="11" t="s">
        <v>11293</v>
      </c>
      <c r="G1866" s="11"/>
      <c r="H1866" s="11"/>
      <c r="I1866" s="11" t="s">
        <v>11294</v>
      </c>
      <c r="J1866" s="11" t="s">
        <v>11295</v>
      </c>
      <c r="K1866" s="11" t="s">
        <v>529</v>
      </c>
      <c r="L1866" s="11" t="s">
        <v>11296</v>
      </c>
      <c r="M1866" s="11"/>
      <c r="N1866" s="14" t="n">
        <v>2</v>
      </c>
      <c r="O1866" s="14" t="n">
        <v>2</v>
      </c>
      <c r="P1866" s="14" t="n">
        <v>1</v>
      </c>
      <c r="Q1866" s="14"/>
      <c r="R1866" s="12" t="n">
        <f aca="false">IF(OR(N1866="",P1866=""),"",ROUND(N1866*O1866/P1866,1))</f>
        <v>4</v>
      </c>
      <c r="S1866" s="13" t="n">
        <f aca="false">IF(R1866="","",IF(Q1866="Y",1,IF(P1866&gt;='Read me'!$B$16,3,IF(AND(R1866&gt;='Read me'!$B$14,P1866&lt;='Read me'!$B$15),1,2))))</f>
        <v>2</v>
      </c>
    </row>
    <row r="1867" customFormat="false" ht="23.85" hidden="false" customHeight="false" outlineLevel="0" collapsed="false">
      <c r="A1867" s="11" t="s">
        <v>11297</v>
      </c>
      <c r="B1867" s="11" t="s">
        <v>48</v>
      </c>
      <c r="C1867" s="11" t="s">
        <v>407</v>
      </c>
      <c r="D1867" s="11" t="s">
        <v>408</v>
      </c>
      <c r="E1867" s="11" t="s">
        <v>626</v>
      </c>
      <c r="F1867" s="11" t="s">
        <v>11298</v>
      </c>
      <c r="G1867" s="11" t="s">
        <v>11299</v>
      </c>
      <c r="H1867" s="11"/>
      <c r="I1867" s="11" t="s">
        <v>11300</v>
      </c>
      <c r="J1867" s="11" t="s">
        <v>11301</v>
      </c>
      <c r="K1867" s="11" t="s">
        <v>11302</v>
      </c>
      <c r="L1867" s="11" t="s">
        <v>11303</v>
      </c>
      <c r="M1867" s="11"/>
      <c r="N1867" s="14" t="n">
        <v>3</v>
      </c>
      <c r="O1867" s="14" t="n">
        <v>4</v>
      </c>
      <c r="P1867" s="14" t="n">
        <v>2</v>
      </c>
      <c r="Q1867" s="14"/>
      <c r="R1867" s="12" t="n">
        <f aca="false">IF(OR(N1867="",P1867=""),"",ROUND(N1867*O1867/P1867,1))</f>
        <v>6</v>
      </c>
      <c r="S1867" s="13" t="n">
        <f aca="false">IF(R1867="","",IF(Q1867="Y",1,IF(P1867&gt;='Read me'!$B$16,3,IF(AND(R1867&gt;='Read me'!$B$14,P1867&lt;='Read me'!$B$15),1,2))))</f>
        <v>1</v>
      </c>
    </row>
    <row r="1868" customFormat="false" ht="23.85" hidden="false" customHeight="false" outlineLevel="0" collapsed="false">
      <c r="A1868" s="11" t="s">
        <v>11304</v>
      </c>
      <c r="B1868" s="11" t="s">
        <v>48</v>
      </c>
      <c r="C1868" s="11" t="s">
        <v>407</v>
      </c>
      <c r="D1868" s="11" t="s">
        <v>408</v>
      </c>
      <c r="E1868" s="11" t="s">
        <v>751</v>
      </c>
      <c r="F1868" s="11" t="s">
        <v>11305</v>
      </c>
      <c r="G1868" s="11" t="s">
        <v>11306</v>
      </c>
      <c r="H1868" s="11"/>
      <c r="I1868" s="11" t="s">
        <v>11307</v>
      </c>
      <c r="J1868" s="11" t="s">
        <v>11308</v>
      </c>
      <c r="K1868" s="11" t="s">
        <v>11309</v>
      </c>
      <c r="L1868" s="11" t="s">
        <v>11310</v>
      </c>
      <c r="M1868" s="11"/>
      <c r="N1868" s="14" t="n">
        <v>4</v>
      </c>
      <c r="O1868" s="14" t="n">
        <v>4</v>
      </c>
      <c r="P1868" s="14" t="n">
        <v>2</v>
      </c>
      <c r="Q1868" s="14"/>
      <c r="R1868" s="12" t="n">
        <f aca="false">IF(OR(N1868="",P1868=""),"",ROUND(N1868*O1868/P1868,1))</f>
        <v>8</v>
      </c>
      <c r="S1868" s="13" t="n">
        <f aca="false">IF(R1868="","",IF(Q1868="Y",1,IF(P1868&gt;='Read me'!$B$16,3,IF(AND(R1868&gt;='Read me'!$B$14,P1868&lt;='Read me'!$B$15),1,2))))</f>
        <v>1</v>
      </c>
    </row>
    <row r="1869" customFormat="false" ht="35.05" hidden="false" customHeight="false" outlineLevel="0" collapsed="false">
      <c r="A1869" s="11" t="s">
        <v>11311</v>
      </c>
      <c r="B1869" s="11" t="s">
        <v>48</v>
      </c>
      <c r="C1869" s="11" t="s">
        <v>407</v>
      </c>
      <c r="D1869" s="11" t="s">
        <v>408</v>
      </c>
      <c r="E1869" s="11" t="s">
        <v>751</v>
      </c>
      <c r="F1869" s="11" t="s">
        <v>11312</v>
      </c>
      <c r="G1869" s="11" t="s">
        <v>11313</v>
      </c>
      <c r="H1869" s="11"/>
      <c r="I1869" s="11" t="s">
        <v>11314</v>
      </c>
      <c r="J1869" s="11" t="s">
        <v>11315</v>
      </c>
      <c r="K1869" s="11" t="s">
        <v>11316</v>
      </c>
      <c r="L1869" s="11" t="s">
        <v>11317</v>
      </c>
      <c r="M1869" s="11" t="s">
        <v>11318</v>
      </c>
      <c r="N1869" s="14" t="n">
        <v>3</v>
      </c>
      <c r="O1869" s="14" t="n">
        <v>4</v>
      </c>
      <c r="P1869" s="14" t="n">
        <v>2</v>
      </c>
      <c r="Q1869" s="14"/>
      <c r="R1869" s="12" t="n">
        <f aca="false">IF(OR(N1869="",P1869=""),"",ROUND(N1869*O1869/P1869,1))</f>
        <v>6</v>
      </c>
      <c r="S1869" s="13" t="n">
        <f aca="false">IF(R1869="","",IF(Q1869="Y",1,IF(P1869&gt;='Read me'!$B$16,3,IF(AND(R1869&gt;='Read me'!$B$14,P1869&lt;='Read me'!$B$15),1,2))))</f>
        <v>1</v>
      </c>
    </row>
    <row r="1870" customFormat="false" ht="35.05" hidden="false" customHeight="false" outlineLevel="0" collapsed="false">
      <c r="A1870" s="11" t="s">
        <v>11319</v>
      </c>
      <c r="B1870" s="11" t="s">
        <v>48</v>
      </c>
      <c r="C1870" s="11" t="s">
        <v>407</v>
      </c>
      <c r="D1870" s="11" t="s">
        <v>408</v>
      </c>
      <c r="E1870" s="11" t="s">
        <v>751</v>
      </c>
      <c r="F1870" s="11" t="s">
        <v>11320</v>
      </c>
      <c r="G1870" s="11" t="s">
        <v>11299</v>
      </c>
      <c r="H1870" s="11"/>
      <c r="I1870" s="11" t="s">
        <v>11321</v>
      </c>
      <c r="J1870" s="11" t="s">
        <v>11322</v>
      </c>
      <c r="K1870" s="11" t="s">
        <v>11323</v>
      </c>
      <c r="L1870" s="11" t="s">
        <v>11324</v>
      </c>
      <c r="M1870" s="11" t="s">
        <v>1577</v>
      </c>
      <c r="N1870" s="14" t="n">
        <v>3</v>
      </c>
      <c r="O1870" s="14" t="n">
        <v>5</v>
      </c>
      <c r="P1870" s="14" t="n">
        <v>3</v>
      </c>
      <c r="Q1870" s="14"/>
      <c r="R1870" s="12" t="n">
        <f aca="false">IF(OR(N1870="",P1870=""),"",ROUND(N1870*O1870/P1870,1))</f>
        <v>5</v>
      </c>
      <c r="S1870" s="13" t="n">
        <f aca="false">IF(R1870="","",IF(Q1870="Y",1,IF(P1870&gt;='Read me'!$B$16,3,IF(AND(R1870&gt;='Read me'!$B$14,P1870&lt;='Read me'!$B$15),1,2))))</f>
        <v>2</v>
      </c>
    </row>
    <row r="1871" customFormat="false" ht="35.05" hidden="false" customHeight="false" outlineLevel="0" collapsed="false">
      <c r="A1871" s="11" t="s">
        <v>11325</v>
      </c>
      <c r="B1871" s="11" t="s">
        <v>48</v>
      </c>
      <c r="C1871" s="11" t="s">
        <v>407</v>
      </c>
      <c r="D1871" s="11" t="s">
        <v>408</v>
      </c>
      <c r="E1871" s="11" t="s">
        <v>751</v>
      </c>
      <c r="F1871" s="11" t="s">
        <v>11326</v>
      </c>
      <c r="G1871" s="11" t="s">
        <v>11327</v>
      </c>
      <c r="H1871" s="11"/>
      <c r="I1871" s="11" t="s">
        <v>11328</v>
      </c>
      <c r="J1871" s="11" t="s">
        <v>11329</v>
      </c>
      <c r="K1871" s="11" t="s">
        <v>11330</v>
      </c>
      <c r="L1871" s="11" t="s">
        <v>11331</v>
      </c>
      <c r="M1871" s="11" t="s">
        <v>11332</v>
      </c>
      <c r="N1871" s="14" t="n">
        <v>2</v>
      </c>
      <c r="O1871" s="14" t="n">
        <v>4</v>
      </c>
      <c r="P1871" s="14" t="n">
        <v>4</v>
      </c>
      <c r="Q1871" s="14"/>
      <c r="R1871" s="12" t="n">
        <f aca="false">IF(OR(N1871="",P1871=""),"",ROUND(N1871*O1871/P1871,1))</f>
        <v>2</v>
      </c>
      <c r="S1871" s="13" t="n">
        <f aca="false">IF(R1871="","",IF(Q1871="Y",1,IF(P1871&gt;='Read me'!$B$16,3,IF(AND(R1871&gt;='Read me'!$B$14,P1871&lt;='Read me'!$B$15),1,2))))</f>
        <v>3</v>
      </c>
    </row>
    <row r="1872" customFormat="false" ht="35.05" hidden="false" customHeight="false" outlineLevel="0" collapsed="false">
      <c r="A1872" s="11" t="s">
        <v>11333</v>
      </c>
      <c r="B1872" s="11" t="s">
        <v>48</v>
      </c>
      <c r="C1872" s="11" t="s">
        <v>407</v>
      </c>
      <c r="D1872" s="11" t="s">
        <v>408</v>
      </c>
      <c r="E1872" s="11" t="s">
        <v>751</v>
      </c>
      <c r="F1872" s="11" t="s">
        <v>11334</v>
      </c>
      <c r="G1872" s="11" t="s">
        <v>11335</v>
      </c>
      <c r="H1872" s="11"/>
      <c r="I1872" s="11" t="s">
        <v>11336</v>
      </c>
      <c r="J1872" s="11" t="s">
        <v>11337</v>
      </c>
      <c r="K1872" s="11" t="s">
        <v>11338</v>
      </c>
      <c r="L1872" s="11" t="s">
        <v>11339</v>
      </c>
      <c r="M1872" s="11"/>
      <c r="N1872" s="14" t="n">
        <v>3</v>
      </c>
      <c r="O1872" s="14" t="n">
        <v>3</v>
      </c>
      <c r="P1872" s="14" t="n">
        <v>2</v>
      </c>
      <c r="Q1872" s="14"/>
      <c r="R1872" s="12" t="n">
        <f aca="false">IF(OR(N1872="",P1872=""),"",ROUND(N1872*O1872/P1872,1))</f>
        <v>4.5</v>
      </c>
      <c r="S1872" s="13" t="n">
        <f aca="false">IF(R1872="","",IF(Q1872="Y",1,IF(P1872&gt;='Read me'!$B$16,3,IF(AND(R1872&gt;='Read me'!$B$14,P1872&lt;='Read me'!$B$15),1,2))))</f>
        <v>2</v>
      </c>
    </row>
    <row r="1873" customFormat="false" ht="23.85" hidden="false" customHeight="false" outlineLevel="0" collapsed="false">
      <c r="A1873" s="11" t="s">
        <v>11340</v>
      </c>
      <c r="B1873" s="11" t="s">
        <v>48</v>
      </c>
      <c r="C1873" s="11" t="s">
        <v>407</v>
      </c>
      <c r="D1873" s="11" t="s">
        <v>408</v>
      </c>
      <c r="E1873" s="11" t="s">
        <v>751</v>
      </c>
      <c r="F1873" s="11" t="s">
        <v>11334</v>
      </c>
      <c r="G1873" s="11" t="s">
        <v>11341</v>
      </c>
      <c r="H1873" s="11"/>
      <c r="I1873" s="11" t="s">
        <v>11342</v>
      </c>
      <c r="J1873" s="11" t="s">
        <v>11343</v>
      </c>
      <c r="K1873" s="11" t="s">
        <v>11344</v>
      </c>
      <c r="L1873" s="11" t="s">
        <v>11345</v>
      </c>
      <c r="M1873" s="11" t="s">
        <v>1577</v>
      </c>
      <c r="N1873" s="14" t="n">
        <v>3</v>
      </c>
      <c r="O1873" s="14" t="n">
        <v>3</v>
      </c>
      <c r="P1873" s="14" t="n">
        <v>2</v>
      </c>
      <c r="Q1873" s="14"/>
      <c r="R1873" s="12" t="n">
        <f aca="false">IF(OR(N1873="",P1873=""),"",ROUND(N1873*O1873/P1873,1))</f>
        <v>4.5</v>
      </c>
      <c r="S1873" s="13" t="n">
        <f aca="false">IF(R1873="","",IF(Q1873="Y",1,IF(P1873&gt;='Read me'!$B$16,3,IF(AND(R1873&gt;='Read me'!$B$14,P1873&lt;='Read me'!$B$15),1,2))))</f>
        <v>2</v>
      </c>
    </row>
    <row r="1874" customFormat="false" ht="23.85" hidden="false" customHeight="false" outlineLevel="0" collapsed="false">
      <c r="A1874" s="11" t="s">
        <v>11346</v>
      </c>
      <c r="B1874" s="11" t="s">
        <v>48</v>
      </c>
      <c r="C1874" s="11" t="s">
        <v>407</v>
      </c>
      <c r="D1874" s="11" t="s">
        <v>408</v>
      </c>
      <c r="E1874" s="11" t="s">
        <v>1187</v>
      </c>
      <c r="F1874" s="11" t="s">
        <v>11347</v>
      </c>
      <c r="G1874" s="11" t="s">
        <v>11348</v>
      </c>
      <c r="H1874" s="11" t="s">
        <v>11349</v>
      </c>
      <c r="I1874" s="11" t="s">
        <v>11350</v>
      </c>
      <c r="J1874" s="11" t="s">
        <v>11351</v>
      </c>
      <c r="K1874" s="11" t="s">
        <v>10847</v>
      </c>
      <c r="L1874" s="11" t="s">
        <v>11352</v>
      </c>
      <c r="M1874" s="11"/>
      <c r="N1874" s="14" t="n">
        <v>3</v>
      </c>
      <c r="O1874" s="14" t="n">
        <v>3</v>
      </c>
      <c r="P1874" s="14" t="n">
        <v>2</v>
      </c>
      <c r="Q1874" s="14"/>
      <c r="R1874" s="12" t="n">
        <f aca="false">IF(OR(N1874="",P1874=""),"",ROUND(N1874*O1874/P1874,1))</f>
        <v>4.5</v>
      </c>
      <c r="S1874" s="13" t="n">
        <f aca="false">IF(R1874="","",IF(Q1874="Y",1,IF(P1874&gt;='Read me'!$B$16,3,IF(AND(R1874&gt;='Read me'!$B$14,P1874&lt;='Read me'!$B$15),1,2))))</f>
        <v>2</v>
      </c>
    </row>
    <row r="1875" customFormat="false" ht="35.05" hidden="false" customHeight="false" outlineLevel="0" collapsed="false">
      <c r="A1875" s="11" t="s">
        <v>11353</v>
      </c>
      <c r="B1875" s="11" t="s">
        <v>48</v>
      </c>
      <c r="C1875" s="11" t="s">
        <v>407</v>
      </c>
      <c r="D1875" s="11" t="s">
        <v>408</v>
      </c>
      <c r="E1875" s="11" t="s">
        <v>1187</v>
      </c>
      <c r="F1875" s="11" t="s">
        <v>11354</v>
      </c>
      <c r="G1875" s="11" t="s">
        <v>11355</v>
      </c>
      <c r="H1875" s="11" t="s">
        <v>11356</v>
      </c>
      <c r="I1875" s="11" t="s">
        <v>11357</v>
      </c>
      <c r="J1875" s="11" t="s">
        <v>11358</v>
      </c>
      <c r="K1875" s="11" t="s">
        <v>4587</v>
      </c>
      <c r="L1875" s="11" t="s">
        <v>11359</v>
      </c>
      <c r="M1875" s="11"/>
      <c r="N1875" s="14" t="n">
        <v>3</v>
      </c>
      <c r="O1875" s="14" t="n">
        <v>3</v>
      </c>
      <c r="P1875" s="14" t="n">
        <v>2</v>
      </c>
      <c r="Q1875" s="14"/>
      <c r="R1875" s="12" t="n">
        <f aca="false">IF(OR(N1875="",P1875=""),"",ROUND(N1875*O1875/P1875,1))</f>
        <v>4.5</v>
      </c>
      <c r="S1875" s="13" t="n">
        <f aca="false">IF(R1875="","",IF(Q1875="Y",1,IF(P1875&gt;='Read me'!$B$16,3,IF(AND(R1875&gt;='Read me'!$B$14,P1875&lt;='Read me'!$B$15),1,2))))</f>
        <v>2</v>
      </c>
    </row>
    <row r="1876" customFormat="false" ht="35.05" hidden="false" customHeight="false" outlineLevel="0" collapsed="false">
      <c r="A1876" s="11" t="s">
        <v>11360</v>
      </c>
      <c r="B1876" s="11" t="s">
        <v>48</v>
      </c>
      <c r="C1876" s="11" t="s">
        <v>407</v>
      </c>
      <c r="D1876" s="11" t="s">
        <v>408</v>
      </c>
      <c r="E1876" s="11" t="s">
        <v>1187</v>
      </c>
      <c r="F1876" s="11" t="s">
        <v>11354</v>
      </c>
      <c r="G1876" s="11" t="s">
        <v>11361</v>
      </c>
      <c r="H1876" s="11" t="s">
        <v>11362</v>
      </c>
      <c r="I1876" s="11" t="s">
        <v>11363</v>
      </c>
      <c r="J1876" s="11" t="s">
        <v>11364</v>
      </c>
      <c r="K1876" s="11" t="s">
        <v>11365</v>
      </c>
      <c r="L1876" s="11" t="s">
        <v>11366</v>
      </c>
      <c r="M1876" s="11"/>
      <c r="N1876" s="14" t="n">
        <v>2</v>
      </c>
      <c r="O1876" s="14" t="n">
        <v>2</v>
      </c>
      <c r="P1876" s="14" t="n">
        <v>1</v>
      </c>
      <c r="Q1876" s="14"/>
      <c r="R1876" s="12" t="n">
        <f aca="false">IF(OR(N1876="",P1876=""),"",ROUND(N1876*O1876/P1876,1))</f>
        <v>4</v>
      </c>
      <c r="S1876" s="13" t="n">
        <f aca="false">IF(R1876="","",IF(Q1876="Y",1,IF(P1876&gt;='Read me'!$B$16,3,IF(AND(R1876&gt;='Read me'!$B$14,P1876&lt;='Read me'!$B$15),1,2))))</f>
        <v>2</v>
      </c>
    </row>
    <row r="1877" customFormat="false" ht="23.85" hidden="false" customHeight="false" outlineLevel="0" collapsed="false">
      <c r="A1877" s="11" t="s">
        <v>11367</v>
      </c>
      <c r="B1877" s="11" t="s">
        <v>48</v>
      </c>
      <c r="C1877" s="11" t="s">
        <v>407</v>
      </c>
      <c r="D1877" s="11" t="s">
        <v>408</v>
      </c>
      <c r="E1877" s="11" t="s">
        <v>1187</v>
      </c>
      <c r="F1877" s="11" t="s">
        <v>4530</v>
      </c>
      <c r="G1877" s="11" t="s">
        <v>11368</v>
      </c>
      <c r="H1877" s="11" t="s">
        <v>4577</v>
      </c>
      <c r="I1877" s="11" t="s">
        <v>11369</v>
      </c>
      <c r="J1877" s="11" t="s">
        <v>11370</v>
      </c>
      <c r="K1877" s="11" t="s">
        <v>11371</v>
      </c>
      <c r="L1877" s="11" t="s">
        <v>11372</v>
      </c>
      <c r="M1877" s="11"/>
      <c r="N1877" s="14" t="n">
        <v>2</v>
      </c>
      <c r="O1877" s="14" t="n">
        <v>2</v>
      </c>
      <c r="P1877" s="14" t="n">
        <v>1</v>
      </c>
      <c r="Q1877" s="14"/>
      <c r="R1877" s="12" t="n">
        <f aca="false">IF(OR(N1877="",P1877=""),"",ROUND(N1877*O1877/P1877,1))</f>
        <v>4</v>
      </c>
      <c r="S1877" s="13" t="n">
        <f aca="false">IF(R1877="","",IF(Q1877="Y",1,IF(P1877&gt;='Read me'!$B$16,3,IF(AND(R1877&gt;='Read me'!$B$14,P1877&lt;='Read me'!$B$15),1,2))))</f>
        <v>2</v>
      </c>
    </row>
    <row r="1878" customFormat="false" ht="23.85" hidden="false" customHeight="false" outlineLevel="0" collapsed="false">
      <c r="A1878" s="11" t="s">
        <v>11373</v>
      </c>
      <c r="B1878" s="11" t="s">
        <v>48</v>
      </c>
      <c r="C1878" s="11" t="s">
        <v>407</v>
      </c>
      <c r="D1878" s="11" t="s">
        <v>408</v>
      </c>
      <c r="E1878" s="11" t="s">
        <v>1187</v>
      </c>
      <c r="F1878" s="11" t="s">
        <v>4530</v>
      </c>
      <c r="G1878" s="11" t="s">
        <v>4537</v>
      </c>
      <c r="H1878" s="11" t="s">
        <v>11220</v>
      </c>
      <c r="I1878" s="11" t="s">
        <v>11374</v>
      </c>
      <c r="J1878" s="11" t="s">
        <v>11375</v>
      </c>
      <c r="K1878" s="11" t="s">
        <v>11376</v>
      </c>
      <c r="L1878" s="11" t="s">
        <v>11377</v>
      </c>
      <c r="M1878" s="11"/>
      <c r="N1878" s="14" t="n">
        <v>2</v>
      </c>
      <c r="O1878" s="14" t="n">
        <v>2</v>
      </c>
      <c r="P1878" s="14" t="n">
        <v>1</v>
      </c>
      <c r="Q1878" s="14"/>
      <c r="R1878" s="12" t="n">
        <f aca="false">IF(OR(N1878="",P1878=""),"",ROUND(N1878*O1878/P1878,1))</f>
        <v>4</v>
      </c>
      <c r="S1878" s="13" t="n">
        <f aca="false">IF(R1878="","",IF(Q1878="Y",1,IF(P1878&gt;='Read me'!$B$16,3,IF(AND(R1878&gt;='Read me'!$B$14,P1878&lt;='Read me'!$B$15),1,2))))</f>
        <v>2</v>
      </c>
    </row>
    <row r="1879" customFormat="false" ht="23.85" hidden="false" customHeight="false" outlineLevel="0" collapsed="false">
      <c r="A1879" s="11" t="s">
        <v>11378</v>
      </c>
      <c r="B1879" s="11" t="s">
        <v>48</v>
      </c>
      <c r="C1879" s="11" t="s">
        <v>407</v>
      </c>
      <c r="D1879" s="11" t="s">
        <v>408</v>
      </c>
      <c r="E1879" s="11" t="s">
        <v>1187</v>
      </c>
      <c r="F1879" s="11" t="s">
        <v>11379</v>
      </c>
      <c r="G1879" s="11" t="s">
        <v>11380</v>
      </c>
      <c r="H1879" s="11" t="s">
        <v>11381</v>
      </c>
      <c r="I1879" s="11" t="s">
        <v>11382</v>
      </c>
      <c r="J1879" s="11" t="s">
        <v>11383</v>
      </c>
      <c r="K1879" s="11" t="s">
        <v>11217</v>
      </c>
      <c r="L1879" s="11" t="s">
        <v>11384</v>
      </c>
      <c r="M1879" s="11"/>
      <c r="N1879" s="14" t="n">
        <v>2</v>
      </c>
      <c r="O1879" s="14" t="n">
        <v>2</v>
      </c>
      <c r="P1879" s="14" t="n">
        <v>2</v>
      </c>
      <c r="Q1879" s="14"/>
      <c r="R1879" s="12" t="n">
        <f aca="false">IF(OR(N1879="",P1879=""),"",ROUND(N1879*O1879/P1879,1))</f>
        <v>2</v>
      </c>
      <c r="S1879" s="13" t="n">
        <f aca="false">IF(R1879="","",IF(Q1879="Y",1,IF(P1879&gt;='Read me'!$B$16,3,IF(AND(R1879&gt;='Read me'!$B$14,P1879&lt;='Read me'!$B$15),1,2))))</f>
        <v>2</v>
      </c>
    </row>
    <row r="1880" customFormat="false" ht="23.85" hidden="false" customHeight="false" outlineLevel="0" collapsed="false">
      <c r="A1880" s="11" t="s">
        <v>11385</v>
      </c>
      <c r="B1880" s="11" t="s">
        <v>48</v>
      </c>
      <c r="C1880" s="11" t="s">
        <v>407</v>
      </c>
      <c r="D1880" s="11" t="s">
        <v>408</v>
      </c>
      <c r="E1880" s="11" t="s">
        <v>1187</v>
      </c>
      <c r="F1880" s="11" t="s">
        <v>11386</v>
      </c>
      <c r="G1880" s="11" t="s">
        <v>11387</v>
      </c>
      <c r="H1880" s="11" t="s">
        <v>11388</v>
      </c>
      <c r="I1880" s="11" t="s">
        <v>11389</v>
      </c>
      <c r="J1880" s="11" t="s">
        <v>11390</v>
      </c>
      <c r="K1880" s="11" t="s">
        <v>11087</v>
      </c>
      <c r="L1880" s="11" t="s">
        <v>11391</v>
      </c>
      <c r="M1880" s="11"/>
      <c r="N1880" s="14" t="n">
        <v>2</v>
      </c>
      <c r="O1880" s="14" t="n">
        <v>3</v>
      </c>
      <c r="P1880" s="14" t="n">
        <v>3</v>
      </c>
      <c r="Q1880" s="14"/>
      <c r="R1880" s="12" t="n">
        <f aca="false">IF(OR(N1880="",P1880=""),"",ROUND(N1880*O1880/P1880,1))</f>
        <v>2</v>
      </c>
      <c r="S1880" s="13" t="n">
        <f aca="false">IF(R1880="","",IF(Q1880="Y",1,IF(P1880&gt;='Read me'!$B$16,3,IF(AND(R1880&gt;='Read me'!$B$14,P1880&lt;='Read me'!$B$15),1,2))))</f>
        <v>2</v>
      </c>
    </row>
    <row r="1881" customFormat="false" ht="23.85" hidden="false" customHeight="false" outlineLevel="0" collapsed="false">
      <c r="A1881" s="11" t="s">
        <v>11392</v>
      </c>
      <c r="B1881" s="11" t="s">
        <v>48</v>
      </c>
      <c r="C1881" s="11" t="s">
        <v>407</v>
      </c>
      <c r="D1881" s="11" t="s">
        <v>408</v>
      </c>
      <c r="E1881" s="11" t="s">
        <v>1133</v>
      </c>
      <c r="F1881" s="11" t="s">
        <v>11393</v>
      </c>
      <c r="G1881" s="11"/>
      <c r="H1881" s="11"/>
      <c r="I1881" s="11" t="s">
        <v>11394</v>
      </c>
      <c r="J1881" s="11" t="s">
        <v>11395</v>
      </c>
      <c r="K1881" s="11" t="s">
        <v>11396</v>
      </c>
      <c r="L1881" s="11" t="s">
        <v>11397</v>
      </c>
      <c r="M1881" s="11"/>
      <c r="N1881" s="14" t="n">
        <v>3</v>
      </c>
      <c r="O1881" s="14" t="n">
        <v>3</v>
      </c>
      <c r="P1881" s="14" t="n">
        <v>2</v>
      </c>
      <c r="Q1881" s="14"/>
      <c r="R1881" s="12" t="n">
        <f aca="false">IF(OR(N1881="",P1881=""),"",ROUND(N1881*O1881/P1881,1))</f>
        <v>4.5</v>
      </c>
      <c r="S1881" s="13" t="n">
        <f aca="false">IF(R1881="","",IF(Q1881="Y",1,IF(P1881&gt;='Read me'!$B$16,3,IF(AND(R1881&gt;='Read me'!$B$14,P1881&lt;='Read me'!$B$15),1,2))))</f>
        <v>2</v>
      </c>
    </row>
    <row r="1882" customFormat="false" ht="23.85" hidden="false" customHeight="false" outlineLevel="0" collapsed="false">
      <c r="A1882" s="11" t="s">
        <v>11398</v>
      </c>
      <c r="B1882" s="11" t="s">
        <v>48</v>
      </c>
      <c r="C1882" s="11" t="s">
        <v>407</v>
      </c>
      <c r="D1882" s="11" t="s">
        <v>408</v>
      </c>
      <c r="E1882" s="11" t="s">
        <v>1133</v>
      </c>
      <c r="F1882" s="11" t="s">
        <v>11399</v>
      </c>
      <c r="G1882" s="11"/>
      <c r="H1882" s="11"/>
      <c r="I1882" s="11" t="s">
        <v>11400</v>
      </c>
      <c r="J1882" s="11" t="s">
        <v>11401</v>
      </c>
      <c r="K1882" s="11" t="s">
        <v>11402</v>
      </c>
      <c r="L1882" s="11" t="s">
        <v>11403</v>
      </c>
      <c r="M1882" s="11"/>
      <c r="N1882" s="14" t="n">
        <v>3</v>
      </c>
      <c r="O1882" s="14" t="n">
        <v>3</v>
      </c>
      <c r="P1882" s="14" t="n">
        <v>2</v>
      </c>
      <c r="Q1882" s="14"/>
      <c r="R1882" s="12" t="n">
        <f aca="false">IF(OR(N1882="",P1882=""),"",ROUND(N1882*O1882/P1882,1))</f>
        <v>4.5</v>
      </c>
      <c r="S1882" s="13" t="n">
        <f aca="false">IF(R1882="","",IF(Q1882="Y",1,IF(P1882&gt;='Read me'!$B$16,3,IF(AND(R1882&gt;='Read me'!$B$14,P1882&lt;='Read me'!$B$15),1,2))))</f>
        <v>2</v>
      </c>
    </row>
    <row r="1883" customFormat="false" ht="35.05" hidden="false" customHeight="false" outlineLevel="0" collapsed="false">
      <c r="A1883" s="11" t="s">
        <v>11404</v>
      </c>
      <c r="B1883" s="11" t="s">
        <v>48</v>
      </c>
      <c r="C1883" s="11" t="s">
        <v>407</v>
      </c>
      <c r="D1883" s="11" t="s">
        <v>408</v>
      </c>
      <c r="E1883" s="11" t="s">
        <v>1372</v>
      </c>
      <c r="F1883" s="11" t="s">
        <v>11405</v>
      </c>
      <c r="G1883" s="11"/>
      <c r="H1883" s="11"/>
      <c r="I1883" s="11" t="s">
        <v>11406</v>
      </c>
      <c r="J1883" s="11" t="s">
        <v>11407</v>
      </c>
      <c r="K1883" s="11" t="s">
        <v>11408</v>
      </c>
      <c r="L1883" s="11" t="s">
        <v>11296</v>
      </c>
      <c r="M1883" s="11"/>
      <c r="N1883" s="14" t="n">
        <v>5</v>
      </c>
      <c r="O1883" s="14" t="n">
        <v>4</v>
      </c>
      <c r="P1883" s="14" t="n">
        <v>2</v>
      </c>
      <c r="Q1883" s="14"/>
      <c r="R1883" s="12" t="n">
        <f aca="false">IF(OR(N1883="",P1883=""),"",ROUND(N1883*O1883/P1883,1))</f>
        <v>10</v>
      </c>
      <c r="S1883" s="13" t="n">
        <f aca="false">IF(R1883="","",IF(Q1883="Y",1,IF(P1883&gt;='Read me'!$B$16,3,IF(AND(R1883&gt;='Read me'!$B$14,P1883&lt;='Read me'!$B$15),1,2))))</f>
        <v>1</v>
      </c>
    </row>
    <row r="1884" customFormat="false" ht="23.85" hidden="false" customHeight="false" outlineLevel="0" collapsed="false">
      <c r="A1884" s="11" t="s">
        <v>11409</v>
      </c>
      <c r="B1884" s="11" t="s">
        <v>48</v>
      </c>
      <c r="C1884" s="11" t="s">
        <v>407</v>
      </c>
      <c r="D1884" s="11" t="s">
        <v>408</v>
      </c>
      <c r="E1884" s="11" t="s">
        <v>1372</v>
      </c>
      <c r="F1884" s="11" t="s">
        <v>4608</v>
      </c>
      <c r="G1884" s="11"/>
      <c r="H1884" s="11"/>
      <c r="I1884" s="11" t="s">
        <v>11410</v>
      </c>
      <c r="J1884" s="11" t="s">
        <v>11411</v>
      </c>
      <c r="K1884" s="11" t="s">
        <v>11412</v>
      </c>
      <c r="L1884" s="11" t="s">
        <v>11413</v>
      </c>
      <c r="M1884" s="11"/>
      <c r="N1884" s="14" t="n">
        <v>2</v>
      </c>
      <c r="O1884" s="14" t="n">
        <v>1</v>
      </c>
      <c r="P1884" s="14" t="n">
        <v>1</v>
      </c>
      <c r="Q1884" s="14"/>
      <c r="R1884" s="12" t="n">
        <f aca="false">IF(OR(N1884="",P1884=""),"",ROUND(N1884*O1884/P1884,1))</f>
        <v>2</v>
      </c>
      <c r="S1884" s="13" t="n">
        <f aca="false">IF(R1884="","",IF(Q1884="Y",1,IF(P1884&gt;='Read me'!$B$16,3,IF(AND(R1884&gt;='Read me'!$B$14,P1884&lt;='Read me'!$B$15),1,2))))</f>
        <v>2</v>
      </c>
    </row>
    <row r="1885" customFormat="false" ht="35.05" hidden="false" customHeight="false" outlineLevel="0" collapsed="false">
      <c r="A1885" s="11" t="s">
        <v>11414</v>
      </c>
      <c r="B1885" s="11" t="s">
        <v>48</v>
      </c>
      <c r="C1885" s="11" t="s">
        <v>407</v>
      </c>
      <c r="D1885" s="11" t="s">
        <v>408</v>
      </c>
      <c r="E1885" s="11" t="s">
        <v>1372</v>
      </c>
      <c r="F1885" s="11" t="s">
        <v>11415</v>
      </c>
      <c r="G1885" s="11" t="s">
        <v>11416</v>
      </c>
      <c r="H1885" s="11"/>
      <c r="I1885" s="11" t="s">
        <v>11417</v>
      </c>
      <c r="J1885" s="11" t="s">
        <v>11418</v>
      </c>
      <c r="K1885" s="11" t="s">
        <v>1609</v>
      </c>
      <c r="L1885" s="11" t="s">
        <v>11419</v>
      </c>
      <c r="M1885" s="11"/>
      <c r="N1885" s="14" t="n">
        <v>2</v>
      </c>
      <c r="O1885" s="14" t="n">
        <v>3</v>
      </c>
      <c r="P1885" s="14" t="n">
        <v>3</v>
      </c>
      <c r="Q1885" s="14"/>
      <c r="R1885" s="12" t="n">
        <f aca="false">IF(OR(N1885="",P1885=""),"",ROUND(N1885*O1885/P1885,1))</f>
        <v>2</v>
      </c>
      <c r="S1885" s="13" t="n">
        <f aca="false">IF(R1885="","",IF(Q1885="Y",1,IF(P1885&gt;='Read me'!$B$16,3,IF(AND(R1885&gt;='Read me'!$B$14,P1885&lt;='Read me'!$B$15),1,2))))</f>
        <v>2</v>
      </c>
    </row>
    <row r="1886" customFormat="false" ht="23.85" hidden="false" customHeight="false" outlineLevel="0" collapsed="false">
      <c r="A1886" s="11" t="s">
        <v>11420</v>
      </c>
      <c r="B1886" s="11" t="s">
        <v>48</v>
      </c>
      <c r="C1886" s="11" t="s">
        <v>407</v>
      </c>
      <c r="D1886" s="11" t="s">
        <v>408</v>
      </c>
      <c r="E1886" s="11" t="s">
        <v>1372</v>
      </c>
      <c r="F1886" s="11" t="s">
        <v>11421</v>
      </c>
      <c r="G1886" s="11" t="s">
        <v>11422</v>
      </c>
      <c r="H1886" s="11"/>
      <c r="I1886" s="11" t="s">
        <v>11423</v>
      </c>
      <c r="J1886" s="11" t="s">
        <v>11424</v>
      </c>
      <c r="K1886" s="11" t="s">
        <v>11425</v>
      </c>
      <c r="L1886" s="11" t="s">
        <v>11426</v>
      </c>
      <c r="M1886" s="11"/>
      <c r="N1886" s="14" t="n">
        <v>1</v>
      </c>
      <c r="O1886" s="14" t="n">
        <v>2</v>
      </c>
      <c r="P1886" s="14" t="n">
        <v>3</v>
      </c>
      <c r="Q1886" s="14"/>
      <c r="R1886" s="12" t="n">
        <f aca="false">IF(OR(N1886="",P1886=""),"",ROUND(N1886*O1886/P1886,1))</f>
        <v>0.7</v>
      </c>
      <c r="S1886" s="13" t="n">
        <f aca="false">IF(R1886="","",IF(Q1886="Y",1,IF(P1886&gt;='Read me'!$B$16,3,IF(AND(R1886&gt;='Read me'!$B$14,P1886&lt;='Read me'!$B$15),1,2))))</f>
        <v>2</v>
      </c>
    </row>
    <row r="1887" customFormat="false" ht="23.85" hidden="false" customHeight="false" outlineLevel="0" collapsed="false">
      <c r="A1887" s="11" t="s">
        <v>11427</v>
      </c>
      <c r="B1887" s="11" t="s">
        <v>48</v>
      </c>
      <c r="C1887" s="11" t="s">
        <v>411</v>
      </c>
      <c r="D1887" s="11" t="s">
        <v>412</v>
      </c>
      <c r="E1887" s="11" t="s">
        <v>476</v>
      </c>
      <c r="F1887" s="11" t="s">
        <v>11428</v>
      </c>
      <c r="G1887" s="11" t="s">
        <v>11429</v>
      </c>
      <c r="H1887" s="11"/>
      <c r="I1887" s="11" t="s">
        <v>11430</v>
      </c>
      <c r="J1887" s="11" t="s">
        <v>11431</v>
      </c>
      <c r="K1887" s="11" t="s">
        <v>11432</v>
      </c>
      <c r="L1887" s="11" t="s">
        <v>11433</v>
      </c>
      <c r="M1887" s="11" t="s">
        <v>11434</v>
      </c>
      <c r="N1887" s="14" t="n">
        <v>3</v>
      </c>
      <c r="O1887" s="14" t="n">
        <v>3</v>
      </c>
      <c r="P1887" s="14" t="n">
        <v>4</v>
      </c>
      <c r="Q1887" s="14"/>
      <c r="R1887" s="12" t="n">
        <f aca="false">IF(OR(N1887="",P1887=""),"",ROUND(N1887*O1887/P1887,1))</f>
        <v>2.3</v>
      </c>
      <c r="S1887" s="13" t="n">
        <f aca="false">IF(R1887="","",IF(Q1887="Y",1,IF(P1887&gt;='Read me'!$B$16,3,IF(AND(R1887&gt;='Read me'!$B$14,P1887&lt;='Read me'!$B$15),1,2))))</f>
        <v>3</v>
      </c>
    </row>
    <row r="1888" customFormat="false" ht="23.85" hidden="false" customHeight="false" outlineLevel="0" collapsed="false">
      <c r="A1888" s="11" t="s">
        <v>11435</v>
      </c>
      <c r="B1888" s="11" t="s">
        <v>48</v>
      </c>
      <c r="C1888" s="11" t="s">
        <v>411</v>
      </c>
      <c r="D1888" s="11" t="s">
        <v>412</v>
      </c>
      <c r="E1888" s="11" t="s">
        <v>476</v>
      </c>
      <c r="F1888" s="11" t="s">
        <v>11428</v>
      </c>
      <c r="G1888" s="11" t="s">
        <v>11436</v>
      </c>
      <c r="H1888" s="11"/>
      <c r="I1888" s="11" t="s">
        <v>11437</v>
      </c>
      <c r="J1888" s="11" t="s">
        <v>11438</v>
      </c>
      <c r="K1888" s="11" t="s">
        <v>11432</v>
      </c>
      <c r="L1888" s="11" t="s">
        <v>11439</v>
      </c>
      <c r="M1888" s="11" t="s">
        <v>11440</v>
      </c>
      <c r="N1888" s="14" t="n">
        <v>3</v>
      </c>
      <c r="O1888" s="14" t="n">
        <v>3</v>
      </c>
      <c r="P1888" s="14" t="n">
        <v>4</v>
      </c>
      <c r="Q1888" s="14"/>
      <c r="R1888" s="12" t="n">
        <f aca="false">IF(OR(N1888="",P1888=""),"",ROUND(N1888*O1888/P1888,1))</f>
        <v>2.3</v>
      </c>
      <c r="S1888" s="13" t="n">
        <f aca="false">IF(R1888="","",IF(Q1888="Y",1,IF(P1888&gt;='Read me'!$B$16,3,IF(AND(R1888&gt;='Read me'!$B$14,P1888&lt;='Read me'!$B$15),1,2))))</f>
        <v>3</v>
      </c>
    </row>
    <row r="1889" customFormat="false" ht="35.05" hidden="false" customHeight="false" outlineLevel="0" collapsed="false">
      <c r="A1889" s="11" t="s">
        <v>11441</v>
      </c>
      <c r="B1889" s="11" t="s">
        <v>48</v>
      </c>
      <c r="C1889" s="11" t="s">
        <v>411</v>
      </c>
      <c r="D1889" s="11" t="s">
        <v>412</v>
      </c>
      <c r="E1889" s="11" t="s">
        <v>476</v>
      </c>
      <c r="F1889" s="11" t="s">
        <v>11442</v>
      </c>
      <c r="G1889" s="11" t="s">
        <v>11443</v>
      </c>
      <c r="H1889" s="11"/>
      <c r="I1889" s="11" t="s">
        <v>11444</v>
      </c>
      <c r="J1889" s="11" t="s">
        <v>11445</v>
      </c>
      <c r="K1889" s="11" t="s">
        <v>11446</v>
      </c>
      <c r="L1889" s="11" t="s">
        <v>11447</v>
      </c>
      <c r="M1889" s="11" t="s">
        <v>11448</v>
      </c>
      <c r="N1889" s="14" t="n">
        <v>2</v>
      </c>
      <c r="O1889" s="14" t="n">
        <v>3</v>
      </c>
      <c r="P1889" s="14" t="n">
        <v>4</v>
      </c>
      <c r="Q1889" s="14"/>
      <c r="R1889" s="12" t="n">
        <f aca="false">IF(OR(N1889="",P1889=""),"",ROUND(N1889*O1889/P1889,1))</f>
        <v>1.5</v>
      </c>
      <c r="S1889" s="13" t="n">
        <f aca="false">IF(R1889="","",IF(Q1889="Y",1,IF(P1889&gt;='Read me'!$B$16,3,IF(AND(R1889&gt;='Read me'!$B$14,P1889&lt;='Read me'!$B$15),1,2))))</f>
        <v>3</v>
      </c>
    </row>
    <row r="1890" customFormat="false" ht="57.45" hidden="false" customHeight="false" outlineLevel="0" collapsed="false">
      <c r="A1890" s="11" t="s">
        <v>11449</v>
      </c>
      <c r="B1890" s="11" t="s">
        <v>48</v>
      </c>
      <c r="C1890" s="11" t="s">
        <v>411</v>
      </c>
      <c r="D1890" s="11" t="s">
        <v>412</v>
      </c>
      <c r="E1890" s="11" t="s">
        <v>476</v>
      </c>
      <c r="F1890" s="11" t="s">
        <v>11450</v>
      </c>
      <c r="G1890" s="11"/>
      <c r="H1890" s="11"/>
      <c r="I1890" s="11" t="s">
        <v>11451</v>
      </c>
      <c r="J1890" s="11" t="s">
        <v>11452</v>
      </c>
      <c r="K1890" s="11" t="s">
        <v>11453</v>
      </c>
      <c r="L1890" s="11" t="s">
        <v>11454</v>
      </c>
      <c r="M1890" s="11" t="s">
        <v>10886</v>
      </c>
      <c r="N1890" s="14" t="n">
        <v>3</v>
      </c>
      <c r="O1890" s="14" t="n">
        <v>4</v>
      </c>
      <c r="P1890" s="14" t="n">
        <v>5</v>
      </c>
      <c r="Q1890" s="14"/>
      <c r="R1890" s="12" t="n">
        <f aca="false">IF(OR(N1890="",P1890=""),"",ROUND(N1890*O1890/P1890,1))</f>
        <v>2.4</v>
      </c>
      <c r="S1890" s="13" t="n">
        <f aca="false">IF(R1890="","",IF(Q1890="Y",1,IF(P1890&gt;='Read me'!$B$16,3,IF(AND(R1890&gt;='Read me'!$B$14,P1890&lt;='Read me'!$B$15),1,2))))</f>
        <v>3</v>
      </c>
    </row>
    <row r="1891" customFormat="false" ht="68.65" hidden="false" customHeight="false" outlineLevel="0" collapsed="false">
      <c r="A1891" s="11" t="s">
        <v>11455</v>
      </c>
      <c r="B1891" s="11" t="s">
        <v>48</v>
      </c>
      <c r="C1891" s="11" t="s">
        <v>411</v>
      </c>
      <c r="D1891" s="11" t="s">
        <v>412</v>
      </c>
      <c r="E1891" s="11" t="s">
        <v>476</v>
      </c>
      <c r="F1891" s="11" t="s">
        <v>11456</v>
      </c>
      <c r="G1891" s="11"/>
      <c r="H1891" s="11"/>
      <c r="I1891" s="11" t="s">
        <v>11457</v>
      </c>
      <c r="J1891" s="11" t="s">
        <v>11458</v>
      </c>
      <c r="K1891" s="11" t="s">
        <v>11459</v>
      </c>
      <c r="L1891" s="11" t="s">
        <v>11460</v>
      </c>
      <c r="M1891" s="11" t="s">
        <v>10693</v>
      </c>
      <c r="N1891" s="14" t="n">
        <v>3</v>
      </c>
      <c r="O1891" s="14" t="n">
        <v>4</v>
      </c>
      <c r="P1891" s="14" t="n">
        <v>4</v>
      </c>
      <c r="Q1891" s="14"/>
      <c r="R1891" s="12" t="n">
        <f aca="false">IF(OR(N1891="",P1891=""),"",ROUND(N1891*O1891/P1891,1))</f>
        <v>3</v>
      </c>
      <c r="S1891" s="13" t="n">
        <f aca="false">IF(R1891="","",IF(Q1891="Y",1,IF(P1891&gt;='Read me'!$B$16,3,IF(AND(R1891&gt;='Read me'!$B$14,P1891&lt;='Read me'!$B$15),1,2))))</f>
        <v>3</v>
      </c>
    </row>
    <row r="1892" customFormat="false" ht="23.85" hidden="false" customHeight="false" outlineLevel="0" collapsed="false">
      <c r="A1892" s="11" t="s">
        <v>11461</v>
      </c>
      <c r="B1892" s="11" t="s">
        <v>48</v>
      </c>
      <c r="C1892" s="11" t="s">
        <v>411</v>
      </c>
      <c r="D1892" s="11" t="s">
        <v>412</v>
      </c>
      <c r="E1892" s="11" t="s">
        <v>476</v>
      </c>
      <c r="F1892" s="11" t="s">
        <v>11462</v>
      </c>
      <c r="G1892" s="11"/>
      <c r="H1892" s="11"/>
      <c r="I1892" s="11" t="s">
        <v>11463</v>
      </c>
      <c r="J1892" s="11" t="s">
        <v>11464</v>
      </c>
      <c r="K1892" s="11" t="s">
        <v>11446</v>
      </c>
      <c r="L1892" s="11" t="s">
        <v>11465</v>
      </c>
      <c r="M1892" s="11" t="s">
        <v>10501</v>
      </c>
      <c r="N1892" s="14" t="n">
        <v>2</v>
      </c>
      <c r="O1892" s="14" t="n">
        <v>3</v>
      </c>
      <c r="P1892" s="14" t="n">
        <v>4</v>
      </c>
      <c r="Q1892" s="14"/>
      <c r="R1892" s="12" t="n">
        <f aca="false">IF(OR(N1892="",P1892=""),"",ROUND(N1892*O1892/P1892,1))</f>
        <v>1.5</v>
      </c>
      <c r="S1892" s="13" t="n">
        <f aca="false">IF(R1892="","",IF(Q1892="Y",1,IF(P1892&gt;='Read me'!$B$16,3,IF(AND(R1892&gt;='Read me'!$B$14,P1892&lt;='Read me'!$B$15),1,2))))</f>
        <v>3</v>
      </c>
    </row>
    <row r="1893" customFormat="false" ht="35.05" hidden="false" customHeight="false" outlineLevel="0" collapsed="false">
      <c r="A1893" s="11" t="s">
        <v>11466</v>
      </c>
      <c r="B1893" s="11" t="s">
        <v>48</v>
      </c>
      <c r="C1893" s="11" t="s">
        <v>411</v>
      </c>
      <c r="D1893" s="11" t="s">
        <v>412</v>
      </c>
      <c r="E1893" s="11" t="s">
        <v>476</v>
      </c>
      <c r="F1893" s="11" t="s">
        <v>11467</v>
      </c>
      <c r="G1893" s="11" t="s">
        <v>11468</v>
      </c>
      <c r="H1893" s="11"/>
      <c r="I1893" s="11" t="s">
        <v>512</v>
      </c>
      <c r="J1893" s="11" t="s">
        <v>11469</v>
      </c>
      <c r="K1893" s="11" t="s">
        <v>11470</v>
      </c>
      <c r="L1893" s="11" t="s">
        <v>11471</v>
      </c>
      <c r="M1893" s="11" t="s">
        <v>11472</v>
      </c>
      <c r="N1893" s="14" t="n">
        <v>2</v>
      </c>
      <c r="O1893" s="14" t="n">
        <v>4</v>
      </c>
      <c r="P1893" s="14" t="n">
        <v>4</v>
      </c>
      <c r="Q1893" s="14"/>
      <c r="R1893" s="12" t="n">
        <f aca="false">IF(OR(N1893="",P1893=""),"",ROUND(N1893*O1893/P1893,1))</f>
        <v>2</v>
      </c>
      <c r="S1893" s="13" t="n">
        <f aca="false">IF(R1893="","",IF(Q1893="Y",1,IF(P1893&gt;='Read me'!$B$16,3,IF(AND(R1893&gt;='Read me'!$B$14,P1893&lt;='Read me'!$B$15),1,2))))</f>
        <v>3</v>
      </c>
    </row>
    <row r="1894" customFormat="false" ht="35.05" hidden="false" customHeight="false" outlineLevel="0" collapsed="false">
      <c r="A1894" s="11" t="s">
        <v>11473</v>
      </c>
      <c r="B1894" s="11" t="s">
        <v>48</v>
      </c>
      <c r="C1894" s="11" t="s">
        <v>411</v>
      </c>
      <c r="D1894" s="11" t="s">
        <v>412</v>
      </c>
      <c r="E1894" s="11" t="s">
        <v>476</v>
      </c>
      <c r="F1894" s="11" t="s">
        <v>11474</v>
      </c>
      <c r="G1894" s="11" t="s">
        <v>11475</v>
      </c>
      <c r="H1894" s="11"/>
      <c r="I1894" s="11" t="s">
        <v>11476</v>
      </c>
      <c r="J1894" s="11" t="s">
        <v>11477</v>
      </c>
      <c r="K1894" s="11" t="s">
        <v>11478</v>
      </c>
      <c r="L1894" s="11" t="s">
        <v>11479</v>
      </c>
      <c r="M1894" s="11"/>
      <c r="N1894" s="14" t="n">
        <v>2</v>
      </c>
      <c r="O1894" s="14" t="n">
        <v>3</v>
      </c>
      <c r="P1894" s="14" t="n">
        <v>4</v>
      </c>
      <c r="Q1894" s="14"/>
      <c r="R1894" s="12" t="n">
        <f aca="false">IF(OR(N1894="",P1894=""),"",ROUND(N1894*O1894/P1894,1))</f>
        <v>1.5</v>
      </c>
      <c r="S1894" s="13" t="n">
        <f aca="false">IF(R1894="","",IF(Q1894="Y",1,IF(P1894&gt;='Read me'!$B$16,3,IF(AND(R1894&gt;='Read me'!$B$14,P1894&lt;='Read me'!$B$15),1,2))))</f>
        <v>3</v>
      </c>
    </row>
    <row r="1895" customFormat="false" ht="35.05" hidden="false" customHeight="false" outlineLevel="0" collapsed="false">
      <c r="A1895" s="11" t="s">
        <v>11480</v>
      </c>
      <c r="B1895" s="11" t="s">
        <v>48</v>
      </c>
      <c r="C1895" s="11" t="s">
        <v>411</v>
      </c>
      <c r="D1895" s="11" t="s">
        <v>412</v>
      </c>
      <c r="E1895" s="11" t="s">
        <v>476</v>
      </c>
      <c r="F1895" s="11" t="s">
        <v>11481</v>
      </c>
      <c r="G1895" s="11" t="s">
        <v>11482</v>
      </c>
      <c r="H1895" s="11"/>
      <c r="I1895" s="11" t="s">
        <v>11483</v>
      </c>
      <c r="J1895" s="11" t="s">
        <v>11484</v>
      </c>
      <c r="K1895" s="11" t="s">
        <v>11478</v>
      </c>
      <c r="L1895" s="11" t="s">
        <v>11485</v>
      </c>
      <c r="M1895" s="11" t="s">
        <v>11486</v>
      </c>
      <c r="N1895" s="14" t="n">
        <v>1</v>
      </c>
      <c r="O1895" s="14" t="n">
        <v>3</v>
      </c>
      <c r="P1895" s="14" t="n">
        <v>4</v>
      </c>
      <c r="Q1895" s="14"/>
      <c r="R1895" s="12" t="n">
        <f aca="false">IF(OR(N1895="",P1895=""),"",ROUND(N1895*O1895/P1895,1))</f>
        <v>0.8</v>
      </c>
      <c r="S1895" s="13" t="n">
        <f aca="false">IF(R1895="","",IF(Q1895="Y",1,IF(P1895&gt;='Read me'!$B$16,3,IF(AND(R1895&gt;='Read me'!$B$14,P1895&lt;='Read me'!$B$15),1,2))))</f>
        <v>3</v>
      </c>
    </row>
    <row r="1896" customFormat="false" ht="35.05" hidden="false" customHeight="false" outlineLevel="0" collapsed="false">
      <c r="A1896" s="11" t="s">
        <v>11487</v>
      </c>
      <c r="B1896" s="11" t="s">
        <v>48</v>
      </c>
      <c r="C1896" s="11" t="s">
        <v>411</v>
      </c>
      <c r="D1896" s="11" t="s">
        <v>412</v>
      </c>
      <c r="E1896" s="11" t="s">
        <v>476</v>
      </c>
      <c r="F1896" s="11" t="s">
        <v>11488</v>
      </c>
      <c r="G1896" s="11"/>
      <c r="H1896" s="11"/>
      <c r="I1896" s="11" t="s">
        <v>11489</v>
      </c>
      <c r="J1896" s="11" t="s">
        <v>11490</v>
      </c>
      <c r="K1896" s="11" t="s">
        <v>11453</v>
      </c>
      <c r="L1896" s="11" t="s">
        <v>11491</v>
      </c>
      <c r="M1896" s="11" t="s">
        <v>10463</v>
      </c>
      <c r="N1896" s="14" t="n">
        <v>2</v>
      </c>
      <c r="O1896" s="14" t="n">
        <v>3</v>
      </c>
      <c r="P1896" s="14" t="n">
        <v>4</v>
      </c>
      <c r="Q1896" s="14"/>
      <c r="R1896" s="12" t="n">
        <f aca="false">IF(OR(N1896="",P1896=""),"",ROUND(N1896*O1896/P1896,1))</f>
        <v>1.5</v>
      </c>
      <c r="S1896" s="13" t="n">
        <f aca="false">IF(R1896="","",IF(Q1896="Y",1,IF(P1896&gt;='Read me'!$B$16,3,IF(AND(R1896&gt;='Read me'!$B$14,P1896&lt;='Read me'!$B$15),1,2))))</f>
        <v>3</v>
      </c>
    </row>
    <row r="1897" customFormat="false" ht="23.85" hidden="false" customHeight="false" outlineLevel="0" collapsed="false">
      <c r="A1897" s="11" t="s">
        <v>11492</v>
      </c>
      <c r="B1897" s="11" t="s">
        <v>48</v>
      </c>
      <c r="C1897" s="11" t="s">
        <v>411</v>
      </c>
      <c r="D1897" s="11" t="s">
        <v>412</v>
      </c>
      <c r="E1897" s="11" t="s">
        <v>476</v>
      </c>
      <c r="F1897" s="11" t="s">
        <v>11493</v>
      </c>
      <c r="G1897" s="11" t="s">
        <v>11494</v>
      </c>
      <c r="H1897" s="11"/>
      <c r="I1897" s="11" t="s">
        <v>11495</v>
      </c>
      <c r="J1897" s="11" t="s">
        <v>11496</v>
      </c>
      <c r="K1897" s="11" t="s">
        <v>11497</v>
      </c>
      <c r="L1897" s="11" t="s">
        <v>11498</v>
      </c>
      <c r="M1897" s="11" t="s">
        <v>11499</v>
      </c>
      <c r="N1897" s="14" t="n">
        <v>2</v>
      </c>
      <c r="O1897" s="14" t="n">
        <v>3</v>
      </c>
      <c r="P1897" s="14" t="n">
        <v>4</v>
      </c>
      <c r="Q1897" s="14"/>
      <c r="R1897" s="12" t="n">
        <f aca="false">IF(OR(N1897="",P1897=""),"",ROUND(N1897*O1897/P1897,1))</f>
        <v>1.5</v>
      </c>
      <c r="S1897" s="13" t="n">
        <f aca="false">IF(R1897="","",IF(Q1897="Y",1,IF(P1897&gt;='Read me'!$B$16,3,IF(AND(R1897&gt;='Read me'!$B$14,P1897&lt;='Read me'!$B$15),1,2))))</f>
        <v>3</v>
      </c>
    </row>
    <row r="1898" customFormat="false" ht="35.05" hidden="false" customHeight="false" outlineLevel="0" collapsed="false">
      <c r="A1898" s="11" t="s">
        <v>11500</v>
      </c>
      <c r="B1898" s="11" t="s">
        <v>48</v>
      </c>
      <c r="C1898" s="11" t="s">
        <v>411</v>
      </c>
      <c r="D1898" s="11" t="s">
        <v>412</v>
      </c>
      <c r="E1898" s="11" t="s">
        <v>476</v>
      </c>
      <c r="F1898" s="11" t="s">
        <v>11501</v>
      </c>
      <c r="G1898" s="11" t="s">
        <v>11502</v>
      </c>
      <c r="H1898" s="11"/>
      <c r="I1898" s="11" t="s">
        <v>11503</v>
      </c>
      <c r="J1898" s="11" t="s">
        <v>11504</v>
      </c>
      <c r="K1898" s="11" t="s">
        <v>11505</v>
      </c>
      <c r="L1898" s="11" t="s">
        <v>11506</v>
      </c>
      <c r="M1898" s="11" t="s">
        <v>10582</v>
      </c>
      <c r="N1898" s="14" t="n">
        <v>2</v>
      </c>
      <c r="O1898" s="14" t="n">
        <v>3</v>
      </c>
      <c r="P1898" s="14" t="n">
        <v>4</v>
      </c>
      <c r="Q1898" s="14"/>
      <c r="R1898" s="12" t="n">
        <f aca="false">IF(OR(N1898="",P1898=""),"",ROUND(N1898*O1898/P1898,1))</f>
        <v>1.5</v>
      </c>
      <c r="S1898" s="13" t="n">
        <f aca="false">IF(R1898="","",IF(Q1898="Y",1,IF(P1898&gt;='Read me'!$B$16,3,IF(AND(R1898&gt;='Read me'!$B$14,P1898&lt;='Read me'!$B$15),1,2))))</f>
        <v>3</v>
      </c>
    </row>
    <row r="1899" customFormat="false" ht="35.05" hidden="false" customHeight="false" outlineLevel="0" collapsed="false">
      <c r="A1899" s="11" t="s">
        <v>11507</v>
      </c>
      <c r="B1899" s="11" t="s">
        <v>48</v>
      </c>
      <c r="C1899" s="11" t="s">
        <v>411</v>
      </c>
      <c r="D1899" s="11" t="s">
        <v>412</v>
      </c>
      <c r="E1899" s="11" t="s">
        <v>476</v>
      </c>
      <c r="F1899" s="11" t="s">
        <v>11508</v>
      </c>
      <c r="G1899" s="11" t="s">
        <v>7498</v>
      </c>
      <c r="H1899" s="11"/>
      <c r="I1899" s="11" t="s">
        <v>11509</v>
      </c>
      <c r="J1899" s="11" t="s">
        <v>11510</v>
      </c>
      <c r="K1899" s="11" t="s">
        <v>11478</v>
      </c>
      <c r="L1899" s="11" t="s">
        <v>11088</v>
      </c>
      <c r="M1899" s="11" t="s">
        <v>11511</v>
      </c>
      <c r="N1899" s="14" t="n">
        <v>2</v>
      </c>
      <c r="O1899" s="14" t="n">
        <v>4</v>
      </c>
      <c r="P1899" s="14" t="n">
        <v>5</v>
      </c>
      <c r="Q1899" s="14"/>
      <c r="R1899" s="12" t="n">
        <f aca="false">IF(OR(N1899="",P1899=""),"",ROUND(N1899*O1899/P1899,1))</f>
        <v>1.6</v>
      </c>
      <c r="S1899" s="13" t="n">
        <f aca="false">IF(R1899="","",IF(Q1899="Y",1,IF(P1899&gt;='Read me'!$B$16,3,IF(AND(R1899&gt;='Read me'!$B$14,P1899&lt;='Read me'!$B$15),1,2))))</f>
        <v>3</v>
      </c>
    </row>
    <row r="1900" customFormat="false" ht="23.85" hidden="false" customHeight="false" outlineLevel="0" collapsed="false">
      <c r="A1900" s="11" t="s">
        <v>11512</v>
      </c>
      <c r="B1900" s="11" t="s">
        <v>48</v>
      </c>
      <c r="C1900" s="11" t="s">
        <v>411</v>
      </c>
      <c r="D1900" s="11" t="s">
        <v>412</v>
      </c>
      <c r="E1900" s="11" t="s">
        <v>476</v>
      </c>
      <c r="F1900" s="11" t="s">
        <v>11513</v>
      </c>
      <c r="G1900" s="11" t="s">
        <v>11514</v>
      </c>
      <c r="H1900" s="11"/>
      <c r="I1900" s="11" t="s">
        <v>11515</v>
      </c>
      <c r="J1900" s="11" t="s">
        <v>11516</v>
      </c>
      <c r="K1900" s="11" t="s">
        <v>916</v>
      </c>
      <c r="L1900" s="11" t="s">
        <v>11517</v>
      </c>
      <c r="M1900" s="11"/>
      <c r="N1900" s="14" t="n">
        <v>2</v>
      </c>
      <c r="O1900" s="14" t="n">
        <v>3</v>
      </c>
      <c r="P1900" s="14" t="n">
        <v>5</v>
      </c>
      <c r="Q1900" s="14"/>
      <c r="R1900" s="12" t="n">
        <f aca="false">IF(OR(N1900="",P1900=""),"",ROUND(N1900*O1900/P1900,1))</f>
        <v>1.2</v>
      </c>
      <c r="S1900" s="13" t="n">
        <f aca="false">IF(R1900="","",IF(Q1900="Y",1,IF(P1900&gt;='Read me'!$B$16,3,IF(AND(R1900&gt;='Read me'!$B$14,P1900&lt;='Read me'!$B$15),1,2))))</f>
        <v>3</v>
      </c>
    </row>
    <row r="1901" customFormat="false" ht="23.85" hidden="false" customHeight="false" outlineLevel="0" collapsed="false">
      <c r="A1901" s="11" t="s">
        <v>11518</v>
      </c>
      <c r="B1901" s="11" t="s">
        <v>48</v>
      </c>
      <c r="C1901" s="11" t="s">
        <v>411</v>
      </c>
      <c r="D1901" s="11" t="s">
        <v>412</v>
      </c>
      <c r="E1901" s="11" t="s">
        <v>476</v>
      </c>
      <c r="F1901" s="11" t="s">
        <v>11519</v>
      </c>
      <c r="G1901" s="11" t="s">
        <v>4253</v>
      </c>
      <c r="H1901" s="11"/>
      <c r="I1901" s="11" t="s">
        <v>11520</v>
      </c>
      <c r="J1901" s="11" t="s">
        <v>11521</v>
      </c>
      <c r="K1901" s="11" t="s">
        <v>11522</v>
      </c>
      <c r="L1901" s="11" t="s">
        <v>11523</v>
      </c>
      <c r="M1901" s="11" t="s">
        <v>1497</v>
      </c>
      <c r="N1901" s="14" t="n">
        <v>1</v>
      </c>
      <c r="O1901" s="14" t="n">
        <v>3</v>
      </c>
      <c r="P1901" s="14" t="n">
        <v>4</v>
      </c>
      <c r="Q1901" s="14"/>
      <c r="R1901" s="12" t="n">
        <f aca="false">IF(OR(N1901="",P1901=""),"",ROUND(N1901*O1901/P1901,1))</f>
        <v>0.8</v>
      </c>
      <c r="S1901" s="13" t="n">
        <f aca="false">IF(R1901="","",IF(Q1901="Y",1,IF(P1901&gt;='Read me'!$B$16,3,IF(AND(R1901&gt;='Read me'!$B$14,P1901&lt;='Read me'!$B$15),1,2))))</f>
        <v>3</v>
      </c>
    </row>
    <row r="1902" customFormat="false" ht="23.85" hidden="false" customHeight="false" outlineLevel="0" collapsed="false">
      <c r="A1902" s="11" t="s">
        <v>11524</v>
      </c>
      <c r="B1902" s="11" t="s">
        <v>48</v>
      </c>
      <c r="C1902" s="11" t="s">
        <v>411</v>
      </c>
      <c r="D1902" s="11" t="s">
        <v>412</v>
      </c>
      <c r="E1902" s="11" t="s">
        <v>476</v>
      </c>
      <c r="F1902" s="11" t="s">
        <v>11525</v>
      </c>
      <c r="G1902" s="11" t="s">
        <v>10727</v>
      </c>
      <c r="H1902" s="11"/>
      <c r="I1902" s="11" t="s">
        <v>512</v>
      </c>
      <c r="J1902" s="11" t="s">
        <v>11526</v>
      </c>
      <c r="K1902" s="11" t="s">
        <v>11470</v>
      </c>
      <c r="L1902" s="11" t="s">
        <v>11527</v>
      </c>
      <c r="M1902" s="11"/>
      <c r="N1902" s="14" t="n">
        <v>2</v>
      </c>
      <c r="O1902" s="14" t="n">
        <v>3</v>
      </c>
      <c r="P1902" s="14" t="n">
        <v>3</v>
      </c>
      <c r="Q1902" s="14"/>
      <c r="R1902" s="12" t="n">
        <f aca="false">IF(OR(N1902="",P1902=""),"",ROUND(N1902*O1902/P1902,1))</f>
        <v>2</v>
      </c>
      <c r="S1902" s="13" t="n">
        <f aca="false">IF(R1902="","",IF(Q1902="Y",1,IF(P1902&gt;='Read me'!$B$16,3,IF(AND(R1902&gt;='Read me'!$B$14,P1902&lt;='Read me'!$B$15),1,2))))</f>
        <v>2</v>
      </c>
    </row>
    <row r="1903" customFormat="false" ht="68.65" hidden="false" customHeight="false" outlineLevel="0" collapsed="false">
      <c r="A1903" s="11" t="s">
        <v>11528</v>
      </c>
      <c r="B1903" s="11" t="s">
        <v>48</v>
      </c>
      <c r="C1903" s="11" t="s">
        <v>411</v>
      </c>
      <c r="D1903" s="11" t="s">
        <v>412</v>
      </c>
      <c r="E1903" s="11" t="s">
        <v>1187</v>
      </c>
      <c r="F1903" s="11" t="s">
        <v>11529</v>
      </c>
      <c r="G1903" s="11"/>
      <c r="H1903" s="11" t="s">
        <v>11530</v>
      </c>
      <c r="I1903" s="11" t="s">
        <v>11531</v>
      </c>
      <c r="J1903" s="11" t="s">
        <v>11532</v>
      </c>
      <c r="K1903" s="11" t="s">
        <v>11533</v>
      </c>
      <c r="L1903" s="11" t="s">
        <v>11534</v>
      </c>
      <c r="M1903" s="11" t="s">
        <v>10693</v>
      </c>
      <c r="N1903" s="14" t="n">
        <v>3</v>
      </c>
      <c r="O1903" s="14" t="n">
        <v>4</v>
      </c>
      <c r="P1903" s="14" t="n">
        <v>5</v>
      </c>
      <c r="Q1903" s="14"/>
      <c r="R1903" s="12" t="n">
        <f aca="false">IF(OR(N1903="",P1903=""),"",ROUND(N1903*O1903/P1903,1))</f>
        <v>2.4</v>
      </c>
      <c r="S1903" s="13" t="n">
        <f aca="false">IF(R1903="","",IF(Q1903="Y",1,IF(P1903&gt;='Read me'!$B$16,3,IF(AND(R1903&gt;='Read me'!$B$14,P1903&lt;='Read me'!$B$15),1,2))))</f>
        <v>3</v>
      </c>
    </row>
    <row r="1904" customFormat="false" ht="68.65" hidden="false" customHeight="false" outlineLevel="0" collapsed="false">
      <c r="A1904" s="11" t="s">
        <v>11535</v>
      </c>
      <c r="B1904" s="11" t="s">
        <v>48</v>
      </c>
      <c r="C1904" s="11" t="s">
        <v>411</v>
      </c>
      <c r="D1904" s="11" t="s">
        <v>412</v>
      </c>
      <c r="E1904" s="11" t="s">
        <v>1187</v>
      </c>
      <c r="F1904" s="11" t="s">
        <v>11536</v>
      </c>
      <c r="G1904" s="11" t="s">
        <v>11537</v>
      </c>
      <c r="H1904" s="11" t="s">
        <v>11538</v>
      </c>
      <c r="I1904" s="11" t="s">
        <v>11539</v>
      </c>
      <c r="J1904" s="11" t="s">
        <v>11540</v>
      </c>
      <c r="K1904" s="11" t="s">
        <v>11453</v>
      </c>
      <c r="L1904" s="11" t="s">
        <v>11541</v>
      </c>
      <c r="M1904" s="11" t="s">
        <v>10693</v>
      </c>
      <c r="N1904" s="14" t="n">
        <v>1</v>
      </c>
      <c r="O1904" s="14" t="n">
        <v>4</v>
      </c>
      <c r="P1904" s="14" t="n">
        <v>4</v>
      </c>
      <c r="Q1904" s="14"/>
      <c r="R1904" s="12" t="n">
        <f aca="false">IF(OR(N1904="",P1904=""),"",ROUND(N1904*O1904/P1904,1))</f>
        <v>1</v>
      </c>
      <c r="S1904" s="13" t="n">
        <f aca="false">IF(R1904="","",IF(Q1904="Y",1,IF(P1904&gt;='Read me'!$B$16,3,IF(AND(R1904&gt;='Read me'!$B$14,P1904&lt;='Read me'!$B$15),1,2))))</f>
        <v>3</v>
      </c>
    </row>
    <row r="1905" customFormat="false" ht="35.05" hidden="false" customHeight="false" outlineLevel="0" collapsed="false">
      <c r="A1905" s="11" t="s">
        <v>11542</v>
      </c>
      <c r="B1905" s="11" t="s">
        <v>48</v>
      </c>
      <c r="C1905" s="11" t="s">
        <v>411</v>
      </c>
      <c r="D1905" s="11" t="s">
        <v>412</v>
      </c>
      <c r="E1905" s="11" t="s">
        <v>1187</v>
      </c>
      <c r="F1905" s="11" t="s">
        <v>11543</v>
      </c>
      <c r="G1905" s="11" t="s">
        <v>11544</v>
      </c>
      <c r="H1905" s="11" t="s">
        <v>11545</v>
      </c>
      <c r="I1905" s="11" t="s">
        <v>11546</v>
      </c>
      <c r="J1905" s="11" t="s">
        <v>11547</v>
      </c>
      <c r="K1905" s="11" t="s">
        <v>916</v>
      </c>
      <c r="L1905" s="11" t="s">
        <v>11548</v>
      </c>
      <c r="M1905" s="11" t="s">
        <v>11549</v>
      </c>
      <c r="N1905" s="14" t="n">
        <v>1</v>
      </c>
      <c r="O1905" s="14" t="n">
        <v>3</v>
      </c>
      <c r="P1905" s="14" t="n">
        <v>4</v>
      </c>
      <c r="Q1905" s="14"/>
      <c r="R1905" s="12" t="n">
        <f aca="false">IF(OR(N1905="",P1905=""),"",ROUND(N1905*O1905/P1905,1))</f>
        <v>0.8</v>
      </c>
      <c r="S1905" s="13" t="n">
        <f aca="false">IF(R1905="","",IF(Q1905="Y",1,IF(P1905&gt;='Read me'!$B$16,3,IF(AND(R1905&gt;='Read me'!$B$14,P1905&lt;='Read me'!$B$15),1,2))))</f>
        <v>3</v>
      </c>
    </row>
    <row r="1906" customFormat="false" ht="35.05" hidden="false" customHeight="false" outlineLevel="0" collapsed="false">
      <c r="A1906" s="11" t="s">
        <v>11550</v>
      </c>
      <c r="B1906" s="11" t="s">
        <v>48</v>
      </c>
      <c r="C1906" s="11" t="s">
        <v>411</v>
      </c>
      <c r="D1906" s="11" t="s">
        <v>412</v>
      </c>
      <c r="E1906" s="11" t="s">
        <v>1187</v>
      </c>
      <c r="F1906" s="11" t="s">
        <v>11551</v>
      </c>
      <c r="G1906" s="11" t="s">
        <v>11552</v>
      </c>
      <c r="H1906" s="11" t="s">
        <v>11553</v>
      </c>
      <c r="I1906" s="11" t="s">
        <v>11554</v>
      </c>
      <c r="J1906" s="11" t="s">
        <v>11555</v>
      </c>
      <c r="K1906" s="11" t="s">
        <v>675</v>
      </c>
      <c r="L1906" s="11" t="s">
        <v>11556</v>
      </c>
      <c r="M1906" s="11"/>
      <c r="N1906" s="14" t="n">
        <v>1</v>
      </c>
      <c r="O1906" s="14" t="n">
        <v>2</v>
      </c>
      <c r="P1906" s="14" t="n">
        <v>4</v>
      </c>
      <c r="Q1906" s="14"/>
      <c r="R1906" s="12" t="n">
        <f aca="false">IF(OR(N1906="",P1906=""),"",ROUND(N1906*O1906/P1906,1))</f>
        <v>0.5</v>
      </c>
      <c r="S1906" s="13" t="n">
        <f aca="false">IF(R1906="","",IF(Q1906="Y",1,IF(P1906&gt;='Read me'!$B$16,3,IF(AND(R1906&gt;='Read me'!$B$14,P1906&lt;='Read me'!$B$15),1,2))))</f>
        <v>3</v>
      </c>
    </row>
    <row r="1907" customFormat="false" ht="23.85" hidden="false" customHeight="false" outlineLevel="0" collapsed="false">
      <c r="A1907" s="11" t="s">
        <v>11557</v>
      </c>
      <c r="B1907" s="11" t="s">
        <v>49</v>
      </c>
      <c r="C1907" s="11" t="s">
        <v>414</v>
      </c>
      <c r="D1907" s="11" t="s">
        <v>415</v>
      </c>
      <c r="E1907" s="11" t="s">
        <v>476</v>
      </c>
      <c r="F1907" s="11" t="s">
        <v>11558</v>
      </c>
      <c r="G1907" s="11" t="s">
        <v>11559</v>
      </c>
      <c r="H1907" s="11"/>
      <c r="I1907" s="11" t="s">
        <v>11560</v>
      </c>
      <c r="J1907" s="11" t="s">
        <v>11561</v>
      </c>
      <c r="K1907" s="11" t="s">
        <v>11562</v>
      </c>
      <c r="L1907" s="11" t="s">
        <v>11563</v>
      </c>
      <c r="M1907" s="11"/>
      <c r="N1907" s="14" t="n">
        <v>4</v>
      </c>
      <c r="O1907" s="14" t="n">
        <v>4</v>
      </c>
      <c r="P1907" s="14" t="n">
        <v>2</v>
      </c>
      <c r="Q1907" s="14"/>
      <c r="R1907" s="12" t="n">
        <f aca="false">IF(OR(N1907="",P1907=""),"",ROUND(N1907*O1907/P1907,1))</f>
        <v>8</v>
      </c>
      <c r="S1907" s="13" t="n">
        <f aca="false">IF(R1907="","",IF(Q1907="Y",1,IF(P1907&gt;='Read me'!$B$16,3,IF(AND(R1907&gt;='Read me'!$B$14,P1907&lt;='Read me'!$B$15),1,2))))</f>
        <v>1</v>
      </c>
    </row>
    <row r="1908" customFormat="false" ht="23.85" hidden="false" customHeight="false" outlineLevel="0" collapsed="false">
      <c r="A1908" s="11" t="s">
        <v>11564</v>
      </c>
      <c r="B1908" s="11" t="s">
        <v>49</v>
      </c>
      <c r="C1908" s="11" t="s">
        <v>414</v>
      </c>
      <c r="D1908" s="11" t="s">
        <v>415</v>
      </c>
      <c r="E1908" s="11" t="s">
        <v>476</v>
      </c>
      <c r="F1908" s="11" t="s">
        <v>11565</v>
      </c>
      <c r="G1908" s="11" t="s">
        <v>11566</v>
      </c>
      <c r="H1908" s="11"/>
      <c r="I1908" s="11" t="s">
        <v>11567</v>
      </c>
      <c r="J1908" s="11" t="s">
        <v>11568</v>
      </c>
      <c r="K1908" s="11" t="s">
        <v>11569</v>
      </c>
      <c r="L1908" s="11" t="s">
        <v>11570</v>
      </c>
      <c r="M1908" s="11"/>
      <c r="N1908" s="14" t="n">
        <v>3</v>
      </c>
      <c r="O1908" s="14" t="n">
        <v>3</v>
      </c>
      <c r="P1908" s="14" t="n">
        <v>1</v>
      </c>
      <c r="Q1908" s="14"/>
      <c r="R1908" s="12" t="n">
        <f aca="false">IF(OR(N1908="",P1908=""),"",ROUND(N1908*O1908/P1908,1))</f>
        <v>9</v>
      </c>
      <c r="S1908" s="13" t="n">
        <f aca="false">IF(R1908="","",IF(Q1908="Y",1,IF(P1908&gt;='Read me'!$B$16,3,IF(AND(R1908&gt;='Read me'!$B$14,P1908&lt;='Read me'!$B$15),1,2))))</f>
        <v>1</v>
      </c>
    </row>
    <row r="1909" customFormat="false" ht="23.85" hidden="false" customHeight="false" outlineLevel="0" collapsed="false">
      <c r="A1909" s="11" t="s">
        <v>11571</v>
      </c>
      <c r="B1909" s="11" t="s">
        <v>49</v>
      </c>
      <c r="C1909" s="11" t="s">
        <v>414</v>
      </c>
      <c r="D1909" s="11" t="s">
        <v>415</v>
      </c>
      <c r="E1909" s="11" t="s">
        <v>476</v>
      </c>
      <c r="F1909" s="11" t="s">
        <v>11572</v>
      </c>
      <c r="G1909" s="11" t="s">
        <v>11573</v>
      </c>
      <c r="H1909" s="11"/>
      <c r="I1909" s="11" t="s">
        <v>11574</v>
      </c>
      <c r="J1909" s="11" t="s">
        <v>11575</v>
      </c>
      <c r="K1909" s="11" t="s">
        <v>1049</v>
      </c>
      <c r="L1909" s="11" t="s">
        <v>11576</v>
      </c>
      <c r="M1909" s="11"/>
      <c r="N1909" s="14" t="n">
        <v>3</v>
      </c>
      <c r="O1909" s="14" t="n">
        <v>2</v>
      </c>
      <c r="P1909" s="14" t="n">
        <v>1</v>
      </c>
      <c r="Q1909" s="14"/>
      <c r="R1909" s="12" t="n">
        <f aca="false">IF(OR(N1909="",P1909=""),"",ROUND(N1909*O1909/P1909,1))</f>
        <v>6</v>
      </c>
      <c r="S1909" s="13" t="n">
        <f aca="false">IF(R1909="","",IF(Q1909="Y",1,IF(P1909&gt;='Read me'!$B$16,3,IF(AND(R1909&gt;='Read me'!$B$14,P1909&lt;='Read me'!$B$15),1,2))))</f>
        <v>1</v>
      </c>
    </row>
    <row r="1910" customFormat="false" ht="23.85" hidden="false" customHeight="false" outlineLevel="0" collapsed="false">
      <c r="A1910" s="11" t="s">
        <v>11577</v>
      </c>
      <c r="B1910" s="11" t="s">
        <v>49</v>
      </c>
      <c r="C1910" s="11" t="s">
        <v>414</v>
      </c>
      <c r="D1910" s="11" t="s">
        <v>415</v>
      </c>
      <c r="E1910" s="11" t="s">
        <v>532</v>
      </c>
      <c r="F1910" s="11" t="s">
        <v>11578</v>
      </c>
      <c r="G1910" s="11" t="s">
        <v>11579</v>
      </c>
      <c r="H1910" s="11"/>
      <c r="I1910" s="11" t="s">
        <v>11580</v>
      </c>
      <c r="J1910" s="11" t="s">
        <v>11581</v>
      </c>
      <c r="K1910" s="11" t="s">
        <v>11582</v>
      </c>
      <c r="L1910" s="11" t="s">
        <v>11583</v>
      </c>
      <c r="M1910" s="11"/>
      <c r="N1910" s="14" t="n">
        <v>4</v>
      </c>
      <c r="O1910" s="14" t="n">
        <v>3</v>
      </c>
      <c r="P1910" s="14" t="n">
        <v>1</v>
      </c>
      <c r="Q1910" s="14"/>
      <c r="R1910" s="12" t="n">
        <f aca="false">IF(OR(N1910="",P1910=""),"",ROUND(N1910*O1910/P1910,1))</f>
        <v>12</v>
      </c>
      <c r="S1910" s="13" t="n">
        <f aca="false">IF(R1910="","",IF(Q1910="Y",1,IF(P1910&gt;='Read me'!$B$16,3,IF(AND(R1910&gt;='Read me'!$B$14,P1910&lt;='Read me'!$B$15),1,2))))</f>
        <v>1</v>
      </c>
    </row>
    <row r="1911" customFormat="false" ht="46.25" hidden="false" customHeight="false" outlineLevel="0" collapsed="false">
      <c r="A1911" s="11" t="s">
        <v>11584</v>
      </c>
      <c r="B1911" s="11" t="s">
        <v>49</v>
      </c>
      <c r="C1911" s="11" t="s">
        <v>414</v>
      </c>
      <c r="D1911" s="11" t="s">
        <v>415</v>
      </c>
      <c r="E1911" s="11" t="s">
        <v>1187</v>
      </c>
      <c r="F1911" s="11" t="s">
        <v>11585</v>
      </c>
      <c r="G1911" s="11" t="s">
        <v>11586</v>
      </c>
      <c r="H1911" s="11" t="s">
        <v>11587</v>
      </c>
      <c r="I1911" s="11" t="s">
        <v>11588</v>
      </c>
      <c r="J1911" s="11" t="s">
        <v>11589</v>
      </c>
      <c r="K1911" s="11" t="s">
        <v>11590</v>
      </c>
      <c r="L1911" s="11" t="s">
        <v>11591</v>
      </c>
      <c r="M1911" s="11" t="s">
        <v>11592</v>
      </c>
      <c r="N1911" s="14" t="n">
        <v>3</v>
      </c>
      <c r="O1911" s="14" t="n">
        <v>4</v>
      </c>
      <c r="P1911" s="14" t="n">
        <v>5</v>
      </c>
      <c r="Q1911" s="14"/>
      <c r="R1911" s="12" t="n">
        <f aca="false">IF(OR(N1911="",P1911=""),"",ROUND(N1911*O1911/P1911,1))</f>
        <v>2.4</v>
      </c>
      <c r="S1911" s="13" t="n">
        <f aca="false">IF(R1911="","",IF(Q1911="Y",1,IF(P1911&gt;='Read me'!$B$16,3,IF(AND(R1911&gt;='Read me'!$B$14,P1911&lt;='Read me'!$B$15),1,2))))</f>
        <v>3</v>
      </c>
    </row>
    <row r="1912" customFormat="false" ht="23.85" hidden="false" customHeight="false" outlineLevel="0" collapsed="false">
      <c r="A1912" s="11" t="s">
        <v>11593</v>
      </c>
      <c r="B1912" s="11" t="s">
        <v>49</v>
      </c>
      <c r="C1912" s="11" t="s">
        <v>414</v>
      </c>
      <c r="D1912" s="11" t="s">
        <v>415</v>
      </c>
      <c r="E1912" s="11" t="s">
        <v>1187</v>
      </c>
      <c r="F1912" s="11" t="s">
        <v>11594</v>
      </c>
      <c r="G1912" s="11" t="s">
        <v>11595</v>
      </c>
      <c r="H1912" s="11" t="s">
        <v>11596</v>
      </c>
      <c r="I1912" s="11" t="s">
        <v>11597</v>
      </c>
      <c r="J1912" s="11" t="s">
        <v>11598</v>
      </c>
      <c r="K1912" s="11" t="s">
        <v>5663</v>
      </c>
      <c r="L1912" s="11" t="s">
        <v>11599</v>
      </c>
      <c r="M1912" s="11"/>
      <c r="N1912" s="14" t="n">
        <v>1</v>
      </c>
      <c r="O1912" s="14" t="n">
        <v>1</v>
      </c>
      <c r="P1912" s="14" t="n">
        <v>1</v>
      </c>
      <c r="Q1912" s="14"/>
      <c r="R1912" s="12" t="n">
        <f aca="false">IF(OR(N1912="",P1912=""),"",ROUND(N1912*O1912/P1912,1))</f>
        <v>1</v>
      </c>
      <c r="S1912" s="13" t="n">
        <f aca="false">IF(R1912="","",IF(Q1912="Y",1,IF(P1912&gt;='Read me'!$B$16,3,IF(AND(R1912&gt;='Read me'!$B$14,P1912&lt;='Read me'!$B$15),1,2))))</f>
        <v>2</v>
      </c>
    </row>
    <row r="1913" customFormat="false" ht="35.05" hidden="false" customHeight="false" outlineLevel="0" collapsed="false">
      <c r="A1913" s="11" t="s">
        <v>11600</v>
      </c>
      <c r="B1913" s="11" t="s">
        <v>49</v>
      </c>
      <c r="C1913" s="11" t="s">
        <v>414</v>
      </c>
      <c r="D1913" s="11" t="s">
        <v>415</v>
      </c>
      <c r="E1913" s="11" t="s">
        <v>1187</v>
      </c>
      <c r="F1913" s="11" t="s">
        <v>11601</v>
      </c>
      <c r="G1913" s="11" t="s">
        <v>11602</v>
      </c>
      <c r="H1913" s="11" t="s">
        <v>11603</v>
      </c>
      <c r="I1913" s="11" t="s">
        <v>11604</v>
      </c>
      <c r="J1913" s="11" t="s">
        <v>11605</v>
      </c>
      <c r="K1913" s="11" t="s">
        <v>11606</v>
      </c>
      <c r="L1913" s="11" t="s">
        <v>11607</v>
      </c>
      <c r="M1913" s="11"/>
      <c r="N1913" s="14" t="n">
        <v>2</v>
      </c>
      <c r="O1913" s="14" t="n">
        <v>3</v>
      </c>
      <c r="P1913" s="14" t="n">
        <v>3</v>
      </c>
      <c r="Q1913" s="14"/>
      <c r="R1913" s="12" t="n">
        <f aca="false">IF(OR(N1913="",P1913=""),"",ROUND(N1913*O1913/P1913,1))</f>
        <v>2</v>
      </c>
      <c r="S1913" s="13" t="n">
        <f aca="false">IF(R1913="","",IF(Q1913="Y",1,IF(P1913&gt;='Read me'!$B$16,3,IF(AND(R1913&gt;='Read me'!$B$14,P1913&lt;='Read me'!$B$15),1,2))))</f>
        <v>2</v>
      </c>
    </row>
    <row r="1914" customFormat="false" ht="23.85" hidden="false" customHeight="false" outlineLevel="0" collapsed="false">
      <c r="A1914" s="11" t="s">
        <v>11608</v>
      </c>
      <c r="B1914" s="11" t="s">
        <v>49</v>
      </c>
      <c r="C1914" s="11" t="s">
        <v>414</v>
      </c>
      <c r="D1914" s="11" t="s">
        <v>415</v>
      </c>
      <c r="E1914" s="11" t="s">
        <v>1187</v>
      </c>
      <c r="F1914" s="11" t="s">
        <v>11609</v>
      </c>
      <c r="G1914" s="11" t="s">
        <v>11610</v>
      </c>
      <c r="H1914" s="11" t="s">
        <v>11611</v>
      </c>
      <c r="I1914" s="11" t="s">
        <v>11612</v>
      </c>
      <c r="J1914" s="11" t="s">
        <v>11613</v>
      </c>
      <c r="K1914" s="11" t="s">
        <v>6182</v>
      </c>
      <c r="L1914" s="11" t="s">
        <v>11614</v>
      </c>
      <c r="M1914" s="11" t="s">
        <v>1256</v>
      </c>
      <c r="N1914" s="14" t="n">
        <v>3</v>
      </c>
      <c r="O1914" s="14" t="n">
        <v>2</v>
      </c>
      <c r="P1914" s="14" t="n">
        <v>2</v>
      </c>
      <c r="Q1914" s="14"/>
      <c r="R1914" s="12" t="n">
        <f aca="false">IF(OR(N1914="",P1914=""),"",ROUND(N1914*O1914/P1914,1))</f>
        <v>3</v>
      </c>
      <c r="S1914" s="13" t="n">
        <f aca="false">IF(R1914="","",IF(Q1914="Y",1,IF(P1914&gt;='Read me'!$B$16,3,IF(AND(R1914&gt;='Read me'!$B$14,P1914&lt;='Read me'!$B$15),1,2))))</f>
        <v>2</v>
      </c>
    </row>
    <row r="1915" customFormat="false" ht="23.85" hidden="false" customHeight="false" outlineLevel="0" collapsed="false">
      <c r="A1915" s="11" t="s">
        <v>11615</v>
      </c>
      <c r="B1915" s="11" t="s">
        <v>49</v>
      </c>
      <c r="C1915" s="11" t="s">
        <v>414</v>
      </c>
      <c r="D1915" s="11" t="s">
        <v>415</v>
      </c>
      <c r="E1915" s="11" t="s">
        <v>1372</v>
      </c>
      <c r="F1915" s="11" t="s">
        <v>11616</v>
      </c>
      <c r="G1915" s="11" t="s">
        <v>11617</v>
      </c>
      <c r="H1915" s="11"/>
      <c r="I1915" s="11" t="s">
        <v>11618</v>
      </c>
      <c r="J1915" s="11" t="s">
        <v>11619</v>
      </c>
      <c r="K1915" s="11" t="s">
        <v>11620</v>
      </c>
      <c r="L1915" s="11" t="s">
        <v>11621</v>
      </c>
      <c r="M1915" s="11"/>
      <c r="N1915" s="14" t="n">
        <v>5</v>
      </c>
      <c r="O1915" s="14" t="n">
        <v>4</v>
      </c>
      <c r="P1915" s="14" t="n">
        <v>2</v>
      </c>
      <c r="Q1915" s="14"/>
      <c r="R1915" s="12" t="n">
        <f aca="false">IF(OR(N1915="",P1915=""),"",ROUND(N1915*O1915/P1915,1))</f>
        <v>10</v>
      </c>
      <c r="S1915" s="13" t="n">
        <f aca="false">IF(R1915="","",IF(Q1915="Y",1,IF(P1915&gt;='Read me'!$B$16,3,IF(AND(R1915&gt;='Read me'!$B$14,P1915&lt;='Read me'!$B$15),1,2))))</f>
        <v>1</v>
      </c>
    </row>
    <row r="1916" customFormat="false" ht="23.85" hidden="false" customHeight="false" outlineLevel="0" collapsed="false">
      <c r="A1916" s="11" t="s">
        <v>11622</v>
      </c>
      <c r="B1916" s="11" t="s">
        <v>49</v>
      </c>
      <c r="C1916" s="11" t="s">
        <v>414</v>
      </c>
      <c r="D1916" s="11" t="s">
        <v>415</v>
      </c>
      <c r="E1916" s="11" t="s">
        <v>1372</v>
      </c>
      <c r="F1916" s="11" t="s">
        <v>11616</v>
      </c>
      <c r="G1916" s="11" t="s">
        <v>11623</v>
      </c>
      <c r="H1916" s="11"/>
      <c r="I1916" s="11" t="s">
        <v>11624</v>
      </c>
      <c r="J1916" s="11" t="s">
        <v>11625</v>
      </c>
      <c r="K1916" s="11" t="s">
        <v>11626</v>
      </c>
      <c r="L1916" s="11" t="s">
        <v>11627</v>
      </c>
      <c r="M1916" s="11"/>
      <c r="N1916" s="14" t="n">
        <v>4</v>
      </c>
      <c r="O1916" s="14" t="n">
        <v>3</v>
      </c>
      <c r="P1916" s="14" t="n">
        <v>2</v>
      </c>
      <c r="Q1916" s="14"/>
      <c r="R1916" s="12" t="n">
        <f aca="false">IF(OR(N1916="",P1916=""),"",ROUND(N1916*O1916/P1916,1))</f>
        <v>6</v>
      </c>
      <c r="S1916" s="13" t="n">
        <f aca="false">IF(R1916="","",IF(Q1916="Y",1,IF(P1916&gt;='Read me'!$B$16,3,IF(AND(R1916&gt;='Read me'!$B$14,P1916&lt;='Read me'!$B$15),1,2))))</f>
        <v>1</v>
      </c>
    </row>
    <row r="1917" customFormat="false" ht="23.85" hidden="false" customHeight="false" outlineLevel="0" collapsed="false">
      <c r="A1917" s="11" t="s">
        <v>11628</v>
      </c>
      <c r="B1917" s="11" t="s">
        <v>49</v>
      </c>
      <c r="C1917" s="11" t="s">
        <v>414</v>
      </c>
      <c r="D1917" s="11" t="s">
        <v>415</v>
      </c>
      <c r="E1917" s="11" t="s">
        <v>1372</v>
      </c>
      <c r="F1917" s="11" t="s">
        <v>11616</v>
      </c>
      <c r="G1917" s="11" t="s">
        <v>11629</v>
      </c>
      <c r="H1917" s="11"/>
      <c r="I1917" s="11" t="s">
        <v>11630</v>
      </c>
      <c r="J1917" s="11" t="s">
        <v>11631</v>
      </c>
      <c r="K1917" s="11" t="s">
        <v>11632</v>
      </c>
      <c r="L1917" s="11" t="s">
        <v>11633</v>
      </c>
      <c r="M1917" s="11"/>
      <c r="N1917" s="14" t="n">
        <v>4</v>
      </c>
      <c r="O1917" s="14" t="n">
        <v>3</v>
      </c>
      <c r="P1917" s="14" t="n">
        <v>1</v>
      </c>
      <c r="Q1917" s="14"/>
      <c r="R1917" s="12" t="n">
        <f aca="false">IF(OR(N1917="",P1917=""),"",ROUND(N1917*O1917/P1917,1))</f>
        <v>12</v>
      </c>
      <c r="S1917" s="13" t="n">
        <f aca="false">IF(R1917="","",IF(Q1917="Y",1,IF(P1917&gt;='Read me'!$B$16,3,IF(AND(R1917&gt;='Read me'!$B$14,P1917&lt;='Read me'!$B$15),1,2))))</f>
        <v>1</v>
      </c>
    </row>
    <row r="1918" customFormat="false" ht="35.05" hidden="false" customHeight="false" outlineLevel="0" collapsed="false">
      <c r="A1918" s="11" t="s">
        <v>11634</v>
      </c>
      <c r="B1918" s="11" t="s">
        <v>49</v>
      </c>
      <c r="C1918" s="11" t="s">
        <v>414</v>
      </c>
      <c r="D1918" s="11" t="s">
        <v>415</v>
      </c>
      <c r="E1918" s="11" t="s">
        <v>1372</v>
      </c>
      <c r="F1918" s="11" t="s">
        <v>11635</v>
      </c>
      <c r="G1918" s="11" t="s">
        <v>583</v>
      </c>
      <c r="H1918" s="11"/>
      <c r="I1918" s="11" t="s">
        <v>11636</v>
      </c>
      <c r="J1918" s="11" t="s">
        <v>11637</v>
      </c>
      <c r="K1918" s="11" t="s">
        <v>11638</v>
      </c>
      <c r="L1918" s="11" t="s">
        <v>11639</v>
      </c>
      <c r="M1918" s="11" t="s">
        <v>11640</v>
      </c>
      <c r="N1918" s="14" t="n">
        <v>4</v>
      </c>
      <c r="O1918" s="14" t="n">
        <v>3</v>
      </c>
      <c r="P1918" s="14" t="n">
        <v>2</v>
      </c>
      <c r="Q1918" s="14"/>
      <c r="R1918" s="12" t="n">
        <f aca="false">IF(OR(N1918="",P1918=""),"",ROUND(N1918*O1918/P1918,1))</f>
        <v>6</v>
      </c>
      <c r="S1918" s="13" t="n">
        <f aca="false">IF(R1918="","",IF(Q1918="Y",1,IF(P1918&gt;='Read me'!$B$16,3,IF(AND(R1918&gt;='Read me'!$B$14,P1918&lt;='Read me'!$B$15),1,2))))</f>
        <v>1</v>
      </c>
    </row>
    <row r="1919" customFormat="false" ht="23.85" hidden="false" customHeight="false" outlineLevel="0" collapsed="false">
      <c r="A1919" s="11" t="s">
        <v>11641</v>
      </c>
      <c r="B1919" s="11" t="s">
        <v>49</v>
      </c>
      <c r="C1919" s="11" t="s">
        <v>414</v>
      </c>
      <c r="D1919" s="11" t="s">
        <v>415</v>
      </c>
      <c r="E1919" s="11" t="s">
        <v>1372</v>
      </c>
      <c r="F1919" s="11" t="s">
        <v>11635</v>
      </c>
      <c r="G1919" s="11" t="s">
        <v>11642</v>
      </c>
      <c r="H1919" s="11" t="s">
        <v>11643</v>
      </c>
      <c r="I1919" s="11" t="s">
        <v>11644</v>
      </c>
      <c r="J1919" s="11" t="s">
        <v>11645</v>
      </c>
      <c r="K1919" s="11" t="s">
        <v>11646</v>
      </c>
      <c r="L1919" s="11" t="s">
        <v>11647</v>
      </c>
      <c r="M1919" s="11"/>
      <c r="N1919" s="14" t="n">
        <v>2</v>
      </c>
      <c r="O1919" s="14" t="n">
        <v>2</v>
      </c>
      <c r="P1919" s="14" t="n">
        <v>1</v>
      </c>
      <c r="Q1919" s="14"/>
      <c r="R1919" s="12" t="n">
        <f aca="false">IF(OR(N1919="",P1919=""),"",ROUND(N1919*O1919/P1919,1))</f>
        <v>4</v>
      </c>
      <c r="S1919" s="13" t="n">
        <f aca="false">IF(R1919="","",IF(Q1919="Y",1,IF(P1919&gt;='Read me'!$B$16,3,IF(AND(R1919&gt;='Read me'!$B$14,P1919&lt;='Read me'!$B$15),1,2))))</f>
        <v>2</v>
      </c>
    </row>
    <row r="1920" customFormat="false" ht="23.85" hidden="false" customHeight="false" outlineLevel="0" collapsed="false">
      <c r="A1920" s="11" t="s">
        <v>11648</v>
      </c>
      <c r="B1920" s="11" t="s">
        <v>49</v>
      </c>
      <c r="C1920" s="11" t="s">
        <v>414</v>
      </c>
      <c r="D1920" s="11" t="s">
        <v>415</v>
      </c>
      <c r="E1920" s="11" t="s">
        <v>1372</v>
      </c>
      <c r="F1920" s="11" t="s">
        <v>11635</v>
      </c>
      <c r="G1920" s="11" t="s">
        <v>11649</v>
      </c>
      <c r="H1920" s="11" t="s">
        <v>11650</v>
      </c>
      <c r="I1920" s="11" t="s">
        <v>11651</v>
      </c>
      <c r="J1920" s="11" t="s">
        <v>11652</v>
      </c>
      <c r="K1920" s="11" t="s">
        <v>11653</v>
      </c>
      <c r="L1920" s="11" t="s">
        <v>11654</v>
      </c>
      <c r="M1920" s="11"/>
      <c r="N1920" s="14" t="n">
        <v>2</v>
      </c>
      <c r="O1920" s="14" t="n">
        <v>2</v>
      </c>
      <c r="P1920" s="14" t="n">
        <v>3</v>
      </c>
      <c r="Q1920" s="14"/>
      <c r="R1920" s="12" t="n">
        <f aca="false">IF(OR(N1920="",P1920=""),"",ROUND(N1920*O1920/P1920,1))</f>
        <v>1.3</v>
      </c>
      <c r="S1920" s="13" t="n">
        <f aca="false">IF(R1920="","",IF(Q1920="Y",1,IF(P1920&gt;='Read me'!$B$16,3,IF(AND(R1920&gt;='Read me'!$B$14,P1920&lt;='Read me'!$B$15),1,2))))</f>
        <v>2</v>
      </c>
    </row>
    <row r="1921" customFormat="false" ht="35.05" hidden="false" customHeight="false" outlineLevel="0" collapsed="false">
      <c r="A1921" s="11" t="s">
        <v>11655</v>
      </c>
      <c r="B1921" s="11" t="s">
        <v>49</v>
      </c>
      <c r="C1921" s="11" t="s">
        <v>414</v>
      </c>
      <c r="D1921" s="11" t="s">
        <v>415</v>
      </c>
      <c r="E1921" s="11" t="s">
        <v>1372</v>
      </c>
      <c r="F1921" s="11" t="s">
        <v>11656</v>
      </c>
      <c r="G1921" s="11" t="s">
        <v>11657</v>
      </c>
      <c r="H1921" s="11"/>
      <c r="I1921" s="11" t="s">
        <v>11658</v>
      </c>
      <c r="J1921" s="11" t="s">
        <v>11659</v>
      </c>
      <c r="K1921" s="11" t="s">
        <v>11660</v>
      </c>
      <c r="L1921" s="11" t="s">
        <v>11661</v>
      </c>
      <c r="M1921" s="11" t="s">
        <v>11662</v>
      </c>
      <c r="N1921" s="14" t="n">
        <v>4</v>
      </c>
      <c r="O1921" s="14" t="n">
        <v>3</v>
      </c>
      <c r="P1921" s="14" t="n">
        <v>1</v>
      </c>
      <c r="Q1921" s="14"/>
      <c r="R1921" s="12" t="n">
        <f aca="false">IF(OR(N1921="",P1921=""),"",ROUND(N1921*O1921/P1921,1))</f>
        <v>12</v>
      </c>
      <c r="S1921" s="13" t="n">
        <f aca="false">IF(R1921="","",IF(Q1921="Y",1,IF(P1921&gt;='Read me'!$B$16,3,IF(AND(R1921&gt;='Read me'!$B$14,P1921&lt;='Read me'!$B$15),1,2))))</f>
        <v>1</v>
      </c>
    </row>
    <row r="1922" customFormat="false" ht="23.85" hidden="false" customHeight="false" outlineLevel="0" collapsed="false">
      <c r="A1922" s="11" t="s">
        <v>11663</v>
      </c>
      <c r="B1922" s="11" t="s">
        <v>49</v>
      </c>
      <c r="C1922" s="11" t="s">
        <v>414</v>
      </c>
      <c r="D1922" s="11" t="s">
        <v>415</v>
      </c>
      <c r="E1922" s="11" t="s">
        <v>1372</v>
      </c>
      <c r="F1922" s="11" t="s">
        <v>11594</v>
      </c>
      <c r="G1922" s="11" t="s">
        <v>11664</v>
      </c>
      <c r="H1922" s="11"/>
      <c r="I1922" s="11" t="s">
        <v>11665</v>
      </c>
      <c r="J1922" s="11" t="s">
        <v>11666</v>
      </c>
      <c r="K1922" s="11" t="s">
        <v>5180</v>
      </c>
      <c r="L1922" s="11" t="s">
        <v>11667</v>
      </c>
      <c r="M1922" s="11"/>
      <c r="N1922" s="14" t="n">
        <v>3</v>
      </c>
      <c r="O1922" s="14" t="n">
        <v>3</v>
      </c>
      <c r="P1922" s="14" t="n">
        <v>3</v>
      </c>
      <c r="Q1922" s="14"/>
      <c r="R1922" s="12" t="n">
        <f aca="false">IF(OR(N1922="",P1922=""),"",ROUND(N1922*O1922/P1922,1))</f>
        <v>3</v>
      </c>
      <c r="S1922" s="13" t="n">
        <f aca="false">IF(R1922="","",IF(Q1922="Y",1,IF(P1922&gt;='Read me'!$B$16,3,IF(AND(R1922&gt;='Read me'!$B$14,P1922&lt;='Read me'!$B$15),1,2))))</f>
        <v>2</v>
      </c>
    </row>
    <row r="1923" customFormat="false" ht="35.05" hidden="false" customHeight="false" outlineLevel="0" collapsed="false">
      <c r="A1923" s="11" t="s">
        <v>11668</v>
      </c>
      <c r="B1923" s="11" t="s">
        <v>49</v>
      </c>
      <c r="C1923" s="11" t="s">
        <v>414</v>
      </c>
      <c r="D1923" s="11" t="s">
        <v>415</v>
      </c>
      <c r="E1923" s="11" t="s">
        <v>1372</v>
      </c>
      <c r="F1923" s="11" t="s">
        <v>11669</v>
      </c>
      <c r="G1923" s="11" t="s">
        <v>11670</v>
      </c>
      <c r="H1923" s="11"/>
      <c r="I1923" s="11" t="s">
        <v>11671</v>
      </c>
      <c r="J1923" s="11" t="s">
        <v>11672</v>
      </c>
      <c r="K1923" s="11" t="s">
        <v>11673</v>
      </c>
      <c r="L1923" s="11" t="s">
        <v>11674</v>
      </c>
      <c r="M1923" s="11" t="s">
        <v>11675</v>
      </c>
      <c r="N1923" s="14" t="n">
        <v>4</v>
      </c>
      <c r="O1923" s="14" t="n">
        <v>4</v>
      </c>
      <c r="P1923" s="14" t="n">
        <v>2</v>
      </c>
      <c r="Q1923" s="14"/>
      <c r="R1923" s="12" t="n">
        <f aca="false">IF(OR(N1923="",P1923=""),"",ROUND(N1923*O1923/P1923,1))</f>
        <v>8</v>
      </c>
      <c r="S1923" s="13" t="n">
        <f aca="false">IF(R1923="","",IF(Q1923="Y",1,IF(P1923&gt;='Read me'!$B$16,3,IF(AND(R1923&gt;='Read me'!$B$14,P1923&lt;='Read me'!$B$15),1,2))))</f>
        <v>1</v>
      </c>
    </row>
    <row r="1924" customFormat="false" ht="35.05" hidden="false" customHeight="false" outlineLevel="0" collapsed="false">
      <c r="A1924" s="11" t="s">
        <v>11676</v>
      </c>
      <c r="B1924" s="11" t="s">
        <v>49</v>
      </c>
      <c r="C1924" s="11" t="s">
        <v>414</v>
      </c>
      <c r="D1924" s="11" t="s">
        <v>415</v>
      </c>
      <c r="E1924" s="11" t="s">
        <v>1372</v>
      </c>
      <c r="F1924" s="11" t="s">
        <v>11669</v>
      </c>
      <c r="G1924" s="11" t="s">
        <v>11670</v>
      </c>
      <c r="H1924" s="11"/>
      <c r="I1924" s="11" t="s">
        <v>11677</v>
      </c>
      <c r="J1924" s="11" t="s">
        <v>11678</v>
      </c>
      <c r="K1924" s="11" t="s">
        <v>11679</v>
      </c>
      <c r="L1924" s="11" t="s">
        <v>11680</v>
      </c>
      <c r="M1924" s="11"/>
      <c r="N1924" s="14" t="n">
        <v>4</v>
      </c>
      <c r="O1924" s="14" t="n">
        <v>3</v>
      </c>
      <c r="P1924" s="14" t="n">
        <v>1</v>
      </c>
      <c r="Q1924" s="14"/>
      <c r="R1924" s="12" t="n">
        <f aca="false">IF(OR(N1924="",P1924=""),"",ROUND(N1924*O1924/P1924,1))</f>
        <v>12</v>
      </c>
      <c r="S1924" s="13" t="n">
        <f aca="false">IF(R1924="","",IF(Q1924="Y",1,IF(P1924&gt;='Read me'!$B$16,3,IF(AND(R1924&gt;='Read me'!$B$14,P1924&lt;='Read me'!$B$15),1,2))))</f>
        <v>1</v>
      </c>
    </row>
    <row r="1925" customFormat="false" ht="35.05" hidden="false" customHeight="false" outlineLevel="0" collapsed="false">
      <c r="A1925" s="11" t="s">
        <v>11681</v>
      </c>
      <c r="B1925" s="11" t="s">
        <v>49</v>
      </c>
      <c r="C1925" s="11" t="s">
        <v>414</v>
      </c>
      <c r="D1925" s="11" t="s">
        <v>415</v>
      </c>
      <c r="E1925" s="11" t="s">
        <v>1372</v>
      </c>
      <c r="F1925" s="11" t="s">
        <v>11682</v>
      </c>
      <c r="G1925" s="11" t="s">
        <v>11683</v>
      </c>
      <c r="H1925" s="11"/>
      <c r="I1925" s="11" t="s">
        <v>11684</v>
      </c>
      <c r="J1925" s="11" t="s">
        <v>11685</v>
      </c>
      <c r="K1925" s="11" t="s">
        <v>11686</v>
      </c>
      <c r="L1925" s="11" t="s">
        <v>11687</v>
      </c>
      <c r="M1925" s="11"/>
      <c r="N1925" s="14" t="n">
        <v>3</v>
      </c>
      <c r="O1925" s="14" t="n">
        <v>3</v>
      </c>
      <c r="P1925" s="14" t="n">
        <v>2</v>
      </c>
      <c r="Q1925" s="14"/>
      <c r="R1925" s="12" t="n">
        <f aca="false">IF(OR(N1925="",P1925=""),"",ROUND(N1925*O1925/P1925,1))</f>
        <v>4.5</v>
      </c>
      <c r="S1925" s="13" t="n">
        <f aca="false">IF(R1925="","",IF(Q1925="Y",1,IF(P1925&gt;='Read me'!$B$16,3,IF(AND(R1925&gt;='Read me'!$B$14,P1925&lt;='Read me'!$B$15),1,2))))</f>
        <v>2</v>
      </c>
    </row>
    <row r="1926" customFormat="false" ht="23.85" hidden="false" customHeight="false" outlineLevel="0" collapsed="false">
      <c r="A1926" s="11" t="s">
        <v>11688</v>
      </c>
      <c r="B1926" s="11" t="s">
        <v>49</v>
      </c>
      <c r="C1926" s="11" t="s">
        <v>414</v>
      </c>
      <c r="D1926" s="11" t="s">
        <v>415</v>
      </c>
      <c r="E1926" s="11" t="s">
        <v>1372</v>
      </c>
      <c r="F1926" s="11" t="s">
        <v>11689</v>
      </c>
      <c r="G1926" s="11" t="s">
        <v>11690</v>
      </c>
      <c r="H1926" s="11" t="s">
        <v>11691</v>
      </c>
      <c r="I1926" s="11" t="s">
        <v>11692</v>
      </c>
      <c r="J1926" s="11" t="s">
        <v>11693</v>
      </c>
      <c r="K1926" s="11" t="s">
        <v>11694</v>
      </c>
      <c r="L1926" s="11" t="s">
        <v>11695</v>
      </c>
      <c r="M1926" s="11"/>
      <c r="N1926" s="14" t="n">
        <v>3</v>
      </c>
      <c r="O1926" s="14" t="n">
        <v>3</v>
      </c>
      <c r="P1926" s="14" t="n">
        <v>1</v>
      </c>
      <c r="Q1926" s="14"/>
      <c r="R1926" s="12" t="n">
        <f aca="false">IF(OR(N1926="",P1926=""),"",ROUND(N1926*O1926/P1926,1))</f>
        <v>9</v>
      </c>
      <c r="S1926" s="13" t="n">
        <f aca="false">IF(R1926="","",IF(Q1926="Y",1,IF(P1926&gt;='Read me'!$B$16,3,IF(AND(R1926&gt;='Read me'!$B$14,P1926&lt;='Read me'!$B$15),1,2))))</f>
        <v>1</v>
      </c>
    </row>
    <row r="1927" customFormat="false" ht="23.85" hidden="false" customHeight="false" outlineLevel="0" collapsed="false">
      <c r="A1927" s="11" t="s">
        <v>11696</v>
      </c>
      <c r="B1927" s="11" t="s">
        <v>49</v>
      </c>
      <c r="C1927" s="11" t="s">
        <v>414</v>
      </c>
      <c r="D1927" s="11" t="s">
        <v>415</v>
      </c>
      <c r="E1927" s="11" t="s">
        <v>1372</v>
      </c>
      <c r="F1927" s="11" t="s">
        <v>11697</v>
      </c>
      <c r="G1927" s="11" t="s">
        <v>11698</v>
      </c>
      <c r="H1927" s="11"/>
      <c r="I1927" s="11" t="s">
        <v>11699</v>
      </c>
      <c r="J1927" s="11" t="s">
        <v>11700</v>
      </c>
      <c r="K1927" s="11" t="s">
        <v>11701</v>
      </c>
      <c r="L1927" s="11"/>
      <c r="M1927" s="11"/>
      <c r="N1927" s="14" t="n">
        <v>4</v>
      </c>
      <c r="O1927" s="14" t="n">
        <v>3</v>
      </c>
      <c r="P1927" s="14" t="n">
        <v>1</v>
      </c>
      <c r="Q1927" s="14"/>
      <c r="R1927" s="12" t="n">
        <f aca="false">IF(OR(N1927="",P1927=""),"",ROUND(N1927*O1927/P1927,1))</f>
        <v>12</v>
      </c>
      <c r="S1927" s="13" t="n">
        <f aca="false">IF(R1927="","",IF(Q1927="Y",1,IF(P1927&gt;='Read me'!$B$16,3,IF(AND(R1927&gt;='Read me'!$B$14,P1927&lt;='Read me'!$B$15),1,2))))</f>
        <v>1</v>
      </c>
    </row>
    <row r="1928" customFormat="false" ht="35.05" hidden="false" customHeight="false" outlineLevel="0" collapsed="false">
      <c r="A1928" s="11" t="s">
        <v>11702</v>
      </c>
      <c r="B1928" s="11" t="s">
        <v>49</v>
      </c>
      <c r="C1928" s="11" t="s">
        <v>414</v>
      </c>
      <c r="D1928" s="11" t="s">
        <v>415</v>
      </c>
      <c r="E1928" s="11" t="s">
        <v>1372</v>
      </c>
      <c r="F1928" s="11" t="s">
        <v>11703</v>
      </c>
      <c r="G1928" s="11" t="s">
        <v>11704</v>
      </c>
      <c r="H1928" s="11"/>
      <c r="I1928" s="11" t="s">
        <v>11705</v>
      </c>
      <c r="J1928" s="11" t="s">
        <v>11706</v>
      </c>
      <c r="K1928" s="11" t="s">
        <v>9605</v>
      </c>
      <c r="L1928" s="11" t="s">
        <v>11707</v>
      </c>
      <c r="M1928" s="11" t="s">
        <v>11662</v>
      </c>
      <c r="N1928" s="14" t="n">
        <v>2</v>
      </c>
      <c r="O1928" s="14" t="n">
        <v>1</v>
      </c>
      <c r="P1928" s="14" t="n">
        <v>1</v>
      </c>
      <c r="Q1928" s="14"/>
      <c r="R1928" s="12" t="n">
        <f aca="false">IF(OR(N1928="",P1928=""),"",ROUND(N1928*O1928/P1928,1))</f>
        <v>2</v>
      </c>
      <c r="S1928" s="13" t="n">
        <f aca="false">IF(R1928="","",IF(Q1928="Y",1,IF(P1928&gt;='Read me'!$B$16,3,IF(AND(R1928&gt;='Read me'!$B$14,P1928&lt;='Read me'!$B$15),1,2))))</f>
        <v>2</v>
      </c>
    </row>
    <row r="1929" customFormat="false" ht="23.85" hidden="false" customHeight="false" outlineLevel="0" collapsed="false">
      <c r="A1929" s="11" t="s">
        <v>11708</v>
      </c>
      <c r="B1929" s="11" t="s">
        <v>49</v>
      </c>
      <c r="C1929" s="11" t="s">
        <v>414</v>
      </c>
      <c r="D1929" s="11" t="s">
        <v>415</v>
      </c>
      <c r="E1929" s="11" t="s">
        <v>1372</v>
      </c>
      <c r="F1929" s="11" t="s">
        <v>11709</v>
      </c>
      <c r="G1929" s="11" t="s">
        <v>11710</v>
      </c>
      <c r="H1929" s="11"/>
      <c r="I1929" s="11" t="s">
        <v>11711</v>
      </c>
      <c r="J1929" s="11" t="s">
        <v>11712</v>
      </c>
      <c r="K1929" s="11" t="s">
        <v>11713</v>
      </c>
      <c r="L1929" s="11" t="s">
        <v>11714</v>
      </c>
      <c r="M1929" s="11"/>
      <c r="N1929" s="14" t="n">
        <v>2</v>
      </c>
      <c r="O1929" s="14" t="n">
        <v>2</v>
      </c>
      <c r="P1929" s="14" t="n">
        <v>3</v>
      </c>
      <c r="Q1929" s="14"/>
      <c r="R1929" s="12" t="n">
        <f aca="false">IF(OR(N1929="",P1929=""),"",ROUND(N1929*O1929/P1929,1))</f>
        <v>1.3</v>
      </c>
      <c r="S1929" s="13" t="n">
        <f aca="false">IF(R1929="","",IF(Q1929="Y",1,IF(P1929&gt;='Read me'!$B$16,3,IF(AND(R1929&gt;='Read me'!$B$14,P1929&lt;='Read me'!$B$15),1,2))))</f>
        <v>2</v>
      </c>
    </row>
    <row r="1930" customFormat="false" ht="23.85" hidden="false" customHeight="false" outlineLevel="0" collapsed="false">
      <c r="A1930" s="11" t="s">
        <v>11715</v>
      </c>
      <c r="B1930" s="11" t="s">
        <v>49</v>
      </c>
      <c r="C1930" s="11" t="s">
        <v>414</v>
      </c>
      <c r="D1930" s="11" t="s">
        <v>415</v>
      </c>
      <c r="E1930" s="11" t="s">
        <v>1372</v>
      </c>
      <c r="F1930" s="11" t="s">
        <v>11716</v>
      </c>
      <c r="G1930" s="11" t="s">
        <v>1473</v>
      </c>
      <c r="H1930" s="11"/>
      <c r="I1930" s="11" t="s">
        <v>11717</v>
      </c>
      <c r="J1930" s="11" t="s">
        <v>11718</v>
      </c>
      <c r="K1930" s="11" t="s">
        <v>11719</v>
      </c>
      <c r="L1930" s="11" t="s">
        <v>11720</v>
      </c>
      <c r="M1930" s="11" t="s">
        <v>11721</v>
      </c>
      <c r="N1930" s="14" t="n">
        <v>3</v>
      </c>
      <c r="O1930" s="14" t="n">
        <v>3</v>
      </c>
      <c r="P1930" s="14" t="n">
        <v>1</v>
      </c>
      <c r="Q1930" s="14"/>
      <c r="R1930" s="12" t="n">
        <f aca="false">IF(OR(N1930="",P1930=""),"",ROUND(N1930*O1930/P1930,1))</f>
        <v>9</v>
      </c>
      <c r="S1930" s="13" t="n">
        <f aca="false">IF(R1930="","",IF(Q1930="Y",1,IF(P1930&gt;='Read me'!$B$16,3,IF(AND(R1930&gt;='Read me'!$B$14,P1930&lt;='Read me'!$B$15),1,2))))</f>
        <v>1</v>
      </c>
    </row>
    <row r="1931" customFormat="false" ht="23.85" hidden="false" customHeight="false" outlineLevel="0" collapsed="false">
      <c r="A1931" s="11" t="s">
        <v>11722</v>
      </c>
      <c r="B1931" s="11" t="s">
        <v>49</v>
      </c>
      <c r="C1931" s="11" t="s">
        <v>414</v>
      </c>
      <c r="D1931" s="11" t="s">
        <v>415</v>
      </c>
      <c r="E1931" s="11" t="s">
        <v>1372</v>
      </c>
      <c r="F1931" s="11" t="s">
        <v>11723</v>
      </c>
      <c r="G1931" s="11" t="s">
        <v>1148</v>
      </c>
      <c r="H1931" s="11"/>
      <c r="I1931" s="11" t="s">
        <v>11724</v>
      </c>
      <c r="J1931" s="11" t="s">
        <v>11725</v>
      </c>
      <c r="K1931" s="11" t="s">
        <v>11726</v>
      </c>
      <c r="L1931" s="11" t="s">
        <v>11727</v>
      </c>
      <c r="M1931" s="11"/>
      <c r="N1931" s="14" t="n">
        <v>3</v>
      </c>
      <c r="O1931" s="14" t="n">
        <v>2</v>
      </c>
      <c r="P1931" s="14" t="n">
        <v>2</v>
      </c>
      <c r="Q1931" s="14"/>
      <c r="R1931" s="12" t="n">
        <f aca="false">IF(OR(N1931="",P1931=""),"",ROUND(N1931*O1931/P1931,1))</f>
        <v>3</v>
      </c>
      <c r="S1931" s="13" t="n">
        <f aca="false">IF(R1931="","",IF(Q1931="Y",1,IF(P1931&gt;='Read me'!$B$16,3,IF(AND(R1931&gt;='Read me'!$B$14,P1931&lt;='Read me'!$B$15),1,2))))</f>
        <v>2</v>
      </c>
    </row>
    <row r="1932" customFormat="false" ht="35.05" hidden="false" customHeight="false" outlineLevel="0" collapsed="false">
      <c r="A1932" s="11" t="s">
        <v>11728</v>
      </c>
      <c r="B1932" s="11" t="s">
        <v>49</v>
      </c>
      <c r="C1932" s="11" t="s">
        <v>414</v>
      </c>
      <c r="D1932" s="11" t="s">
        <v>415</v>
      </c>
      <c r="E1932" s="11" t="s">
        <v>1372</v>
      </c>
      <c r="F1932" s="11" t="s">
        <v>11729</v>
      </c>
      <c r="G1932" s="11" t="s">
        <v>11730</v>
      </c>
      <c r="H1932" s="11"/>
      <c r="I1932" s="11" t="s">
        <v>11731</v>
      </c>
      <c r="J1932" s="11" t="s">
        <v>11732</v>
      </c>
      <c r="K1932" s="11" t="s">
        <v>11733</v>
      </c>
      <c r="L1932" s="11" t="s">
        <v>11734</v>
      </c>
      <c r="M1932" s="11" t="s">
        <v>11662</v>
      </c>
      <c r="N1932" s="14" t="n">
        <v>2</v>
      </c>
      <c r="O1932" s="14" t="n">
        <v>2</v>
      </c>
      <c r="P1932" s="14" t="n">
        <v>1</v>
      </c>
      <c r="Q1932" s="14"/>
      <c r="R1932" s="12" t="n">
        <f aca="false">IF(OR(N1932="",P1932=""),"",ROUND(N1932*O1932/P1932,1))</f>
        <v>4</v>
      </c>
      <c r="S1932" s="13" t="n">
        <f aca="false">IF(R1932="","",IF(Q1932="Y",1,IF(P1932&gt;='Read me'!$B$16,3,IF(AND(R1932&gt;='Read me'!$B$14,P1932&lt;='Read me'!$B$15),1,2))))</f>
        <v>2</v>
      </c>
    </row>
    <row r="1933" customFormat="false" ht="35.05" hidden="false" customHeight="false" outlineLevel="0" collapsed="false">
      <c r="A1933" s="11" t="s">
        <v>11735</v>
      </c>
      <c r="B1933" s="11" t="s">
        <v>49</v>
      </c>
      <c r="C1933" s="11" t="s">
        <v>414</v>
      </c>
      <c r="D1933" s="11" t="s">
        <v>415</v>
      </c>
      <c r="E1933" s="11" t="s">
        <v>1372</v>
      </c>
      <c r="F1933" s="11" t="s">
        <v>11736</v>
      </c>
      <c r="G1933" s="11" t="s">
        <v>7249</v>
      </c>
      <c r="H1933" s="11"/>
      <c r="I1933" s="11" t="s">
        <v>11737</v>
      </c>
      <c r="J1933" s="11" t="s">
        <v>11738</v>
      </c>
      <c r="K1933" s="11" t="s">
        <v>11739</v>
      </c>
      <c r="L1933" s="11" t="s">
        <v>11740</v>
      </c>
      <c r="M1933" s="11" t="s">
        <v>11662</v>
      </c>
      <c r="N1933" s="14" t="n">
        <v>2</v>
      </c>
      <c r="O1933" s="14" t="n">
        <v>2</v>
      </c>
      <c r="P1933" s="14" t="n">
        <v>2</v>
      </c>
      <c r="Q1933" s="14"/>
      <c r="R1933" s="12" t="n">
        <f aca="false">IF(OR(N1933="",P1933=""),"",ROUND(N1933*O1933/P1933,1))</f>
        <v>2</v>
      </c>
      <c r="S1933" s="13" t="n">
        <f aca="false">IF(R1933="","",IF(Q1933="Y",1,IF(P1933&gt;='Read me'!$B$16,3,IF(AND(R1933&gt;='Read me'!$B$14,P1933&lt;='Read me'!$B$15),1,2))))</f>
        <v>2</v>
      </c>
    </row>
    <row r="1934" customFormat="false" ht="35.05" hidden="false" customHeight="false" outlineLevel="0" collapsed="false">
      <c r="A1934" s="11" t="s">
        <v>11741</v>
      </c>
      <c r="B1934" s="11" t="s">
        <v>49</v>
      </c>
      <c r="C1934" s="11" t="s">
        <v>414</v>
      </c>
      <c r="D1934" s="11" t="s">
        <v>415</v>
      </c>
      <c r="E1934" s="11" t="s">
        <v>1372</v>
      </c>
      <c r="F1934" s="11" t="s">
        <v>11742</v>
      </c>
      <c r="G1934" s="11" t="s">
        <v>11743</v>
      </c>
      <c r="H1934" s="11"/>
      <c r="I1934" s="11" t="s">
        <v>11744</v>
      </c>
      <c r="J1934" s="11" t="s">
        <v>11745</v>
      </c>
      <c r="K1934" s="11" t="s">
        <v>11746</v>
      </c>
      <c r="L1934" s="11" t="s">
        <v>11747</v>
      </c>
      <c r="M1934" s="11" t="s">
        <v>11662</v>
      </c>
      <c r="N1934" s="14" t="n">
        <v>3</v>
      </c>
      <c r="O1934" s="14" t="n">
        <v>3</v>
      </c>
      <c r="P1934" s="14" t="n">
        <v>3</v>
      </c>
      <c r="Q1934" s="14"/>
      <c r="R1934" s="12" t="n">
        <f aca="false">IF(OR(N1934="",P1934=""),"",ROUND(N1934*O1934/P1934,1))</f>
        <v>3</v>
      </c>
      <c r="S1934" s="13" t="n">
        <f aca="false">IF(R1934="","",IF(Q1934="Y",1,IF(P1934&gt;='Read me'!$B$16,3,IF(AND(R1934&gt;='Read me'!$B$14,P1934&lt;='Read me'!$B$15),1,2))))</f>
        <v>2</v>
      </c>
    </row>
    <row r="1935" customFormat="false" ht="23.85" hidden="false" customHeight="false" outlineLevel="0" collapsed="false">
      <c r="A1935" s="11" t="s">
        <v>11748</v>
      </c>
      <c r="B1935" s="11" t="s">
        <v>49</v>
      </c>
      <c r="C1935" s="11" t="s">
        <v>414</v>
      </c>
      <c r="D1935" s="11" t="s">
        <v>415</v>
      </c>
      <c r="E1935" s="11" t="s">
        <v>1372</v>
      </c>
      <c r="F1935" s="11" t="s">
        <v>11749</v>
      </c>
      <c r="G1935" s="11" t="s">
        <v>11750</v>
      </c>
      <c r="H1935" s="11"/>
      <c r="I1935" s="11" t="s">
        <v>11751</v>
      </c>
      <c r="J1935" s="11" t="s">
        <v>11752</v>
      </c>
      <c r="K1935" s="11" t="s">
        <v>11753</v>
      </c>
      <c r="L1935" s="11" t="s">
        <v>11754</v>
      </c>
      <c r="M1935" s="11"/>
      <c r="N1935" s="14" t="n">
        <v>3</v>
      </c>
      <c r="O1935" s="14" t="n">
        <v>3</v>
      </c>
      <c r="P1935" s="14" t="n">
        <v>1</v>
      </c>
      <c r="Q1935" s="14"/>
      <c r="R1935" s="12" t="n">
        <f aca="false">IF(OR(N1935="",P1935=""),"",ROUND(N1935*O1935/P1935,1))</f>
        <v>9</v>
      </c>
      <c r="S1935" s="13" t="n">
        <f aca="false">IF(R1935="","",IF(Q1935="Y",1,IF(P1935&gt;='Read me'!$B$16,3,IF(AND(R1935&gt;='Read me'!$B$14,P1935&lt;='Read me'!$B$15),1,2))))</f>
        <v>1</v>
      </c>
    </row>
    <row r="1936" customFormat="false" ht="23.85" hidden="false" customHeight="false" outlineLevel="0" collapsed="false">
      <c r="A1936" s="11" t="s">
        <v>11755</v>
      </c>
      <c r="B1936" s="11" t="s">
        <v>49</v>
      </c>
      <c r="C1936" s="11" t="s">
        <v>414</v>
      </c>
      <c r="D1936" s="11" t="s">
        <v>415</v>
      </c>
      <c r="E1936" s="11" t="s">
        <v>1372</v>
      </c>
      <c r="F1936" s="11" t="s">
        <v>11756</v>
      </c>
      <c r="G1936" s="11" t="s">
        <v>11757</v>
      </c>
      <c r="H1936" s="11"/>
      <c r="I1936" s="11" t="s">
        <v>11758</v>
      </c>
      <c r="J1936" s="11" t="s">
        <v>11759</v>
      </c>
      <c r="K1936" s="11" t="s">
        <v>11760</v>
      </c>
      <c r="L1936" s="11" t="s">
        <v>11761</v>
      </c>
      <c r="M1936" s="11"/>
      <c r="N1936" s="14" t="n">
        <v>3</v>
      </c>
      <c r="O1936" s="14" t="n">
        <v>3</v>
      </c>
      <c r="P1936" s="14" t="n">
        <v>1</v>
      </c>
      <c r="Q1936" s="14"/>
      <c r="R1936" s="12" t="n">
        <f aca="false">IF(OR(N1936="",P1936=""),"",ROUND(N1936*O1936/P1936,1))</f>
        <v>9</v>
      </c>
      <c r="S1936" s="13" t="n">
        <f aca="false">IF(R1936="","",IF(Q1936="Y",1,IF(P1936&gt;='Read me'!$B$16,3,IF(AND(R1936&gt;='Read me'!$B$14,P1936&lt;='Read me'!$B$15),1,2))))</f>
        <v>1</v>
      </c>
    </row>
    <row r="1937" customFormat="false" ht="35.05" hidden="false" customHeight="false" outlineLevel="0" collapsed="false">
      <c r="A1937" s="11" t="s">
        <v>11762</v>
      </c>
      <c r="B1937" s="11" t="s">
        <v>49</v>
      </c>
      <c r="C1937" s="11" t="s">
        <v>414</v>
      </c>
      <c r="D1937" s="11" t="s">
        <v>415</v>
      </c>
      <c r="E1937" s="11" t="s">
        <v>1372</v>
      </c>
      <c r="F1937" s="11" t="s">
        <v>11763</v>
      </c>
      <c r="G1937" s="11" t="s">
        <v>11764</v>
      </c>
      <c r="H1937" s="11"/>
      <c r="I1937" s="11" t="s">
        <v>11765</v>
      </c>
      <c r="J1937" s="11" t="s">
        <v>11766</v>
      </c>
      <c r="K1937" s="11" t="s">
        <v>11767</v>
      </c>
      <c r="L1937" s="11" t="s">
        <v>11768</v>
      </c>
      <c r="M1937" s="11" t="s">
        <v>11662</v>
      </c>
      <c r="N1937" s="14" t="n">
        <v>2</v>
      </c>
      <c r="O1937" s="14" t="n">
        <v>2</v>
      </c>
      <c r="P1937" s="14" t="n">
        <v>2</v>
      </c>
      <c r="Q1937" s="14"/>
      <c r="R1937" s="12" t="n">
        <f aca="false">IF(OR(N1937="",P1937=""),"",ROUND(N1937*O1937/P1937,1))</f>
        <v>2</v>
      </c>
      <c r="S1937" s="13" t="n">
        <f aca="false">IF(R1937="","",IF(Q1937="Y",1,IF(P1937&gt;='Read me'!$B$16,3,IF(AND(R1937&gt;='Read me'!$B$14,P1937&lt;='Read me'!$B$15),1,2))))</f>
        <v>2</v>
      </c>
    </row>
    <row r="1938" customFormat="false" ht="35.05" hidden="false" customHeight="false" outlineLevel="0" collapsed="false">
      <c r="A1938" s="11" t="s">
        <v>11769</v>
      </c>
      <c r="B1938" s="11" t="s">
        <v>49</v>
      </c>
      <c r="C1938" s="11" t="s">
        <v>414</v>
      </c>
      <c r="D1938" s="11" t="s">
        <v>415</v>
      </c>
      <c r="E1938" s="11" t="s">
        <v>1372</v>
      </c>
      <c r="F1938" s="11" t="s">
        <v>11770</v>
      </c>
      <c r="G1938" s="11" t="s">
        <v>11771</v>
      </c>
      <c r="H1938" s="11"/>
      <c r="I1938" s="11" t="s">
        <v>11772</v>
      </c>
      <c r="J1938" s="11" t="s">
        <v>11773</v>
      </c>
      <c r="K1938" s="11" t="s">
        <v>9605</v>
      </c>
      <c r="L1938" s="11" t="s">
        <v>11774</v>
      </c>
      <c r="M1938" s="11" t="s">
        <v>11662</v>
      </c>
      <c r="N1938" s="14" t="n">
        <v>1</v>
      </c>
      <c r="O1938" s="14" t="n">
        <v>2</v>
      </c>
      <c r="P1938" s="14" t="n">
        <v>2</v>
      </c>
      <c r="Q1938" s="14"/>
      <c r="R1938" s="12" t="n">
        <f aca="false">IF(OR(N1938="",P1938=""),"",ROUND(N1938*O1938/P1938,1))</f>
        <v>1</v>
      </c>
      <c r="S1938" s="13" t="n">
        <f aca="false">IF(R1938="","",IF(Q1938="Y",1,IF(P1938&gt;='Read me'!$B$16,3,IF(AND(R1938&gt;='Read me'!$B$14,P1938&lt;='Read me'!$B$15),1,2))))</f>
        <v>2</v>
      </c>
    </row>
    <row r="1939" customFormat="false" ht="35.05" hidden="false" customHeight="false" outlineLevel="0" collapsed="false">
      <c r="A1939" s="11" t="s">
        <v>11775</v>
      </c>
      <c r="B1939" s="11" t="s">
        <v>49</v>
      </c>
      <c r="C1939" s="11" t="s">
        <v>414</v>
      </c>
      <c r="D1939" s="11" t="s">
        <v>415</v>
      </c>
      <c r="E1939" s="11" t="s">
        <v>1372</v>
      </c>
      <c r="F1939" s="11" t="s">
        <v>11776</v>
      </c>
      <c r="G1939" s="11" t="s">
        <v>11777</v>
      </c>
      <c r="H1939" s="11" t="s">
        <v>11778</v>
      </c>
      <c r="I1939" s="11" t="s">
        <v>11779</v>
      </c>
      <c r="J1939" s="11" t="s">
        <v>11780</v>
      </c>
      <c r="K1939" s="11" t="s">
        <v>11781</v>
      </c>
      <c r="L1939" s="11" t="s">
        <v>11782</v>
      </c>
      <c r="M1939" s="11" t="s">
        <v>11662</v>
      </c>
      <c r="N1939" s="14" t="n">
        <v>2</v>
      </c>
      <c r="O1939" s="14" t="n">
        <v>3</v>
      </c>
      <c r="P1939" s="14" t="n">
        <v>4</v>
      </c>
      <c r="Q1939" s="14"/>
      <c r="R1939" s="12" t="n">
        <f aca="false">IF(OR(N1939="",P1939=""),"",ROUND(N1939*O1939/P1939,1))</f>
        <v>1.5</v>
      </c>
      <c r="S1939" s="13" t="n">
        <f aca="false">IF(R1939="","",IF(Q1939="Y",1,IF(P1939&gt;='Read me'!$B$16,3,IF(AND(R1939&gt;='Read me'!$B$14,P1939&lt;='Read me'!$B$15),1,2))))</f>
        <v>3</v>
      </c>
    </row>
    <row r="1940" customFormat="false" ht="46.25" hidden="false" customHeight="false" outlineLevel="0" collapsed="false">
      <c r="A1940" s="11" t="s">
        <v>11783</v>
      </c>
      <c r="B1940" s="11" t="s">
        <v>49</v>
      </c>
      <c r="C1940" s="11" t="s">
        <v>414</v>
      </c>
      <c r="D1940" s="11" t="s">
        <v>415</v>
      </c>
      <c r="E1940" s="11" t="s">
        <v>1372</v>
      </c>
      <c r="F1940" s="11" t="s">
        <v>11784</v>
      </c>
      <c r="G1940" s="11" t="s">
        <v>7249</v>
      </c>
      <c r="H1940" s="11"/>
      <c r="I1940" s="11" t="s">
        <v>11785</v>
      </c>
      <c r="J1940" s="11" t="s">
        <v>11786</v>
      </c>
      <c r="K1940" s="11" t="s">
        <v>4369</v>
      </c>
      <c r="L1940" s="11" t="s">
        <v>11787</v>
      </c>
      <c r="M1940" s="11" t="s">
        <v>11788</v>
      </c>
      <c r="N1940" s="14" t="n">
        <v>2</v>
      </c>
      <c r="O1940" s="14" t="n">
        <v>3</v>
      </c>
      <c r="P1940" s="14" t="n">
        <v>3</v>
      </c>
      <c r="Q1940" s="14"/>
      <c r="R1940" s="12" t="n">
        <f aca="false">IF(OR(N1940="",P1940=""),"",ROUND(N1940*O1940/P1940,1))</f>
        <v>2</v>
      </c>
      <c r="S1940" s="13" t="n">
        <f aca="false">IF(R1940="","",IF(Q1940="Y",1,IF(P1940&gt;='Read me'!$B$16,3,IF(AND(R1940&gt;='Read me'!$B$14,P1940&lt;='Read me'!$B$15),1,2))))</f>
        <v>2</v>
      </c>
    </row>
    <row r="1941" customFormat="false" ht="23.85" hidden="false" customHeight="false" outlineLevel="0" collapsed="false">
      <c r="A1941" s="11" t="s">
        <v>11789</v>
      </c>
      <c r="B1941" s="11" t="s">
        <v>49</v>
      </c>
      <c r="C1941" s="11" t="s">
        <v>414</v>
      </c>
      <c r="D1941" s="11" t="s">
        <v>415</v>
      </c>
      <c r="E1941" s="11" t="s">
        <v>1372</v>
      </c>
      <c r="F1941" s="11" t="s">
        <v>11790</v>
      </c>
      <c r="G1941" s="11" t="s">
        <v>11791</v>
      </c>
      <c r="H1941" s="11"/>
      <c r="I1941" s="11" t="s">
        <v>11792</v>
      </c>
      <c r="J1941" s="11" t="s">
        <v>11793</v>
      </c>
      <c r="K1941" s="11" t="s">
        <v>5634</v>
      </c>
      <c r="L1941" s="11" t="s">
        <v>11794</v>
      </c>
      <c r="M1941" s="11"/>
      <c r="N1941" s="14" t="n">
        <v>1</v>
      </c>
      <c r="O1941" s="14" t="n">
        <v>3</v>
      </c>
      <c r="P1941" s="14" t="n">
        <v>2</v>
      </c>
      <c r="Q1941" s="14"/>
      <c r="R1941" s="12" t="n">
        <f aca="false">IF(OR(N1941="",P1941=""),"",ROUND(N1941*O1941/P1941,1))</f>
        <v>1.5</v>
      </c>
      <c r="S1941" s="13" t="n">
        <f aca="false">IF(R1941="","",IF(Q1941="Y",1,IF(P1941&gt;='Read me'!$B$16,3,IF(AND(R1941&gt;='Read me'!$B$14,P1941&lt;='Read me'!$B$15),1,2))))</f>
        <v>2</v>
      </c>
    </row>
    <row r="1942" customFormat="false" ht="23.85" hidden="false" customHeight="false" outlineLevel="0" collapsed="false">
      <c r="A1942" s="11" t="s">
        <v>11795</v>
      </c>
      <c r="B1942" s="11" t="s">
        <v>49</v>
      </c>
      <c r="C1942" s="11" t="s">
        <v>414</v>
      </c>
      <c r="D1942" s="11" t="s">
        <v>415</v>
      </c>
      <c r="E1942" s="11" t="s">
        <v>1372</v>
      </c>
      <c r="F1942" s="11" t="s">
        <v>11796</v>
      </c>
      <c r="G1942" s="11" t="s">
        <v>11797</v>
      </c>
      <c r="H1942" s="11"/>
      <c r="I1942" s="11" t="s">
        <v>11798</v>
      </c>
      <c r="J1942" s="11" t="s">
        <v>11799</v>
      </c>
      <c r="K1942" s="11" t="s">
        <v>11800</v>
      </c>
      <c r="L1942" s="11"/>
      <c r="M1942" s="11"/>
      <c r="N1942" s="14" t="n">
        <v>1</v>
      </c>
      <c r="O1942" s="14" t="n">
        <v>2</v>
      </c>
      <c r="P1942" s="14" t="n">
        <v>1</v>
      </c>
      <c r="Q1942" s="14"/>
      <c r="R1942" s="12" t="n">
        <f aca="false">IF(OR(N1942="",P1942=""),"",ROUND(N1942*O1942/P1942,1))</f>
        <v>2</v>
      </c>
      <c r="S1942" s="13" t="n">
        <f aca="false">IF(R1942="","",IF(Q1942="Y",1,IF(P1942&gt;='Read me'!$B$16,3,IF(AND(R1942&gt;='Read me'!$B$14,P1942&lt;='Read me'!$B$15),1,2))))</f>
        <v>2</v>
      </c>
    </row>
    <row r="1943" customFormat="false" ht="35.05" hidden="false" customHeight="false" outlineLevel="0" collapsed="false">
      <c r="A1943" s="11" t="s">
        <v>11801</v>
      </c>
      <c r="B1943" s="11" t="s">
        <v>49</v>
      </c>
      <c r="C1943" s="11" t="s">
        <v>414</v>
      </c>
      <c r="D1943" s="11" t="s">
        <v>415</v>
      </c>
      <c r="E1943" s="11" t="s">
        <v>1372</v>
      </c>
      <c r="F1943" s="11" t="s">
        <v>11802</v>
      </c>
      <c r="G1943" s="11" t="s">
        <v>11803</v>
      </c>
      <c r="H1943" s="11"/>
      <c r="I1943" s="11" t="s">
        <v>11804</v>
      </c>
      <c r="J1943" s="11" t="s">
        <v>11805</v>
      </c>
      <c r="K1943" s="11" t="s">
        <v>11806</v>
      </c>
      <c r="L1943" s="11" t="s">
        <v>11807</v>
      </c>
      <c r="M1943" s="11" t="s">
        <v>11808</v>
      </c>
      <c r="N1943" s="14" t="n">
        <v>2</v>
      </c>
      <c r="O1943" s="14" t="n">
        <v>3</v>
      </c>
      <c r="P1943" s="14" t="n">
        <v>2</v>
      </c>
      <c r="Q1943" s="14"/>
      <c r="R1943" s="12" t="n">
        <f aca="false">IF(OR(N1943="",P1943=""),"",ROUND(N1943*O1943/P1943,1))</f>
        <v>3</v>
      </c>
      <c r="S1943" s="13" t="n">
        <f aca="false">IF(R1943="","",IF(Q1943="Y",1,IF(P1943&gt;='Read me'!$B$16,3,IF(AND(R1943&gt;='Read me'!$B$14,P1943&lt;='Read me'!$B$15),1,2))))</f>
        <v>2</v>
      </c>
    </row>
    <row r="1944" customFormat="false" ht="35.05" hidden="false" customHeight="false" outlineLevel="0" collapsed="false">
      <c r="A1944" s="11" t="s">
        <v>11809</v>
      </c>
      <c r="B1944" s="11" t="s">
        <v>49</v>
      </c>
      <c r="C1944" s="11" t="s">
        <v>414</v>
      </c>
      <c r="D1944" s="11" t="s">
        <v>415</v>
      </c>
      <c r="E1944" s="11" t="s">
        <v>1372</v>
      </c>
      <c r="F1944" s="11" t="s">
        <v>11810</v>
      </c>
      <c r="G1944" s="11" t="s">
        <v>11811</v>
      </c>
      <c r="H1944" s="11"/>
      <c r="I1944" s="11" t="s">
        <v>11812</v>
      </c>
      <c r="J1944" s="11" t="s">
        <v>11813</v>
      </c>
      <c r="K1944" s="11" t="s">
        <v>11814</v>
      </c>
      <c r="L1944" s="11" t="s">
        <v>11815</v>
      </c>
      <c r="M1944" s="11" t="s">
        <v>11662</v>
      </c>
      <c r="N1944" s="14" t="n">
        <v>2</v>
      </c>
      <c r="O1944" s="14" t="n">
        <v>3</v>
      </c>
      <c r="P1944" s="14" t="n">
        <v>3</v>
      </c>
      <c r="Q1944" s="14"/>
      <c r="R1944" s="12" t="n">
        <f aca="false">IF(OR(N1944="",P1944=""),"",ROUND(N1944*O1944/P1944,1))</f>
        <v>2</v>
      </c>
      <c r="S1944" s="13" t="n">
        <f aca="false">IF(R1944="","",IF(Q1944="Y",1,IF(P1944&gt;='Read me'!$B$16,3,IF(AND(R1944&gt;='Read me'!$B$14,P1944&lt;='Read me'!$B$15),1,2))))</f>
        <v>2</v>
      </c>
    </row>
    <row r="1945" customFormat="false" ht="35.05" hidden="false" customHeight="false" outlineLevel="0" collapsed="false">
      <c r="A1945" s="11" t="s">
        <v>11816</v>
      </c>
      <c r="B1945" s="11" t="s">
        <v>49</v>
      </c>
      <c r="C1945" s="11" t="s">
        <v>414</v>
      </c>
      <c r="D1945" s="11" t="s">
        <v>415</v>
      </c>
      <c r="E1945" s="11" t="s">
        <v>1372</v>
      </c>
      <c r="F1945" s="11" t="s">
        <v>11817</v>
      </c>
      <c r="G1945" s="11" t="s">
        <v>11818</v>
      </c>
      <c r="H1945" s="11"/>
      <c r="I1945" s="11" t="s">
        <v>11819</v>
      </c>
      <c r="J1945" s="11" t="s">
        <v>11820</v>
      </c>
      <c r="K1945" s="11" t="s">
        <v>11821</v>
      </c>
      <c r="L1945" s="11" t="s">
        <v>11822</v>
      </c>
      <c r="M1945" s="11" t="s">
        <v>11662</v>
      </c>
      <c r="N1945" s="14" t="n">
        <v>1</v>
      </c>
      <c r="O1945" s="14" t="n">
        <v>2</v>
      </c>
      <c r="P1945" s="14" t="n">
        <v>3</v>
      </c>
      <c r="Q1945" s="14"/>
      <c r="R1945" s="12" t="n">
        <f aca="false">IF(OR(N1945="",P1945=""),"",ROUND(N1945*O1945/P1945,1))</f>
        <v>0.7</v>
      </c>
      <c r="S1945" s="13" t="n">
        <f aca="false">IF(R1945="","",IF(Q1945="Y",1,IF(P1945&gt;='Read me'!$B$16,3,IF(AND(R1945&gt;='Read me'!$B$14,P1945&lt;='Read me'!$B$15),1,2))))</f>
        <v>2</v>
      </c>
    </row>
    <row r="1946" customFormat="false" ht="35.05" hidden="false" customHeight="false" outlineLevel="0" collapsed="false">
      <c r="A1946" s="11" t="s">
        <v>11823</v>
      </c>
      <c r="B1946" s="11" t="s">
        <v>49</v>
      </c>
      <c r="C1946" s="11" t="s">
        <v>414</v>
      </c>
      <c r="D1946" s="11" t="s">
        <v>415</v>
      </c>
      <c r="E1946" s="11" t="s">
        <v>1372</v>
      </c>
      <c r="F1946" s="11" t="s">
        <v>11824</v>
      </c>
      <c r="G1946" s="11" t="s">
        <v>11818</v>
      </c>
      <c r="H1946" s="11"/>
      <c r="I1946" s="11" t="s">
        <v>11825</v>
      </c>
      <c r="J1946" s="11" t="s">
        <v>11826</v>
      </c>
      <c r="K1946" s="11" t="s">
        <v>11827</v>
      </c>
      <c r="L1946" s="11" t="s">
        <v>11828</v>
      </c>
      <c r="M1946" s="11" t="s">
        <v>11662</v>
      </c>
      <c r="N1946" s="14" t="n">
        <v>1</v>
      </c>
      <c r="O1946" s="14" t="n">
        <v>2</v>
      </c>
      <c r="P1946" s="14" t="n">
        <v>3</v>
      </c>
      <c r="Q1946" s="14"/>
      <c r="R1946" s="12" t="n">
        <f aca="false">IF(OR(N1946="",P1946=""),"",ROUND(N1946*O1946/P1946,1))</f>
        <v>0.7</v>
      </c>
      <c r="S1946" s="13" t="n">
        <f aca="false">IF(R1946="","",IF(Q1946="Y",1,IF(P1946&gt;='Read me'!$B$16,3,IF(AND(R1946&gt;='Read me'!$B$14,P1946&lt;='Read me'!$B$15),1,2))))</f>
        <v>2</v>
      </c>
    </row>
    <row r="1947" customFormat="false" ht="23.85" hidden="false" customHeight="false" outlineLevel="0" collapsed="false">
      <c r="A1947" s="11" t="s">
        <v>11829</v>
      </c>
      <c r="B1947" s="11" t="s">
        <v>49</v>
      </c>
      <c r="C1947" s="11" t="s">
        <v>414</v>
      </c>
      <c r="D1947" s="11" t="s">
        <v>415</v>
      </c>
      <c r="E1947" s="11" t="s">
        <v>1372</v>
      </c>
      <c r="F1947" s="11" t="s">
        <v>11830</v>
      </c>
      <c r="G1947" s="11" t="s">
        <v>11831</v>
      </c>
      <c r="H1947" s="11"/>
      <c r="I1947" s="11" t="s">
        <v>11832</v>
      </c>
      <c r="J1947" s="11" t="s">
        <v>11833</v>
      </c>
      <c r="K1947" s="11" t="s">
        <v>11834</v>
      </c>
      <c r="L1947" s="11" t="s">
        <v>11835</v>
      </c>
      <c r="M1947" s="11"/>
      <c r="N1947" s="14" t="n">
        <v>2</v>
      </c>
      <c r="O1947" s="14" t="n">
        <v>2</v>
      </c>
      <c r="P1947" s="14" t="n">
        <v>1</v>
      </c>
      <c r="Q1947" s="14"/>
      <c r="R1947" s="12" t="n">
        <f aca="false">IF(OR(N1947="",P1947=""),"",ROUND(N1947*O1947/P1947,1))</f>
        <v>4</v>
      </c>
      <c r="S1947" s="13" t="n">
        <f aca="false">IF(R1947="","",IF(Q1947="Y",1,IF(P1947&gt;='Read me'!$B$16,3,IF(AND(R1947&gt;='Read me'!$B$14,P1947&lt;='Read me'!$B$15),1,2))))</f>
        <v>2</v>
      </c>
    </row>
    <row r="1948" customFormat="false" ht="23.85" hidden="false" customHeight="false" outlineLevel="0" collapsed="false">
      <c r="A1948" s="11" t="s">
        <v>11836</v>
      </c>
      <c r="B1948" s="11" t="s">
        <v>49</v>
      </c>
      <c r="C1948" s="11" t="s">
        <v>414</v>
      </c>
      <c r="D1948" s="11" t="s">
        <v>415</v>
      </c>
      <c r="E1948" s="11" t="s">
        <v>1372</v>
      </c>
      <c r="F1948" s="11" t="s">
        <v>11837</v>
      </c>
      <c r="G1948" s="11" t="s">
        <v>11838</v>
      </c>
      <c r="H1948" s="11"/>
      <c r="I1948" s="11" t="s">
        <v>11839</v>
      </c>
      <c r="J1948" s="11" t="s">
        <v>11840</v>
      </c>
      <c r="K1948" s="11" t="s">
        <v>1028</v>
      </c>
      <c r="L1948" s="11" t="s">
        <v>11841</v>
      </c>
      <c r="M1948" s="11"/>
      <c r="N1948" s="14" t="n">
        <v>2</v>
      </c>
      <c r="O1948" s="14" t="n">
        <v>3</v>
      </c>
      <c r="P1948" s="14" t="n">
        <v>3</v>
      </c>
      <c r="Q1948" s="14"/>
      <c r="R1948" s="12" t="n">
        <f aca="false">IF(OR(N1948="",P1948=""),"",ROUND(N1948*O1948/P1948,1))</f>
        <v>2</v>
      </c>
      <c r="S1948" s="13" t="n">
        <f aca="false">IF(R1948="","",IF(Q1948="Y",1,IF(P1948&gt;='Read me'!$B$16,3,IF(AND(R1948&gt;='Read me'!$B$14,P1948&lt;='Read me'!$B$15),1,2))))</f>
        <v>2</v>
      </c>
    </row>
    <row r="1949" customFormat="false" ht="35.05" hidden="false" customHeight="false" outlineLevel="0" collapsed="false">
      <c r="A1949" s="11" t="s">
        <v>11842</v>
      </c>
      <c r="B1949" s="11" t="s">
        <v>49</v>
      </c>
      <c r="C1949" s="11" t="s">
        <v>414</v>
      </c>
      <c r="D1949" s="11" t="s">
        <v>415</v>
      </c>
      <c r="E1949" s="11" t="s">
        <v>1372</v>
      </c>
      <c r="F1949" s="11" t="s">
        <v>11843</v>
      </c>
      <c r="G1949" s="11" t="s">
        <v>11844</v>
      </c>
      <c r="H1949" s="11"/>
      <c r="I1949" s="11" t="s">
        <v>11845</v>
      </c>
      <c r="J1949" s="11" t="s">
        <v>11846</v>
      </c>
      <c r="K1949" s="11" t="s">
        <v>1028</v>
      </c>
      <c r="L1949" s="11" t="s">
        <v>11847</v>
      </c>
      <c r="M1949" s="11"/>
      <c r="N1949" s="14" t="n">
        <v>1</v>
      </c>
      <c r="O1949" s="14" t="n">
        <v>1</v>
      </c>
      <c r="P1949" s="14" t="n">
        <v>1</v>
      </c>
      <c r="Q1949" s="14"/>
      <c r="R1949" s="12" t="n">
        <f aca="false">IF(OR(N1949="",P1949=""),"",ROUND(N1949*O1949/P1949,1))</f>
        <v>1</v>
      </c>
      <c r="S1949" s="13" t="n">
        <f aca="false">IF(R1949="","",IF(Q1949="Y",1,IF(P1949&gt;='Read me'!$B$16,3,IF(AND(R1949&gt;='Read me'!$B$14,P1949&lt;='Read me'!$B$15),1,2))))</f>
        <v>2</v>
      </c>
    </row>
    <row r="1950" customFormat="false" ht="23.85" hidden="false" customHeight="false" outlineLevel="0" collapsed="false">
      <c r="A1950" s="11" t="s">
        <v>11848</v>
      </c>
      <c r="B1950" s="11" t="s">
        <v>49</v>
      </c>
      <c r="C1950" s="11" t="s">
        <v>414</v>
      </c>
      <c r="D1950" s="11" t="s">
        <v>415</v>
      </c>
      <c r="E1950" s="11" t="s">
        <v>1372</v>
      </c>
      <c r="F1950" s="11" t="s">
        <v>11849</v>
      </c>
      <c r="G1950" s="11" t="s">
        <v>11850</v>
      </c>
      <c r="H1950" s="11"/>
      <c r="I1950" s="11" t="s">
        <v>11851</v>
      </c>
      <c r="J1950" s="11" t="s">
        <v>11852</v>
      </c>
      <c r="K1950" s="11" t="s">
        <v>11853</v>
      </c>
      <c r="L1950" s="11" t="s">
        <v>11854</v>
      </c>
      <c r="M1950" s="11"/>
      <c r="N1950" s="14" t="n">
        <v>3</v>
      </c>
      <c r="O1950" s="14" t="n">
        <v>3</v>
      </c>
      <c r="P1950" s="14" t="n">
        <v>2</v>
      </c>
      <c r="Q1950" s="14"/>
      <c r="R1950" s="12" t="n">
        <f aca="false">IF(OR(N1950="",P1950=""),"",ROUND(N1950*O1950/P1950,1))</f>
        <v>4.5</v>
      </c>
      <c r="S1950" s="13" t="n">
        <f aca="false">IF(R1950="","",IF(Q1950="Y",1,IF(P1950&gt;='Read me'!$B$16,3,IF(AND(R1950&gt;='Read me'!$B$14,P1950&lt;='Read me'!$B$15),1,2))))</f>
        <v>2</v>
      </c>
    </row>
    <row r="1951" customFormat="false" ht="23.85" hidden="false" customHeight="false" outlineLevel="0" collapsed="false">
      <c r="A1951" s="11" t="s">
        <v>11855</v>
      </c>
      <c r="B1951" s="11" t="s">
        <v>49</v>
      </c>
      <c r="C1951" s="11" t="s">
        <v>414</v>
      </c>
      <c r="D1951" s="11" t="s">
        <v>415</v>
      </c>
      <c r="E1951" s="11" t="s">
        <v>1372</v>
      </c>
      <c r="F1951" s="11" t="s">
        <v>11849</v>
      </c>
      <c r="G1951" s="11" t="s">
        <v>11856</v>
      </c>
      <c r="H1951" s="11"/>
      <c r="I1951" s="11" t="s">
        <v>11857</v>
      </c>
      <c r="J1951" s="11" t="s">
        <v>11858</v>
      </c>
      <c r="K1951" s="11" t="s">
        <v>11859</v>
      </c>
      <c r="L1951" s="11" t="s">
        <v>11860</v>
      </c>
      <c r="M1951" s="11"/>
      <c r="N1951" s="14" t="n">
        <v>3</v>
      </c>
      <c r="O1951" s="14" t="n">
        <v>3</v>
      </c>
      <c r="P1951" s="14" t="n">
        <v>2</v>
      </c>
      <c r="Q1951" s="14"/>
      <c r="R1951" s="12" t="n">
        <f aca="false">IF(OR(N1951="",P1951=""),"",ROUND(N1951*O1951/P1951,1))</f>
        <v>4.5</v>
      </c>
      <c r="S1951" s="13" t="n">
        <f aca="false">IF(R1951="","",IF(Q1951="Y",1,IF(P1951&gt;='Read me'!$B$16,3,IF(AND(R1951&gt;='Read me'!$B$14,P1951&lt;='Read me'!$B$15),1,2))))</f>
        <v>2</v>
      </c>
    </row>
    <row r="1952" customFormat="false" ht="23.85" hidden="false" customHeight="false" outlineLevel="0" collapsed="false">
      <c r="A1952" s="11" t="s">
        <v>11861</v>
      </c>
      <c r="B1952" s="11" t="s">
        <v>49</v>
      </c>
      <c r="C1952" s="11" t="s">
        <v>414</v>
      </c>
      <c r="D1952" s="11" t="s">
        <v>415</v>
      </c>
      <c r="E1952" s="11" t="s">
        <v>1372</v>
      </c>
      <c r="F1952" s="11" t="s">
        <v>11862</v>
      </c>
      <c r="G1952" s="11" t="s">
        <v>10559</v>
      </c>
      <c r="H1952" s="11" t="s">
        <v>11863</v>
      </c>
      <c r="I1952" s="11" t="s">
        <v>11864</v>
      </c>
      <c r="J1952" s="11" t="s">
        <v>11865</v>
      </c>
      <c r="K1952" s="11" t="s">
        <v>4066</v>
      </c>
      <c r="L1952" s="11" t="s">
        <v>11866</v>
      </c>
      <c r="M1952" s="11"/>
      <c r="N1952" s="14" t="n">
        <v>2</v>
      </c>
      <c r="O1952" s="14" t="n">
        <v>2</v>
      </c>
      <c r="P1952" s="14" t="n">
        <v>4</v>
      </c>
      <c r="Q1952" s="14"/>
      <c r="R1952" s="12" t="n">
        <f aca="false">IF(OR(N1952="",P1952=""),"",ROUND(N1952*O1952/P1952,1))</f>
        <v>1</v>
      </c>
      <c r="S1952" s="13" t="n">
        <f aca="false">IF(R1952="","",IF(Q1952="Y",1,IF(P1952&gt;='Read me'!$B$16,3,IF(AND(R1952&gt;='Read me'!$B$14,P1952&lt;='Read me'!$B$15),1,2))))</f>
        <v>3</v>
      </c>
    </row>
    <row r="1953" customFormat="false" ht="23.85" hidden="false" customHeight="false" outlineLevel="0" collapsed="false">
      <c r="A1953" s="11" t="s">
        <v>11867</v>
      </c>
      <c r="B1953" s="11" t="s">
        <v>49</v>
      </c>
      <c r="C1953" s="11" t="s">
        <v>414</v>
      </c>
      <c r="D1953" s="11" t="s">
        <v>415</v>
      </c>
      <c r="E1953" s="11" t="s">
        <v>1372</v>
      </c>
      <c r="F1953" s="11" t="s">
        <v>11868</v>
      </c>
      <c r="G1953" s="11" t="s">
        <v>11869</v>
      </c>
      <c r="H1953" s="11" t="s">
        <v>11870</v>
      </c>
      <c r="I1953" s="11" t="s">
        <v>11871</v>
      </c>
      <c r="J1953" s="11" t="s">
        <v>11872</v>
      </c>
      <c r="K1953" s="11" t="s">
        <v>916</v>
      </c>
      <c r="L1953" s="11" t="s">
        <v>11873</v>
      </c>
      <c r="M1953" s="11"/>
      <c r="N1953" s="14" t="n">
        <v>2</v>
      </c>
      <c r="O1953" s="14" t="n">
        <v>2</v>
      </c>
      <c r="P1953" s="14" t="n">
        <v>1</v>
      </c>
      <c r="Q1953" s="14"/>
      <c r="R1953" s="12" t="n">
        <f aca="false">IF(OR(N1953="",P1953=""),"",ROUND(N1953*O1953/P1953,1))</f>
        <v>4</v>
      </c>
      <c r="S1953" s="13" t="n">
        <f aca="false">IF(R1953="","",IF(Q1953="Y",1,IF(P1953&gt;='Read me'!$B$16,3,IF(AND(R1953&gt;='Read me'!$B$14,P1953&lt;='Read me'!$B$15),1,2))))</f>
        <v>2</v>
      </c>
    </row>
    <row r="1954" customFormat="false" ht="23.85" hidden="false" customHeight="false" outlineLevel="0" collapsed="false">
      <c r="A1954" s="11" t="s">
        <v>11874</v>
      </c>
      <c r="B1954" s="11" t="s">
        <v>49</v>
      </c>
      <c r="C1954" s="11" t="s">
        <v>417</v>
      </c>
      <c r="D1954" s="11" t="s">
        <v>418</v>
      </c>
      <c r="E1954" s="11" t="s">
        <v>476</v>
      </c>
      <c r="F1954" s="11" t="s">
        <v>11875</v>
      </c>
      <c r="G1954" s="11" t="s">
        <v>11876</v>
      </c>
      <c r="H1954" s="11"/>
      <c r="I1954" s="11" t="s">
        <v>512</v>
      </c>
      <c r="J1954" s="11" t="s">
        <v>11877</v>
      </c>
      <c r="K1954" s="11" t="s">
        <v>11878</v>
      </c>
      <c r="L1954" s="11" t="s">
        <v>11879</v>
      </c>
      <c r="M1954" s="11"/>
      <c r="N1954" s="14" t="n">
        <v>3</v>
      </c>
      <c r="O1954" s="14" t="n">
        <v>4</v>
      </c>
      <c r="P1954" s="14" t="n">
        <v>3</v>
      </c>
      <c r="Q1954" s="14"/>
      <c r="R1954" s="12" t="n">
        <f aca="false">IF(OR(N1954="",P1954=""),"",ROUND(N1954*O1954/P1954,1))</f>
        <v>4</v>
      </c>
      <c r="S1954" s="13" t="n">
        <f aca="false">IF(R1954="","",IF(Q1954="Y",1,IF(P1954&gt;='Read me'!$B$16,3,IF(AND(R1954&gt;='Read me'!$B$14,P1954&lt;='Read me'!$B$15),1,2))))</f>
        <v>2</v>
      </c>
    </row>
    <row r="1955" customFormat="false" ht="35.05" hidden="false" customHeight="false" outlineLevel="0" collapsed="false">
      <c r="A1955" s="11" t="s">
        <v>11880</v>
      </c>
      <c r="B1955" s="11" t="s">
        <v>49</v>
      </c>
      <c r="C1955" s="11" t="s">
        <v>417</v>
      </c>
      <c r="D1955" s="11" t="s">
        <v>418</v>
      </c>
      <c r="E1955" s="11" t="s">
        <v>476</v>
      </c>
      <c r="F1955" s="11" t="s">
        <v>11881</v>
      </c>
      <c r="G1955" s="11" t="s">
        <v>11882</v>
      </c>
      <c r="H1955" s="11"/>
      <c r="I1955" s="11" t="s">
        <v>512</v>
      </c>
      <c r="J1955" s="11" t="s">
        <v>11883</v>
      </c>
      <c r="K1955" s="11" t="s">
        <v>11562</v>
      </c>
      <c r="L1955" s="11" t="s">
        <v>11884</v>
      </c>
      <c r="M1955" s="11" t="s">
        <v>11885</v>
      </c>
      <c r="N1955" s="14" t="n">
        <v>5</v>
      </c>
      <c r="O1955" s="14" t="n">
        <v>4</v>
      </c>
      <c r="P1955" s="14" t="n">
        <v>3</v>
      </c>
      <c r="Q1955" s="14"/>
      <c r="R1955" s="12" t="n">
        <f aca="false">IF(OR(N1955="",P1955=""),"",ROUND(N1955*O1955/P1955,1))</f>
        <v>6.7</v>
      </c>
      <c r="S1955" s="13" t="n">
        <f aca="false">IF(R1955="","",IF(Q1955="Y",1,IF(P1955&gt;='Read me'!$B$16,3,IF(AND(R1955&gt;='Read me'!$B$14,P1955&lt;='Read me'!$B$15),1,2))))</f>
        <v>2</v>
      </c>
    </row>
    <row r="1956" customFormat="false" ht="35.05" hidden="false" customHeight="false" outlineLevel="0" collapsed="false">
      <c r="A1956" s="11" t="s">
        <v>11886</v>
      </c>
      <c r="B1956" s="11" t="s">
        <v>49</v>
      </c>
      <c r="C1956" s="11" t="s">
        <v>417</v>
      </c>
      <c r="D1956" s="11" t="s">
        <v>418</v>
      </c>
      <c r="E1956" s="11" t="s">
        <v>476</v>
      </c>
      <c r="F1956" s="11" t="s">
        <v>11887</v>
      </c>
      <c r="G1956" s="11" t="s">
        <v>11888</v>
      </c>
      <c r="H1956" s="11"/>
      <c r="I1956" s="11" t="s">
        <v>512</v>
      </c>
      <c r="J1956" s="11" t="s">
        <v>11889</v>
      </c>
      <c r="K1956" s="11" t="s">
        <v>11878</v>
      </c>
      <c r="L1956" s="11" t="s">
        <v>11890</v>
      </c>
      <c r="M1956" s="11" t="s">
        <v>11885</v>
      </c>
      <c r="N1956" s="14" t="n">
        <v>2</v>
      </c>
      <c r="O1956" s="14" t="n">
        <v>4</v>
      </c>
      <c r="P1956" s="14" t="n">
        <v>3</v>
      </c>
      <c r="Q1956" s="14"/>
      <c r="R1956" s="12" t="n">
        <f aca="false">IF(OR(N1956="",P1956=""),"",ROUND(N1956*O1956/P1956,1))</f>
        <v>2.7</v>
      </c>
      <c r="S1956" s="13" t="n">
        <f aca="false">IF(R1956="","",IF(Q1956="Y",1,IF(P1956&gt;='Read me'!$B$16,3,IF(AND(R1956&gt;='Read me'!$B$14,P1956&lt;='Read me'!$B$15),1,2))))</f>
        <v>2</v>
      </c>
    </row>
    <row r="1957" customFormat="false" ht="23.85" hidden="false" customHeight="false" outlineLevel="0" collapsed="false">
      <c r="A1957" s="11" t="s">
        <v>11891</v>
      </c>
      <c r="B1957" s="11" t="s">
        <v>49</v>
      </c>
      <c r="C1957" s="11" t="s">
        <v>417</v>
      </c>
      <c r="D1957" s="11" t="s">
        <v>418</v>
      </c>
      <c r="E1957" s="11" t="s">
        <v>476</v>
      </c>
      <c r="F1957" s="11" t="s">
        <v>11892</v>
      </c>
      <c r="G1957" s="11" t="s">
        <v>11893</v>
      </c>
      <c r="H1957" s="11"/>
      <c r="I1957" s="11" t="s">
        <v>512</v>
      </c>
      <c r="J1957" s="11" t="s">
        <v>11894</v>
      </c>
      <c r="K1957" s="11" t="s">
        <v>11895</v>
      </c>
      <c r="L1957" s="11" t="s">
        <v>11896</v>
      </c>
      <c r="M1957" s="11"/>
      <c r="N1957" s="14" t="n">
        <v>4</v>
      </c>
      <c r="O1957" s="14" t="n">
        <v>2</v>
      </c>
      <c r="P1957" s="14" t="n">
        <v>1</v>
      </c>
      <c r="Q1957" s="14"/>
      <c r="R1957" s="12" t="n">
        <f aca="false">IF(OR(N1957="",P1957=""),"",ROUND(N1957*O1957/P1957,1))</f>
        <v>8</v>
      </c>
      <c r="S1957" s="13" t="n">
        <f aca="false">IF(R1957="","",IF(Q1957="Y",1,IF(P1957&gt;='Read me'!$B$16,3,IF(AND(R1957&gt;='Read me'!$B$14,P1957&lt;='Read me'!$B$15),1,2))))</f>
        <v>1</v>
      </c>
    </row>
    <row r="1958" customFormat="false" ht="79.85" hidden="false" customHeight="false" outlineLevel="0" collapsed="false">
      <c r="A1958" s="11" t="s">
        <v>11897</v>
      </c>
      <c r="B1958" s="11" t="s">
        <v>49</v>
      </c>
      <c r="C1958" s="11" t="s">
        <v>417</v>
      </c>
      <c r="D1958" s="11" t="s">
        <v>418</v>
      </c>
      <c r="E1958" s="11" t="s">
        <v>751</v>
      </c>
      <c r="F1958" s="11" t="s">
        <v>11898</v>
      </c>
      <c r="G1958" s="11" t="s">
        <v>11899</v>
      </c>
      <c r="H1958" s="11"/>
      <c r="I1958" s="11" t="s">
        <v>11900</v>
      </c>
      <c r="J1958" s="11" t="s">
        <v>11901</v>
      </c>
      <c r="K1958" s="11" t="s">
        <v>11902</v>
      </c>
      <c r="L1958" s="11" t="s">
        <v>11903</v>
      </c>
      <c r="M1958" s="11" t="s">
        <v>11904</v>
      </c>
      <c r="N1958" s="14" t="n">
        <v>5</v>
      </c>
      <c r="O1958" s="14" t="n">
        <v>4</v>
      </c>
      <c r="P1958" s="14" t="n">
        <v>4</v>
      </c>
      <c r="Q1958" s="14"/>
      <c r="R1958" s="12" t="n">
        <f aca="false">IF(OR(N1958="",P1958=""),"",ROUND(N1958*O1958/P1958,1))</f>
        <v>5</v>
      </c>
      <c r="S1958" s="13" t="n">
        <f aca="false">IF(R1958="","",IF(Q1958="Y",1,IF(P1958&gt;='Read me'!$B$16,3,IF(AND(R1958&gt;='Read me'!$B$14,P1958&lt;='Read me'!$B$15),1,2))))</f>
        <v>3</v>
      </c>
    </row>
    <row r="1959" customFormat="false" ht="23.85" hidden="false" customHeight="false" outlineLevel="0" collapsed="false">
      <c r="A1959" s="11" t="s">
        <v>11905</v>
      </c>
      <c r="B1959" s="11" t="s">
        <v>49</v>
      </c>
      <c r="C1959" s="11" t="s">
        <v>417</v>
      </c>
      <c r="D1959" s="11" t="s">
        <v>418</v>
      </c>
      <c r="E1959" s="11" t="s">
        <v>751</v>
      </c>
      <c r="F1959" s="11" t="s">
        <v>11898</v>
      </c>
      <c r="G1959" s="11" t="s">
        <v>11906</v>
      </c>
      <c r="H1959" s="11"/>
      <c r="I1959" s="11" t="s">
        <v>11907</v>
      </c>
      <c r="J1959" s="11" t="s">
        <v>11908</v>
      </c>
      <c r="K1959" s="11" t="s">
        <v>11909</v>
      </c>
      <c r="L1959" s="11" t="s">
        <v>11910</v>
      </c>
      <c r="M1959" s="11" t="s">
        <v>1256</v>
      </c>
      <c r="N1959" s="14" t="n">
        <v>4</v>
      </c>
      <c r="O1959" s="14" t="n">
        <v>3</v>
      </c>
      <c r="P1959" s="14" t="n">
        <v>4</v>
      </c>
      <c r="Q1959" s="14"/>
      <c r="R1959" s="12" t="n">
        <f aca="false">IF(OR(N1959="",P1959=""),"",ROUND(N1959*O1959/P1959,1))</f>
        <v>3</v>
      </c>
      <c r="S1959" s="13" t="n">
        <f aca="false">IF(R1959="","",IF(Q1959="Y",1,IF(P1959&gt;='Read me'!$B$16,3,IF(AND(R1959&gt;='Read me'!$B$14,P1959&lt;='Read me'!$B$15),1,2))))</f>
        <v>3</v>
      </c>
    </row>
    <row r="1960" customFormat="false" ht="35.05" hidden="false" customHeight="false" outlineLevel="0" collapsed="false">
      <c r="A1960" s="11" t="s">
        <v>11911</v>
      </c>
      <c r="B1960" s="11" t="s">
        <v>49</v>
      </c>
      <c r="C1960" s="11" t="s">
        <v>417</v>
      </c>
      <c r="D1960" s="11" t="s">
        <v>418</v>
      </c>
      <c r="E1960" s="11" t="s">
        <v>751</v>
      </c>
      <c r="F1960" s="11" t="s">
        <v>11898</v>
      </c>
      <c r="G1960" s="11" t="s">
        <v>11912</v>
      </c>
      <c r="H1960" s="11"/>
      <c r="I1960" s="11" t="s">
        <v>11913</v>
      </c>
      <c r="J1960" s="11" t="s">
        <v>11914</v>
      </c>
      <c r="K1960" s="11" t="s">
        <v>11902</v>
      </c>
      <c r="L1960" s="11" t="s">
        <v>11915</v>
      </c>
      <c r="M1960" s="11" t="s">
        <v>1256</v>
      </c>
      <c r="N1960" s="14" t="n">
        <v>4</v>
      </c>
      <c r="O1960" s="14" t="n">
        <v>3</v>
      </c>
      <c r="P1960" s="14" t="n">
        <v>4</v>
      </c>
      <c r="Q1960" s="14"/>
      <c r="R1960" s="12" t="n">
        <f aca="false">IF(OR(N1960="",P1960=""),"",ROUND(N1960*O1960/P1960,1))</f>
        <v>3</v>
      </c>
      <c r="S1960" s="13" t="n">
        <f aca="false">IF(R1960="","",IF(Q1960="Y",1,IF(P1960&gt;='Read me'!$B$16,3,IF(AND(R1960&gt;='Read me'!$B$14,P1960&lt;='Read me'!$B$15),1,2))))</f>
        <v>3</v>
      </c>
    </row>
    <row r="1961" customFormat="false" ht="23.85" hidden="false" customHeight="false" outlineLevel="0" collapsed="false">
      <c r="A1961" s="11" t="s">
        <v>11916</v>
      </c>
      <c r="B1961" s="11" t="s">
        <v>49</v>
      </c>
      <c r="C1961" s="11" t="s">
        <v>417</v>
      </c>
      <c r="D1961" s="11" t="s">
        <v>418</v>
      </c>
      <c r="E1961" s="11" t="s">
        <v>751</v>
      </c>
      <c r="F1961" s="11" t="s">
        <v>11898</v>
      </c>
      <c r="G1961" s="11" t="s">
        <v>11917</v>
      </c>
      <c r="H1961" s="11"/>
      <c r="I1961" s="11" t="s">
        <v>11918</v>
      </c>
      <c r="J1961" s="11" t="s">
        <v>11919</v>
      </c>
      <c r="K1961" s="11" t="s">
        <v>11902</v>
      </c>
      <c r="L1961" s="11" t="s">
        <v>11920</v>
      </c>
      <c r="M1961" s="11" t="s">
        <v>1256</v>
      </c>
      <c r="N1961" s="14" t="n">
        <v>4</v>
      </c>
      <c r="O1961" s="14" t="n">
        <v>4</v>
      </c>
      <c r="P1961" s="14" t="n">
        <v>4</v>
      </c>
      <c r="Q1961" s="14"/>
      <c r="R1961" s="12" t="n">
        <f aca="false">IF(OR(N1961="",P1961=""),"",ROUND(N1961*O1961/P1961,1))</f>
        <v>4</v>
      </c>
      <c r="S1961" s="13" t="n">
        <f aca="false">IF(R1961="","",IF(Q1961="Y",1,IF(P1961&gt;='Read me'!$B$16,3,IF(AND(R1961&gt;='Read me'!$B$14,P1961&lt;='Read me'!$B$15),1,2))))</f>
        <v>3</v>
      </c>
    </row>
    <row r="1962" customFormat="false" ht="23.85" hidden="false" customHeight="false" outlineLevel="0" collapsed="false">
      <c r="A1962" s="11" t="s">
        <v>11921</v>
      </c>
      <c r="B1962" s="11" t="s">
        <v>49</v>
      </c>
      <c r="C1962" s="11" t="s">
        <v>417</v>
      </c>
      <c r="D1962" s="11" t="s">
        <v>418</v>
      </c>
      <c r="E1962" s="11" t="s">
        <v>751</v>
      </c>
      <c r="F1962" s="11" t="s">
        <v>11898</v>
      </c>
      <c r="G1962" s="11" t="s">
        <v>11922</v>
      </c>
      <c r="H1962" s="11"/>
      <c r="I1962" s="11" t="s">
        <v>11923</v>
      </c>
      <c r="J1962" s="11" t="s">
        <v>11924</v>
      </c>
      <c r="K1962" s="11" t="s">
        <v>11925</v>
      </c>
      <c r="L1962" s="11" t="s">
        <v>11926</v>
      </c>
      <c r="M1962" s="11" t="s">
        <v>1256</v>
      </c>
      <c r="N1962" s="14" t="n">
        <v>2</v>
      </c>
      <c r="O1962" s="14" t="n">
        <v>3</v>
      </c>
      <c r="P1962" s="14" t="n">
        <v>3</v>
      </c>
      <c r="Q1962" s="14"/>
      <c r="R1962" s="12" t="n">
        <f aca="false">IF(OR(N1962="",P1962=""),"",ROUND(N1962*O1962/P1962,1))</f>
        <v>2</v>
      </c>
      <c r="S1962" s="13" t="n">
        <f aca="false">IF(R1962="","",IF(Q1962="Y",1,IF(P1962&gt;='Read me'!$B$16,3,IF(AND(R1962&gt;='Read me'!$B$14,P1962&lt;='Read me'!$B$15),1,2))))</f>
        <v>2</v>
      </c>
    </row>
    <row r="1963" customFormat="false" ht="23.85" hidden="false" customHeight="false" outlineLevel="0" collapsed="false">
      <c r="A1963" s="11" t="s">
        <v>11927</v>
      </c>
      <c r="B1963" s="11" t="s">
        <v>49</v>
      </c>
      <c r="C1963" s="11" t="s">
        <v>417</v>
      </c>
      <c r="D1963" s="11" t="s">
        <v>418</v>
      </c>
      <c r="E1963" s="11" t="s">
        <v>751</v>
      </c>
      <c r="F1963" s="11" t="s">
        <v>11898</v>
      </c>
      <c r="G1963" s="11" t="s">
        <v>11928</v>
      </c>
      <c r="H1963" s="11"/>
      <c r="I1963" s="11" t="s">
        <v>11929</v>
      </c>
      <c r="J1963" s="11" t="s">
        <v>11930</v>
      </c>
      <c r="K1963" s="11" t="s">
        <v>11931</v>
      </c>
      <c r="L1963" s="11" t="s">
        <v>11932</v>
      </c>
      <c r="M1963" s="11" t="s">
        <v>1256</v>
      </c>
      <c r="N1963" s="14" t="n">
        <v>3</v>
      </c>
      <c r="O1963" s="14" t="n">
        <v>3</v>
      </c>
      <c r="P1963" s="14" t="n">
        <v>3</v>
      </c>
      <c r="Q1963" s="14"/>
      <c r="R1963" s="12" t="n">
        <f aca="false">IF(OR(N1963="",P1963=""),"",ROUND(N1963*O1963/P1963,1))</f>
        <v>3</v>
      </c>
      <c r="S1963" s="13" t="n">
        <f aca="false">IF(R1963="","",IF(Q1963="Y",1,IF(P1963&gt;='Read me'!$B$16,3,IF(AND(R1963&gt;='Read me'!$B$14,P1963&lt;='Read me'!$B$15),1,2))))</f>
        <v>2</v>
      </c>
    </row>
    <row r="1964" customFormat="false" ht="79.85" hidden="false" customHeight="false" outlineLevel="0" collapsed="false">
      <c r="A1964" s="11" t="s">
        <v>11933</v>
      </c>
      <c r="B1964" s="11" t="s">
        <v>49</v>
      </c>
      <c r="C1964" s="11" t="s">
        <v>417</v>
      </c>
      <c r="D1964" s="11" t="s">
        <v>418</v>
      </c>
      <c r="E1964" s="11" t="s">
        <v>751</v>
      </c>
      <c r="F1964" s="11" t="s">
        <v>11898</v>
      </c>
      <c r="G1964" s="11" t="s">
        <v>11934</v>
      </c>
      <c r="H1964" s="11"/>
      <c r="I1964" s="11" t="s">
        <v>11935</v>
      </c>
      <c r="J1964" s="11" t="s">
        <v>11936</v>
      </c>
      <c r="K1964" s="11" t="s">
        <v>11937</v>
      </c>
      <c r="L1964" s="11" t="s">
        <v>11938</v>
      </c>
      <c r="M1964" s="11" t="s">
        <v>11904</v>
      </c>
      <c r="N1964" s="14" t="n">
        <v>3</v>
      </c>
      <c r="O1964" s="14" t="n">
        <v>3</v>
      </c>
      <c r="P1964" s="14" t="n">
        <v>4</v>
      </c>
      <c r="Q1964" s="14"/>
      <c r="R1964" s="12" t="n">
        <f aca="false">IF(OR(N1964="",P1964=""),"",ROUND(N1964*O1964/P1964,1))</f>
        <v>2.3</v>
      </c>
      <c r="S1964" s="13" t="n">
        <f aca="false">IF(R1964="","",IF(Q1964="Y",1,IF(P1964&gt;='Read me'!$B$16,3,IF(AND(R1964&gt;='Read me'!$B$14,P1964&lt;='Read me'!$B$15),1,2))))</f>
        <v>3</v>
      </c>
    </row>
    <row r="1965" customFormat="false" ht="23.85" hidden="false" customHeight="false" outlineLevel="0" collapsed="false">
      <c r="A1965" s="11" t="s">
        <v>11939</v>
      </c>
      <c r="B1965" s="11" t="s">
        <v>49</v>
      </c>
      <c r="C1965" s="11" t="s">
        <v>417</v>
      </c>
      <c r="D1965" s="11" t="s">
        <v>418</v>
      </c>
      <c r="E1965" s="11" t="s">
        <v>751</v>
      </c>
      <c r="F1965" s="11" t="s">
        <v>11940</v>
      </c>
      <c r="G1965" s="11" t="s">
        <v>4562</v>
      </c>
      <c r="H1965" s="11"/>
      <c r="I1965" s="11" t="s">
        <v>11941</v>
      </c>
      <c r="J1965" s="11" t="s">
        <v>11942</v>
      </c>
      <c r="K1965" s="11" t="s">
        <v>11943</v>
      </c>
      <c r="L1965" s="11" t="s">
        <v>11944</v>
      </c>
      <c r="M1965" s="11"/>
      <c r="N1965" s="14" t="n">
        <v>5</v>
      </c>
      <c r="O1965" s="14" t="n">
        <v>3</v>
      </c>
      <c r="P1965" s="14" t="n">
        <v>2</v>
      </c>
      <c r="Q1965" s="14"/>
      <c r="R1965" s="12" t="n">
        <f aca="false">IF(OR(N1965="",P1965=""),"",ROUND(N1965*O1965/P1965,1))</f>
        <v>7.5</v>
      </c>
      <c r="S1965" s="13" t="n">
        <f aca="false">IF(R1965="","",IF(Q1965="Y",1,IF(P1965&gt;='Read me'!$B$16,3,IF(AND(R1965&gt;='Read me'!$B$14,P1965&lt;='Read me'!$B$15),1,2))))</f>
        <v>1</v>
      </c>
    </row>
    <row r="1966" customFormat="false" ht="68.65" hidden="false" customHeight="false" outlineLevel="0" collapsed="false">
      <c r="A1966" s="11" t="s">
        <v>11945</v>
      </c>
      <c r="B1966" s="11" t="s">
        <v>49</v>
      </c>
      <c r="C1966" s="11" t="s">
        <v>417</v>
      </c>
      <c r="D1966" s="11" t="s">
        <v>418</v>
      </c>
      <c r="E1966" s="11" t="s">
        <v>751</v>
      </c>
      <c r="F1966" s="11" t="s">
        <v>11946</v>
      </c>
      <c r="G1966" s="11" t="s">
        <v>11947</v>
      </c>
      <c r="H1966" s="11"/>
      <c r="I1966" s="11" t="s">
        <v>11948</v>
      </c>
      <c r="J1966" s="11" t="s">
        <v>11949</v>
      </c>
      <c r="K1966" s="11" t="s">
        <v>11950</v>
      </c>
      <c r="L1966" s="11" t="s">
        <v>11951</v>
      </c>
      <c r="M1966" s="11" t="s">
        <v>11952</v>
      </c>
      <c r="N1966" s="14" t="n">
        <v>3</v>
      </c>
      <c r="O1966" s="14" t="n">
        <v>3</v>
      </c>
      <c r="P1966" s="14" t="n">
        <v>4</v>
      </c>
      <c r="Q1966" s="14"/>
      <c r="R1966" s="12" t="n">
        <f aca="false">IF(OR(N1966="",P1966=""),"",ROUND(N1966*O1966/P1966,1))</f>
        <v>2.3</v>
      </c>
      <c r="S1966" s="13" t="n">
        <f aca="false">IF(R1966="","",IF(Q1966="Y",1,IF(P1966&gt;='Read me'!$B$16,3,IF(AND(R1966&gt;='Read me'!$B$14,P1966&lt;='Read me'!$B$15),1,2))))</f>
        <v>3</v>
      </c>
    </row>
    <row r="1967" customFormat="false" ht="35.05" hidden="false" customHeight="false" outlineLevel="0" collapsed="false">
      <c r="A1967" s="11" t="s">
        <v>11953</v>
      </c>
      <c r="B1967" s="11" t="s">
        <v>49</v>
      </c>
      <c r="C1967" s="11" t="s">
        <v>417</v>
      </c>
      <c r="D1967" s="11" t="s">
        <v>418</v>
      </c>
      <c r="E1967" s="11" t="s">
        <v>1187</v>
      </c>
      <c r="F1967" s="11" t="s">
        <v>11954</v>
      </c>
      <c r="G1967" s="11" t="s">
        <v>3201</v>
      </c>
      <c r="H1967" s="11" t="s">
        <v>11955</v>
      </c>
      <c r="I1967" s="11" t="s">
        <v>11956</v>
      </c>
      <c r="J1967" s="11" t="s">
        <v>11957</v>
      </c>
      <c r="K1967" s="11" t="s">
        <v>7114</v>
      </c>
      <c r="L1967" s="11" t="s">
        <v>11958</v>
      </c>
      <c r="M1967" s="11"/>
      <c r="N1967" s="14" t="n">
        <v>2</v>
      </c>
      <c r="O1967" s="14" t="n">
        <v>2</v>
      </c>
      <c r="P1967" s="14" t="n">
        <v>3</v>
      </c>
      <c r="Q1967" s="14"/>
      <c r="R1967" s="12" t="n">
        <f aca="false">IF(OR(N1967="",P1967=""),"",ROUND(N1967*O1967/P1967,1))</f>
        <v>1.3</v>
      </c>
      <c r="S1967" s="13" t="n">
        <f aca="false">IF(R1967="","",IF(Q1967="Y",1,IF(P1967&gt;='Read me'!$B$16,3,IF(AND(R1967&gt;='Read me'!$B$14,P1967&lt;='Read me'!$B$15),1,2))))</f>
        <v>2</v>
      </c>
    </row>
    <row r="1968" customFormat="false" ht="35.05" hidden="false" customHeight="false" outlineLevel="0" collapsed="false">
      <c r="A1968" s="11" t="s">
        <v>11959</v>
      </c>
      <c r="B1968" s="11" t="s">
        <v>49</v>
      </c>
      <c r="C1968" s="11" t="s">
        <v>417</v>
      </c>
      <c r="D1968" s="11" t="s">
        <v>418</v>
      </c>
      <c r="E1968" s="11" t="s">
        <v>1187</v>
      </c>
      <c r="F1968" s="11" t="s">
        <v>11960</v>
      </c>
      <c r="G1968" s="11" t="s">
        <v>11961</v>
      </c>
      <c r="H1968" s="11" t="s">
        <v>11962</v>
      </c>
      <c r="I1968" s="11" t="s">
        <v>11963</v>
      </c>
      <c r="J1968" s="11" t="s">
        <v>11964</v>
      </c>
      <c r="K1968" s="11" t="s">
        <v>11965</v>
      </c>
      <c r="L1968" s="11" t="s">
        <v>11966</v>
      </c>
      <c r="M1968" s="11"/>
      <c r="N1968" s="14" t="n">
        <v>3</v>
      </c>
      <c r="O1968" s="14" t="n">
        <v>3</v>
      </c>
      <c r="P1968" s="14" t="n">
        <v>4</v>
      </c>
      <c r="Q1968" s="14"/>
      <c r="R1968" s="12" t="n">
        <f aca="false">IF(OR(N1968="",P1968=""),"",ROUND(N1968*O1968/P1968,1))</f>
        <v>2.3</v>
      </c>
      <c r="S1968" s="13" t="n">
        <f aca="false">IF(R1968="","",IF(Q1968="Y",1,IF(P1968&gt;='Read me'!$B$16,3,IF(AND(R1968&gt;='Read me'!$B$14,P1968&lt;='Read me'!$B$15),1,2))))</f>
        <v>3</v>
      </c>
    </row>
    <row r="1969" customFormat="false" ht="57.45" hidden="false" customHeight="false" outlineLevel="0" collapsed="false">
      <c r="A1969" s="11" t="s">
        <v>11967</v>
      </c>
      <c r="B1969" s="11" t="s">
        <v>49</v>
      </c>
      <c r="C1969" s="11" t="s">
        <v>417</v>
      </c>
      <c r="D1969" s="11" t="s">
        <v>418</v>
      </c>
      <c r="E1969" s="11" t="s">
        <v>1187</v>
      </c>
      <c r="F1969" s="11" t="s">
        <v>11968</v>
      </c>
      <c r="G1969" s="11" t="s">
        <v>11969</v>
      </c>
      <c r="H1969" s="11" t="s">
        <v>11970</v>
      </c>
      <c r="I1969" s="11" t="s">
        <v>11971</v>
      </c>
      <c r="J1969" s="11" t="s">
        <v>11972</v>
      </c>
      <c r="K1969" s="11" t="s">
        <v>11973</v>
      </c>
      <c r="L1969" s="11" t="s">
        <v>11974</v>
      </c>
      <c r="M1969" s="11" t="s">
        <v>11975</v>
      </c>
      <c r="N1969" s="14" t="n">
        <v>3</v>
      </c>
      <c r="O1969" s="14" t="n">
        <v>3</v>
      </c>
      <c r="P1969" s="14" t="n">
        <v>3</v>
      </c>
      <c r="Q1969" s="14"/>
      <c r="R1969" s="12" t="n">
        <f aca="false">IF(OR(N1969="",P1969=""),"",ROUND(N1969*O1969/P1969,1))</f>
        <v>3</v>
      </c>
      <c r="S1969" s="13" t="n">
        <f aca="false">IF(R1969="","",IF(Q1969="Y",1,IF(P1969&gt;='Read me'!$B$16,3,IF(AND(R1969&gt;='Read me'!$B$14,P1969&lt;='Read me'!$B$15),1,2))))</f>
        <v>2</v>
      </c>
    </row>
    <row r="1970" customFormat="false" ht="23.85" hidden="false" customHeight="false" outlineLevel="0" collapsed="false">
      <c r="A1970" s="11" t="s">
        <v>11976</v>
      </c>
      <c r="B1970" s="11" t="s">
        <v>49</v>
      </c>
      <c r="C1970" s="11" t="s">
        <v>417</v>
      </c>
      <c r="D1970" s="11" t="s">
        <v>418</v>
      </c>
      <c r="E1970" s="11" t="s">
        <v>1187</v>
      </c>
      <c r="F1970" s="11" t="s">
        <v>11968</v>
      </c>
      <c r="G1970" s="11" t="s">
        <v>11977</v>
      </c>
      <c r="H1970" s="11" t="s">
        <v>11978</v>
      </c>
      <c r="I1970" s="11" t="s">
        <v>11979</v>
      </c>
      <c r="J1970" s="11" t="s">
        <v>11980</v>
      </c>
      <c r="K1970" s="11" t="s">
        <v>1893</v>
      </c>
      <c r="L1970" s="11" t="s">
        <v>11981</v>
      </c>
      <c r="M1970" s="11"/>
      <c r="N1970" s="14" t="n">
        <v>1</v>
      </c>
      <c r="O1970" s="14" t="n">
        <v>2</v>
      </c>
      <c r="P1970" s="14" t="n">
        <v>4</v>
      </c>
      <c r="Q1970" s="14"/>
      <c r="R1970" s="12" t="n">
        <f aca="false">IF(OR(N1970="",P1970=""),"",ROUND(N1970*O1970/P1970,1))</f>
        <v>0.5</v>
      </c>
      <c r="S1970" s="13" t="n">
        <f aca="false">IF(R1970="","",IF(Q1970="Y",1,IF(P1970&gt;='Read me'!$B$16,3,IF(AND(R1970&gt;='Read me'!$B$14,P1970&lt;='Read me'!$B$15),1,2))))</f>
        <v>3</v>
      </c>
    </row>
    <row r="1971" customFormat="false" ht="35.05" hidden="false" customHeight="false" outlineLevel="0" collapsed="false">
      <c r="A1971" s="11" t="s">
        <v>11982</v>
      </c>
      <c r="B1971" s="11" t="s">
        <v>49</v>
      </c>
      <c r="C1971" s="11" t="s">
        <v>417</v>
      </c>
      <c r="D1971" s="11" t="s">
        <v>418</v>
      </c>
      <c r="E1971" s="11" t="s">
        <v>1187</v>
      </c>
      <c r="F1971" s="11" t="s">
        <v>11983</v>
      </c>
      <c r="G1971" s="11" t="s">
        <v>11984</v>
      </c>
      <c r="H1971" s="11" t="s">
        <v>11985</v>
      </c>
      <c r="I1971" s="11" t="s">
        <v>11986</v>
      </c>
      <c r="J1971" s="11" t="s">
        <v>11987</v>
      </c>
      <c r="K1971" s="11" t="s">
        <v>11988</v>
      </c>
      <c r="L1971" s="11" t="s">
        <v>11989</v>
      </c>
      <c r="M1971" s="11" t="s">
        <v>11990</v>
      </c>
      <c r="N1971" s="14" t="n">
        <v>3</v>
      </c>
      <c r="O1971" s="14" t="n">
        <v>4</v>
      </c>
      <c r="P1971" s="14" t="n">
        <v>4</v>
      </c>
      <c r="Q1971" s="14"/>
      <c r="R1971" s="12" t="n">
        <f aca="false">IF(OR(N1971="",P1971=""),"",ROUND(N1971*O1971/P1971,1))</f>
        <v>3</v>
      </c>
      <c r="S1971" s="13" t="n">
        <f aca="false">IF(R1971="","",IF(Q1971="Y",1,IF(P1971&gt;='Read me'!$B$16,3,IF(AND(R1971&gt;='Read me'!$B$14,P1971&lt;='Read me'!$B$15),1,2))))</f>
        <v>3</v>
      </c>
    </row>
    <row r="1972" customFormat="false" ht="23.85" hidden="false" customHeight="false" outlineLevel="0" collapsed="false">
      <c r="A1972" s="11" t="s">
        <v>11991</v>
      </c>
      <c r="B1972" s="11" t="s">
        <v>49</v>
      </c>
      <c r="C1972" s="11" t="s">
        <v>417</v>
      </c>
      <c r="D1972" s="11" t="s">
        <v>418</v>
      </c>
      <c r="E1972" s="11" t="s">
        <v>1187</v>
      </c>
      <c r="F1972" s="11" t="s">
        <v>11992</v>
      </c>
      <c r="G1972" s="11" t="s">
        <v>11993</v>
      </c>
      <c r="H1972" s="11" t="s">
        <v>11994</v>
      </c>
      <c r="I1972" s="11" t="s">
        <v>11995</v>
      </c>
      <c r="J1972" s="11" t="s">
        <v>11996</v>
      </c>
      <c r="K1972" s="11" t="s">
        <v>11997</v>
      </c>
      <c r="L1972" s="11" t="s">
        <v>11998</v>
      </c>
      <c r="M1972" s="11"/>
      <c r="N1972" s="14" t="n">
        <v>1</v>
      </c>
      <c r="O1972" s="14" t="n">
        <v>1</v>
      </c>
      <c r="P1972" s="14" t="n">
        <v>2</v>
      </c>
      <c r="Q1972" s="14"/>
      <c r="R1972" s="12" t="n">
        <f aca="false">IF(OR(N1972="",P1972=""),"",ROUND(N1972*O1972/P1972,1))</f>
        <v>0.5</v>
      </c>
      <c r="S1972" s="13" t="n">
        <f aca="false">IF(R1972="","",IF(Q1972="Y",1,IF(P1972&gt;='Read me'!$B$16,3,IF(AND(R1972&gt;='Read me'!$B$14,P1972&lt;='Read me'!$B$15),1,2))))</f>
        <v>2</v>
      </c>
    </row>
    <row r="1973" customFormat="false" ht="35.05" hidden="false" customHeight="false" outlineLevel="0" collapsed="false">
      <c r="A1973" s="11" t="s">
        <v>11999</v>
      </c>
      <c r="B1973" s="11" t="s">
        <v>49</v>
      </c>
      <c r="C1973" s="11" t="s">
        <v>417</v>
      </c>
      <c r="D1973" s="11" t="s">
        <v>418</v>
      </c>
      <c r="E1973" s="11" t="s">
        <v>1187</v>
      </c>
      <c r="F1973" s="11" t="s">
        <v>12000</v>
      </c>
      <c r="G1973" s="11" t="s">
        <v>12001</v>
      </c>
      <c r="H1973" s="11" t="s">
        <v>12002</v>
      </c>
      <c r="I1973" s="11" t="s">
        <v>12003</v>
      </c>
      <c r="J1973" s="11" t="s">
        <v>12004</v>
      </c>
      <c r="K1973" s="11" t="s">
        <v>12005</v>
      </c>
      <c r="L1973" s="11" t="s">
        <v>12006</v>
      </c>
      <c r="M1973" s="11" t="s">
        <v>11885</v>
      </c>
      <c r="N1973" s="14" t="n">
        <v>2</v>
      </c>
      <c r="O1973" s="14" t="n">
        <v>3</v>
      </c>
      <c r="P1973" s="14" t="n">
        <v>4</v>
      </c>
      <c r="Q1973" s="14"/>
      <c r="R1973" s="12" t="n">
        <f aca="false">IF(OR(N1973="",P1973=""),"",ROUND(N1973*O1973/P1973,1))</f>
        <v>1.5</v>
      </c>
      <c r="S1973" s="13" t="n">
        <f aca="false">IF(R1973="","",IF(Q1973="Y",1,IF(P1973&gt;='Read me'!$B$16,3,IF(AND(R1973&gt;='Read me'!$B$14,P1973&lt;='Read me'!$B$15),1,2))))</f>
        <v>3</v>
      </c>
    </row>
    <row r="1974" customFormat="false" ht="23.85" hidden="false" customHeight="false" outlineLevel="0" collapsed="false">
      <c r="A1974" s="11" t="s">
        <v>12007</v>
      </c>
      <c r="B1974" s="11" t="s">
        <v>49</v>
      </c>
      <c r="C1974" s="11" t="s">
        <v>417</v>
      </c>
      <c r="D1974" s="11" t="s">
        <v>418</v>
      </c>
      <c r="E1974" s="11" t="s">
        <v>1372</v>
      </c>
      <c r="F1974" s="11" t="s">
        <v>12008</v>
      </c>
      <c r="G1974" s="11" t="s">
        <v>12009</v>
      </c>
      <c r="H1974" s="11"/>
      <c r="I1974" s="11" t="s">
        <v>11857</v>
      </c>
      <c r="J1974" s="11" t="s">
        <v>12010</v>
      </c>
      <c r="K1974" s="11" t="s">
        <v>12011</v>
      </c>
      <c r="L1974" s="11" t="s">
        <v>12012</v>
      </c>
      <c r="M1974" s="11"/>
      <c r="N1974" s="14" t="n">
        <v>5</v>
      </c>
      <c r="O1974" s="14" t="n">
        <v>3</v>
      </c>
      <c r="P1974" s="14" t="n">
        <v>2</v>
      </c>
      <c r="Q1974" s="14"/>
      <c r="R1974" s="12" t="n">
        <f aca="false">IF(OR(N1974="",P1974=""),"",ROUND(N1974*O1974/P1974,1))</f>
        <v>7.5</v>
      </c>
      <c r="S1974" s="13" t="n">
        <f aca="false">IF(R1974="","",IF(Q1974="Y",1,IF(P1974&gt;='Read me'!$B$16,3,IF(AND(R1974&gt;='Read me'!$B$14,P1974&lt;='Read me'!$B$15),1,2))))</f>
        <v>1</v>
      </c>
    </row>
    <row r="1975" customFormat="false" ht="23.85" hidden="false" customHeight="false" outlineLevel="0" collapsed="false">
      <c r="A1975" s="11" t="s">
        <v>12013</v>
      </c>
      <c r="B1975" s="11" t="s">
        <v>49</v>
      </c>
      <c r="C1975" s="11" t="s">
        <v>417</v>
      </c>
      <c r="D1975" s="11" t="s">
        <v>418</v>
      </c>
      <c r="E1975" s="11" t="s">
        <v>1372</v>
      </c>
      <c r="F1975" s="11" t="s">
        <v>12014</v>
      </c>
      <c r="G1975" s="11" t="s">
        <v>12015</v>
      </c>
      <c r="H1975" s="11"/>
      <c r="I1975" s="11" t="s">
        <v>12016</v>
      </c>
      <c r="J1975" s="11" t="s">
        <v>12017</v>
      </c>
      <c r="K1975" s="11" t="s">
        <v>12018</v>
      </c>
      <c r="L1975" s="11" t="s">
        <v>12019</v>
      </c>
      <c r="M1975" s="11"/>
      <c r="N1975" s="14" t="n">
        <v>5</v>
      </c>
      <c r="O1975" s="14" t="n">
        <v>3</v>
      </c>
      <c r="P1975" s="14" t="n">
        <v>2</v>
      </c>
      <c r="Q1975" s="14"/>
      <c r="R1975" s="12" t="n">
        <f aca="false">IF(OR(N1975="",P1975=""),"",ROUND(N1975*O1975/P1975,1))</f>
        <v>7.5</v>
      </c>
      <c r="S1975" s="13" t="n">
        <f aca="false">IF(R1975="","",IF(Q1975="Y",1,IF(P1975&gt;='Read me'!$B$16,3,IF(AND(R1975&gt;='Read me'!$B$14,P1975&lt;='Read me'!$B$15),1,2))))</f>
        <v>1</v>
      </c>
    </row>
    <row r="1976" customFormat="false" ht="35.05" hidden="false" customHeight="false" outlineLevel="0" collapsed="false">
      <c r="A1976" s="11" t="s">
        <v>12020</v>
      </c>
      <c r="B1976" s="11" t="s">
        <v>49</v>
      </c>
      <c r="C1976" s="11" t="s">
        <v>417</v>
      </c>
      <c r="D1976" s="11" t="s">
        <v>418</v>
      </c>
      <c r="E1976" s="11" t="s">
        <v>1372</v>
      </c>
      <c r="F1976" s="11" t="s">
        <v>12021</v>
      </c>
      <c r="G1976" s="11" t="s">
        <v>12022</v>
      </c>
      <c r="H1976" s="11"/>
      <c r="I1976" s="11" t="s">
        <v>12023</v>
      </c>
      <c r="J1976" s="11" t="s">
        <v>12024</v>
      </c>
      <c r="K1976" s="11" t="s">
        <v>12018</v>
      </c>
      <c r="L1976" s="11" t="s">
        <v>12025</v>
      </c>
      <c r="M1976" s="11" t="s">
        <v>12026</v>
      </c>
      <c r="N1976" s="14" t="n">
        <v>4</v>
      </c>
      <c r="O1976" s="14" t="n">
        <v>3</v>
      </c>
      <c r="P1976" s="14" t="n">
        <v>3</v>
      </c>
      <c r="Q1976" s="14"/>
      <c r="R1976" s="12" t="n">
        <f aca="false">IF(OR(N1976="",P1976=""),"",ROUND(N1976*O1976/P1976,1))</f>
        <v>4</v>
      </c>
      <c r="S1976" s="13" t="n">
        <f aca="false">IF(R1976="","",IF(Q1976="Y",1,IF(P1976&gt;='Read me'!$B$16,3,IF(AND(R1976&gt;='Read me'!$B$14,P1976&lt;='Read me'!$B$15),1,2))))</f>
        <v>2</v>
      </c>
    </row>
    <row r="1977" customFormat="false" ht="35.05" hidden="false" customHeight="false" outlineLevel="0" collapsed="false">
      <c r="A1977" s="11" t="s">
        <v>12027</v>
      </c>
      <c r="B1977" s="11" t="s">
        <v>49</v>
      </c>
      <c r="C1977" s="11" t="s">
        <v>417</v>
      </c>
      <c r="D1977" s="11" t="s">
        <v>418</v>
      </c>
      <c r="E1977" s="11" t="s">
        <v>1372</v>
      </c>
      <c r="F1977" s="11" t="s">
        <v>12021</v>
      </c>
      <c r="G1977" s="11" t="s">
        <v>12028</v>
      </c>
      <c r="H1977" s="11" t="s">
        <v>12029</v>
      </c>
      <c r="I1977" s="11" t="s">
        <v>12030</v>
      </c>
      <c r="J1977" s="11" t="s">
        <v>12031</v>
      </c>
      <c r="K1977" s="11" t="s">
        <v>12032</v>
      </c>
      <c r="L1977" s="11" t="s">
        <v>12033</v>
      </c>
      <c r="M1977" s="11"/>
      <c r="N1977" s="14" t="n">
        <v>2</v>
      </c>
      <c r="O1977" s="14" t="n">
        <v>3</v>
      </c>
      <c r="P1977" s="14" t="n">
        <v>4</v>
      </c>
      <c r="Q1977" s="14"/>
      <c r="R1977" s="12" t="n">
        <f aca="false">IF(OR(N1977="",P1977=""),"",ROUND(N1977*O1977/P1977,1))</f>
        <v>1.5</v>
      </c>
      <c r="S1977" s="13" t="n">
        <f aca="false">IF(R1977="","",IF(Q1977="Y",1,IF(P1977&gt;='Read me'!$B$16,3,IF(AND(R1977&gt;='Read me'!$B$14,P1977&lt;='Read me'!$B$15),1,2))))</f>
        <v>3</v>
      </c>
    </row>
    <row r="1978" customFormat="false" ht="23.85" hidden="false" customHeight="false" outlineLevel="0" collapsed="false">
      <c r="A1978" s="11" t="s">
        <v>12034</v>
      </c>
      <c r="B1978" s="11" t="s">
        <v>49</v>
      </c>
      <c r="C1978" s="11" t="s">
        <v>417</v>
      </c>
      <c r="D1978" s="11" t="s">
        <v>418</v>
      </c>
      <c r="E1978" s="11" t="s">
        <v>1372</v>
      </c>
      <c r="F1978" s="11" t="s">
        <v>11954</v>
      </c>
      <c r="G1978" s="11" t="s">
        <v>12035</v>
      </c>
      <c r="H1978" s="11"/>
      <c r="I1978" s="11" t="s">
        <v>12036</v>
      </c>
      <c r="J1978" s="11" t="s">
        <v>12037</v>
      </c>
      <c r="K1978" s="11" t="s">
        <v>12038</v>
      </c>
      <c r="L1978" s="11" t="s">
        <v>12039</v>
      </c>
      <c r="M1978" s="11"/>
      <c r="N1978" s="14" t="n">
        <v>4</v>
      </c>
      <c r="O1978" s="14" t="n">
        <v>2</v>
      </c>
      <c r="P1978" s="14" t="n">
        <v>2</v>
      </c>
      <c r="Q1978" s="14"/>
      <c r="R1978" s="12" t="n">
        <f aca="false">IF(OR(N1978="",P1978=""),"",ROUND(N1978*O1978/P1978,1))</f>
        <v>4</v>
      </c>
      <c r="S1978" s="13" t="n">
        <f aca="false">IF(R1978="","",IF(Q1978="Y",1,IF(P1978&gt;='Read me'!$B$16,3,IF(AND(R1978&gt;='Read me'!$B$14,P1978&lt;='Read me'!$B$15),1,2))))</f>
        <v>2</v>
      </c>
    </row>
    <row r="1979" customFormat="false" ht="23.85" hidden="false" customHeight="false" outlineLevel="0" collapsed="false">
      <c r="A1979" s="11" t="s">
        <v>12040</v>
      </c>
      <c r="B1979" s="11" t="s">
        <v>49</v>
      </c>
      <c r="C1979" s="11" t="s">
        <v>417</v>
      </c>
      <c r="D1979" s="11" t="s">
        <v>418</v>
      </c>
      <c r="E1979" s="11" t="s">
        <v>1372</v>
      </c>
      <c r="F1979" s="11" t="s">
        <v>12041</v>
      </c>
      <c r="G1979" s="11" t="s">
        <v>12042</v>
      </c>
      <c r="H1979" s="11"/>
      <c r="I1979" s="11" t="s">
        <v>12043</v>
      </c>
      <c r="J1979" s="11" t="s">
        <v>12044</v>
      </c>
      <c r="K1979" s="11" t="s">
        <v>12045</v>
      </c>
      <c r="L1979" s="11" t="s">
        <v>12046</v>
      </c>
      <c r="M1979" s="11"/>
      <c r="N1979" s="14" t="n">
        <v>3</v>
      </c>
      <c r="O1979" s="14" t="n">
        <v>2</v>
      </c>
      <c r="P1979" s="14" t="n">
        <v>3</v>
      </c>
      <c r="Q1979" s="14"/>
      <c r="R1979" s="12" t="n">
        <f aca="false">IF(OR(N1979="",P1979=""),"",ROUND(N1979*O1979/P1979,1))</f>
        <v>2</v>
      </c>
      <c r="S1979" s="13" t="n">
        <f aca="false">IF(R1979="","",IF(Q1979="Y",1,IF(P1979&gt;='Read me'!$B$16,3,IF(AND(R1979&gt;='Read me'!$B$14,P1979&lt;='Read me'!$B$15),1,2))))</f>
        <v>2</v>
      </c>
    </row>
    <row r="1980" customFormat="false" ht="35.05" hidden="false" customHeight="false" outlineLevel="0" collapsed="false">
      <c r="A1980" s="11" t="s">
        <v>12047</v>
      </c>
      <c r="B1980" s="11" t="s">
        <v>49</v>
      </c>
      <c r="C1980" s="11" t="s">
        <v>417</v>
      </c>
      <c r="D1980" s="11" t="s">
        <v>418</v>
      </c>
      <c r="E1980" s="11" t="s">
        <v>1372</v>
      </c>
      <c r="F1980" s="11" t="s">
        <v>12048</v>
      </c>
      <c r="G1980" s="11" t="s">
        <v>12049</v>
      </c>
      <c r="H1980" s="11"/>
      <c r="I1980" s="11" t="s">
        <v>12050</v>
      </c>
      <c r="J1980" s="11" t="s">
        <v>12051</v>
      </c>
      <c r="K1980" s="11" t="s">
        <v>12052</v>
      </c>
      <c r="L1980" s="11" t="s">
        <v>12053</v>
      </c>
      <c r="M1980" s="11" t="s">
        <v>11885</v>
      </c>
      <c r="N1980" s="14" t="n">
        <v>5</v>
      </c>
      <c r="O1980" s="14" t="n">
        <v>4</v>
      </c>
      <c r="P1980" s="14" t="n">
        <v>3</v>
      </c>
      <c r="Q1980" s="14"/>
      <c r="R1980" s="12" t="n">
        <f aca="false">IF(OR(N1980="",P1980=""),"",ROUND(N1980*O1980/P1980,1))</f>
        <v>6.7</v>
      </c>
      <c r="S1980" s="13" t="n">
        <f aca="false">IF(R1980="","",IF(Q1980="Y",1,IF(P1980&gt;='Read me'!$B$16,3,IF(AND(R1980&gt;='Read me'!$B$14,P1980&lt;='Read me'!$B$15),1,2))))</f>
        <v>2</v>
      </c>
    </row>
    <row r="1981" customFormat="false" ht="23.85" hidden="false" customHeight="false" outlineLevel="0" collapsed="false">
      <c r="A1981" s="11" t="s">
        <v>12054</v>
      </c>
      <c r="B1981" s="11" t="s">
        <v>49</v>
      </c>
      <c r="C1981" s="11" t="s">
        <v>417</v>
      </c>
      <c r="D1981" s="11" t="s">
        <v>418</v>
      </c>
      <c r="E1981" s="11" t="s">
        <v>1372</v>
      </c>
      <c r="F1981" s="11" t="s">
        <v>12048</v>
      </c>
      <c r="G1981" s="11" t="s">
        <v>11928</v>
      </c>
      <c r="H1981" s="11"/>
      <c r="I1981" s="11" t="s">
        <v>12055</v>
      </c>
      <c r="J1981" s="11" t="s">
        <v>12056</v>
      </c>
      <c r="K1981" s="11" t="s">
        <v>12057</v>
      </c>
      <c r="L1981" s="11" t="s">
        <v>12058</v>
      </c>
      <c r="M1981" s="11"/>
      <c r="N1981" s="14" t="n">
        <v>3</v>
      </c>
      <c r="O1981" s="14" t="n">
        <v>4</v>
      </c>
      <c r="P1981" s="14" t="n">
        <v>3</v>
      </c>
      <c r="Q1981" s="14"/>
      <c r="R1981" s="12" t="n">
        <f aca="false">IF(OR(N1981="",P1981=""),"",ROUND(N1981*O1981/P1981,1))</f>
        <v>4</v>
      </c>
      <c r="S1981" s="13" t="n">
        <f aca="false">IF(R1981="","",IF(Q1981="Y",1,IF(P1981&gt;='Read me'!$B$16,3,IF(AND(R1981&gt;='Read me'!$B$14,P1981&lt;='Read me'!$B$15),1,2))))</f>
        <v>2</v>
      </c>
    </row>
    <row r="1982" customFormat="false" ht="35.05" hidden="false" customHeight="false" outlineLevel="0" collapsed="false">
      <c r="A1982" s="11" t="s">
        <v>12059</v>
      </c>
      <c r="B1982" s="11" t="s">
        <v>49</v>
      </c>
      <c r="C1982" s="11" t="s">
        <v>417</v>
      </c>
      <c r="D1982" s="11" t="s">
        <v>418</v>
      </c>
      <c r="E1982" s="11" t="s">
        <v>1372</v>
      </c>
      <c r="F1982" s="11" t="s">
        <v>12060</v>
      </c>
      <c r="G1982" s="11" t="s">
        <v>12061</v>
      </c>
      <c r="H1982" s="11"/>
      <c r="I1982" s="11" t="s">
        <v>12062</v>
      </c>
      <c r="J1982" s="11" t="s">
        <v>12063</v>
      </c>
      <c r="K1982" s="11" t="s">
        <v>3180</v>
      </c>
      <c r="L1982" s="11" t="s">
        <v>12064</v>
      </c>
      <c r="M1982" s="11" t="s">
        <v>12065</v>
      </c>
      <c r="N1982" s="14" t="n">
        <v>3</v>
      </c>
      <c r="O1982" s="14" t="n">
        <v>3</v>
      </c>
      <c r="P1982" s="14" t="n">
        <v>3</v>
      </c>
      <c r="Q1982" s="14"/>
      <c r="R1982" s="12" t="n">
        <f aca="false">IF(OR(N1982="",P1982=""),"",ROUND(N1982*O1982/P1982,1))</f>
        <v>3</v>
      </c>
      <c r="S1982" s="13" t="n">
        <f aca="false">IF(R1982="","",IF(Q1982="Y",1,IF(P1982&gt;='Read me'!$B$16,3,IF(AND(R1982&gt;='Read me'!$B$14,P1982&lt;='Read me'!$B$15),1,2))))</f>
        <v>2</v>
      </c>
    </row>
    <row r="1983" customFormat="false" ht="35.05" hidden="false" customHeight="false" outlineLevel="0" collapsed="false">
      <c r="A1983" s="11" t="s">
        <v>12066</v>
      </c>
      <c r="B1983" s="11" t="s">
        <v>49</v>
      </c>
      <c r="C1983" s="11" t="s">
        <v>417</v>
      </c>
      <c r="D1983" s="11" t="s">
        <v>418</v>
      </c>
      <c r="E1983" s="11" t="s">
        <v>1372</v>
      </c>
      <c r="F1983" s="11" t="s">
        <v>12067</v>
      </c>
      <c r="G1983" s="11" t="s">
        <v>12068</v>
      </c>
      <c r="H1983" s="11"/>
      <c r="I1983" s="11" t="s">
        <v>12069</v>
      </c>
      <c r="J1983" s="11" t="s">
        <v>12070</v>
      </c>
      <c r="K1983" s="11" t="s">
        <v>12071</v>
      </c>
      <c r="L1983" s="11" t="s">
        <v>12072</v>
      </c>
      <c r="M1983" s="11" t="s">
        <v>12073</v>
      </c>
      <c r="N1983" s="14" t="n">
        <v>4</v>
      </c>
      <c r="O1983" s="14" t="n">
        <v>4</v>
      </c>
      <c r="P1983" s="14" t="n">
        <v>4</v>
      </c>
      <c r="Q1983" s="14"/>
      <c r="R1983" s="12" t="n">
        <f aca="false">IF(OR(N1983="",P1983=""),"",ROUND(N1983*O1983/P1983,1))</f>
        <v>4</v>
      </c>
      <c r="S1983" s="13" t="n">
        <f aca="false">IF(R1983="","",IF(Q1983="Y",1,IF(P1983&gt;='Read me'!$B$16,3,IF(AND(R1983&gt;='Read me'!$B$14,P1983&lt;='Read me'!$B$15),1,2))))</f>
        <v>3</v>
      </c>
    </row>
    <row r="1984" customFormat="false" ht="23.85" hidden="false" customHeight="false" outlineLevel="0" collapsed="false">
      <c r="A1984" s="11" t="s">
        <v>12074</v>
      </c>
      <c r="B1984" s="11" t="s">
        <v>49</v>
      </c>
      <c r="C1984" s="11" t="s">
        <v>417</v>
      </c>
      <c r="D1984" s="11" t="s">
        <v>418</v>
      </c>
      <c r="E1984" s="11" t="s">
        <v>1372</v>
      </c>
      <c r="F1984" s="11" t="s">
        <v>12075</v>
      </c>
      <c r="G1984" s="11" t="s">
        <v>12076</v>
      </c>
      <c r="H1984" s="11"/>
      <c r="I1984" s="11" t="s">
        <v>12077</v>
      </c>
      <c r="J1984" s="11" t="s">
        <v>12078</v>
      </c>
      <c r="K1984" s="11" t="s">
        <v>12079</v>
      </c>
      <c r="L1984" s="11" t="s">
        <v>12080</v>
      </c>
      <c r="M1984" s="11"/>
      <c r="N1984" s="14" t="n">
        <v>3</v>
      </c>
      <c r="O1984" s="14" t="n">
        <v>4</v>
      </c>
      <c r="P1984" s="14" t="n">
        <v>3</v>
      </c>
      <c r="Q1984" s="14"/>
      <c r="R1984" s="12" t="n">
        <f aca="false">IF(OR(N1984="",P1984=""),"",ROUND(N1984*O1984/P1984,1))</f>
        <v>4</v>
      </c>
      <c r="S1984" s="13" t="n">
        <f aca="false">IF(R1984="","",IF(Q1984="Y",1,IF(P1984&gt;='Read me'!$B$16,3,IF(AND(R1984&gt;='Read me'!$B$14,P1984&lt;='Read me'!$B$15),1,2))))</f>
        <v>2</v>
      </c>
    </row>
    <row r="1985" customFormat="false" ht="57.45" hidden="false" customHeight="false" outlineLevel="0" collapsed="false">
      <c r="A1985" s="11" t="s">
        <v>12081</v>
      </c>
      <c r="B1985" s="11" t="s">
        <v>49</v>
      </c>
      <c r="C1985" s="11" t="s">
        <v>417</v>
      </c>
      <c r="D1985" s="11" t="s">
        <v>418</v>
      </c>
      <c r="E1985" s="11" t="s">
        <v>1372</v>
      </c>
      <c r="F1985" s="11" t="s">
        <v>12082</v>
      </c>
      <c r="G1985" s="11" t="s">
        <v>12083</v>
      </c>
      <c r="H1985" s="11"/>
      <c r="I1985" s="11" t="s">
        <v>12084</v>
      </c>
      <c r="J1985" s="11" t="s">
        <v>12085</v>
      </c>
      <c r="K1985" s="11" t="s">
        <v>12086</v>
      </c>
      <c r="L1985" s="11" t="s">
        <v>12087</v>
      </c>
      <c r="M1985" s="11" t="s">
        <v>12088</v>
      </c>
      <c r="N1985" s="14" t="n">
        <v>3</v>
      </c>
      <c r="O1985" s="14" t="n">
        <v>4</v>
      </c>
      <c r="P1985" s="14" t="n">
        <v>4</v>
      </c>
      <c r="Q1985" s="14"/>
      <c r="R1985" s="12" t="n">
        <f aca="false">IF(OR(N1985="",P1985=""),"",ROUND(N1985*O1985/P1985,1))</f>
        <v>3</v>
      </c>
      <c r="S1985" s="13" t="n">
        <f aca="false">IF(R1985="","",IF(Q1985="Y",1,IF(P1985&gt;='Read me'!$B$16,3,IF(AND(R1985&gt;='Read me'!$B$14,P1985&lt;='Read me'!$B$15),1,2))))</f>
        <v>3</v>
      </c>
    </row>
    <row r="1986" customFormat="false" ht="35.05" hidden="false" customHeight="false" outlineLevel="0" collapsed="false">
      <c r="A1986" s="11" t="s">
        <v>12089</v>
      </c>
      <c r="B1986" s="11" t="s">
        <v>49</v>
      </c>
      <c r="C1986" s="11" t="s">
        <v>417</v>
      </c>
      <c r="D1986" s="11" t="s">
        <v>418</v>
      </c>
      <c r="E1986" s="11" t="s">
        <v>1372</v>
      </c>
      <c r="F1986" s="11" t="s">
        <v>12090</v>
      </c>
      <c r="G1986" s="11" t="s">
        <v>12091</v>
      </c>
      <c r="H1986" s="11"/>
      <c r="I1986" s="11" t="s">
        <v>12092</v>
      </c>
      <c r="J1986" s="11" t="s">
        <v>12093</v>
      </c>
      <c r="K1986" s="11" t="s">
        <v>12094</v>
      </c>
      <c r="L1986" s="11" t="s">
        <v>12095</v>
      </c>
      <c r="M1986" s="11" t="s">
        <v>11885</v>
      </c>
      <c r="N1986" s="14" t="n">
        <v>3</v>
      </c>
      <c r="O1986" s="14" t="n">
        <v>3</v>
      </c>
      <c r="P1986" s="14" t="n">
        <v>4</v>
      </c>
      <c r="Q1986" s="14"/>
      <c r="R1986" s="12" t="n">
        <f aca="false">IF(OR(N1986="",P1986=""),"",ROUND(N1986*O1986/P1986,1))</f>
        <v>2.3</v>
      </c>
      <c r="S1986" s="13" t="n">
        <f aca="false">IF(R1986="","",IF(Q1986="Y",1,IF(P1986&gt;='Read me'!$B$16,3,IF(AND(R1986&gt;='Read me'!$B$14,P1986&lt;='Read me'!$B$15),1,2))))</f>
        <v>3</v>
      </c>
    </row>
    <row r="1987" customFormat="false" ht="35.05" hidden="false" customHeight="false" outlineLevel="0" collapsed="false">
      <c r="A1987" s="11" t="s">
        <v>12096</v>
      </c>
      <c r="B1987" s="11" t="s">
        <v>49</v>
      </c>
      <c r="C1987" s="11" t="s">
        <v>417</v>
      </c>
      <c r="D1987" s="11" t="s">
        <v>418</v>
      </c>
      <c r="E1987" s="11" t="s">
        <v>1372</v>
      </c>
      <c r="F1987" s="11" t="s">
        <v>12090</v>
      </c>
      <c r="G1987" s="11" t="s">
        <v>12097</v>
      </c>
      <c r="H1987" s="11" t="s">
        <v>12098</v>
      </c>
      <c r="I1987" s="11" t="s">
        <v>12099</v>
      </c>
      <c r="J1987" s="11" t="s">
        <v>12100</v>
      </c>
      <c r="K1987" s="11" t="s">
        <v>12101</v>
      </c>
      <c r="L1987" s="11" t="s">
        <v>12102</v>
      </c>
      <c r="M1987" s="11" t="s">
        <v>11885</v>
      </c>
      <c r="N1987" s="14" t="n">
        <v>2</v>
      </c>
      <c r="O1987" s="14" t="n">
        <v>3</v>
      </c>
      <c r="P1987" s="14" t="n">
        <v>3</v>
      </c>
      <c r="Q1987" s="14"/>
      <c r="R1987" s="12" t="n">
        <f aca="false">IF(OR(N1987="",P1987=""),"",ROUND(N1987*O1987/P1987,1))</f>
        <v>2</v>
      </c>
      <c r="S1987" s="13" t="n">
        <f aca="false">IF(R1987="","",IF(Q1987="Y",1,IF(P1987&gt;='Read me'!$B$16,3,IF(AND(R1987&gt;='Read me'!$B$14,P1987&lt;='Read me'!$B$15),1,2))))</f>
        <v>2</v>
      </c>
    </row>
    <row r="1988" customFormat="false" ht="35.05" hidden="false" customHeight="false" outlineLevel="0" collapsed="false">
      <c r="A1988" s="11" t="s">
        <v>12103</v>
      </c>
      <c r="B1988" s="11" t="s">
        <v>49</v>
      </c>
      <c r="C1988" s="11" t="s">
        <v>417</v>
      </c>
      <c r="D1988" s="11" t="s">
        <v>418</v>
      </c>
      <c r="E1988" s="11" t="s">
        <v>1372</v>
      </c>
      <c r="F1988" s="11" t="s">
        <v>12104</v>
      </c>
      <c r="G1988" s="11" t="s">
        <v>12105</v>
      </c>
      <c r="H1988" s="11"/>
      <c r="I1988" s="11" t="s">
        <v>12106</v>
      </c>
      <c r="J1988" s="11" t="s">
        <v>12107</v>
      </c>
      <c r="K1988" s="11" t="s">
        <v>12108</v>
      </c>
      <c r="L1988" s="11" t="s">
        <v>12109</v>
      </c>
      <c r="M1988" s="11" t="s">
        <v>11885</v>
      </c>
      <c r="N1988" s="14" t="n">
        <v>2</v>
      </c>
      <c r="O1988" s="14" t="n">
        <v>4</v>
      </c>
      <c r="P1988" s="14" t="n">
        <v>3</v>
      </c>
      <c r="Q1988" s="14"/>
      <c r="R1988" s="12" t="n">
        <f aca="false">IF(OR(N1988="",P1988=""),"",ROUND(N1988*O1988/P1988,1))</f>
        <v>2.7</v>
      </c>
      <c r="S1988" s="13" t="n">
        <f aca="false">IF(R1988="","",IF(Q1988="Y",1,IF(P1988&gt;='Read me'!$B$16,3,IF(AND(R1988&gt;='Read me'!$B$14,P1988&lt;='Read me'!$B$15),1,2))))</f>
        <v>2</v>
      </c>
    </row>
    <row r="1989" customFormat="false" ht="35.05" hidden="false" customHeight="false" outlineLevel="0" collapsed="false">
      <c r="A1989" s="11" t="s">
        <v>12110</v>
      </c>
      <c r="B1989" s="11" t="s">
        <v>49</v>
      </c>
      <c r="C1989" s="11" t="s">
        <v>417</v>
      </c>
      <c r="D1989" s="11" t="s">
        <v>418</v>
      </c>
      <c r="E1989" s="11" t="s">
        <v>1372</v>
      </c>
      <c r="F1989" s="11" t="s">
        <v>12111</v>
      </c>
      <c r="G1989" s="11" t="s">
        <v>12112</v>
      </c>
      <c r="H1989" s="11"/>
      <c r="I1989" s="11" t="s">
        <v>12113</v>
      </c>
      <c r="J1989" s="11" t="s">
        <v>12114</v>
      </c>
      <c r="K1989" s="11" t="s">
        <v>12115</v>
      </c>
      <c r="L1989" s="11" t="s">
        <v>12116</v>
      </c>
      <c r="M1989" s="11" t="s">
        <v>11885</v>
      </c>
      <c r="N1989" s="14" t="n">
        <v>2</v>
      </c>
      <c r="O1989" s="14" t="n">
        <v>3</v>
      </c>
      <c r="P1989" s="14" t="n">
        <v>4</v>
      </c>
      <c r="Q1989" s="14"/>
      <c r="R1989" s="12" t="n">
        <f aca="false">IF(OR(N1989="",P1989=""),"",ROUND(N1989*O1989/P1989,1))</f>
        <v>1.5</v>
      </c>
      <c r="S1989" s="13" t="n">
        <f aca="false">IF(R1989="","",IF(Q1989="Y",1,IF(P1989&gt;='Read me'!$B$16,3,IF(AND(R1989&gt;='Read me'!$B$14,P1989&lt;='Read me'!$B$15),1,2))))</f>
        <v>3</v>
      </c>
    </row>
    <row r="1990" customFormat="false" ht="23.85" hidden="false" customHeight="false" outlineLevel="0" collapsed="false">
      <c r="A1990" s="11" t="s">
        <v>12117</v>
      </c>
      <c r="B1990" s="11" t="s">
        <v>49</v>
      </c>
      <c r="C1990" s="11" t="s">
        <v>417</v>
      </c>
      <c r="D1990" s="11" t="s">
        <v>418</v>
      </c>
      <c r="E1990" s="11" t="s">
        <v>1372</v>
      </c>
      <c r="F1990" s="11" t="s">
        <v>12118</v>
      </c>
      <c r="G1990" s="11" t="s">
        <v>12119</v>
      </c>
      <c r="H1990" s="11"/>
      <c r="I1990" s="11" t="s">
        <v>12120</v>
      </c>
      <c r="J1990" s="11" t="s">
        <v>12121</v>
      </c>
      <c r="K1990" s="11" t="s">
        <v>12122</v>
      </c>
      <c r="L1990" s="11" t="s">
        <v>12123</v>
      </c>
      <c r="M1990" s="11" t="s">
        <v>12124</v>
      </c>
      <c r="N1990" s="14" t="n">
        <v>2</v>
      </c>
      <c r="O1990" s="14" t="n">
        <v>3</v>
      </c>
      <c r="P1990" s="14" t="n">
        <v>3</v>
      </c>
      <c r="Q1990" s="14"/>
      <c r="R1990" s="12" t="n">
        <f aca="false">IF(OR(N1990="",P1990=""),"",ROUND(N1990*O1990/P1990,1))</f>
        <v>2</v>
      </c>
      <c r="S1990" s="13" t="n">
        <f aca="false">IF(R1990="","",IF(Q1990="Y",1,IF(P1990&gt;='Read me'!$B$16,3,IF(AND(R1990&gt;='Read me'!$B$14,P1990&lt;='Read me'!$B$15),1,2))))</f>
        <v>2</v>
      </c>
    </row>
    <row r="1991" customFormat="false" ht="23.85" hidden="false" customHeight="false" outlineLevel="0" collapsed="false">
      <c r="A1991" s="11" t="s">
        <v>12125</v>
      </c>
      <c r="B1991" s="11" t="s">
        <v>49</v>
      </c>
      <c r="C1991" s="11" t="s">
        <v>417</v>
      </c>
      <c r="D1991" s="11" t="s">
        <v>418</v>
      </c>
      <c r="E1991" s="11" t="s">
        <v>1372</v>
      </c>
      <c r="F1991" s="11" t="s">
        <v>12118</v>
      </c>
      <c r="G1991" s="11" t="s">
        <v>12126</v>
      </c>
      <c r="H1991" s="11" t="s">
        <v>12127</v>
      </c>
      <c r="I1991" s="11" t="s">
        <v>12128</v>
      </c>
      <c r="J1991" s="11" t="s">
        <v>12129</v>
      </c>
      <c r="K1991" s="11" t="s">
        <v>12130</v>
      </c>
      <c r="L1991" s="11" t="s">
        <v>12131</v>
      </c>
      <c r="M1991" s="11"/>
      <c r="N1991" s="14" t="n">
        <v>1</v>
      </c>
      <c r="O1991" s="14" t="n">
        <v>2</v>
      </c>
      <c r="P1991" s="14" t="n">
        <v>2</v>
      </c>
      <c r="Q1991" s="14"/>
      <c r="R1991" s="12" t="n">
        <f aca="false">IF(OR(N1991="",P1991=""),"",ROUND(N1991*O1991/P1991,1))</f>
        <v>1</v>
      </c>
      <c r="S1991" s="13" t="n">
        <f aca="false">IF(R1991="","",IF(Q1991="Y",1,IF(P1991&gt;='Read me'!$B$16,3,IF(AND(R1991&gt;='Read me'!$B$14,P1991&lt;='Read me'!$B$15),1,2))))</f>
        <v>2</v>
      </c>
    </row>
    <row r="1992" customFormat="false" ht="23.85" hidden="false" customHeight="false" outlineLevel="0" collapsed="false">
      <c r="A1992" s="11" t="s">
        <v>12132</v>
      </c>
      <c r="B1992" s="11" t="s">
        <v>49</v>
      </c>
      <c r="C1992" s="11" t="s">
        <v>417</v>
      </c>
      <c r="D1992" s="11" t="s">
        <v>418</v>
      </c>
      <c r="E1992" s="11" t="s">
        <v>1372</v>
      </c>
      <c r="F1992" s="11" t="s">
        <v>12133</v>
      </c>
      <c r="G1992" s="11" t="s">
        <v>2866</v>
      </c>
      <c r="H1992" s="11"/>
      <c r="I1992" s="11" t="s">
        <v>12134</v>
      </c>
      <c r="J1992" s="11" t="s">
        <v>12135</v>
      </c>
      <c r="K1992" s="11" t="s">
        <v>12136</v>
      </c>
      <c r="L1992" s="11" t="s">
        <v>11140</v>
      </c>
      <c r="M1992" s="11"/>
      <c r="N1992" s="14" t="n">
        <v>1</v>
      </c>
      <c r="O1992" s="14" t="n">
        <v>2</v>
      </c>
      <c r="P1992" s="14" t="n">
        <v>2</v>
      </c>
      <c r="Q1992" s="14"/>
      <c r="R1992" s="12" t="n">
        <f aca="false">IF(OR(N1992="",P1992=""),"",ROUND(N1992*O1992/P1992,1))</f>
        <v>1</v>
      </c>
      <c r="S1992" s="13" t="n">
        <f aca="false">IF(R1992="","",IF(Q1992="Y",1,IF(P1992&gt;='Read me'!$B$16,3,IF(AND(R1992&gt;='Read me'!$B$14,P1992&lt;='Read me'!$B$15),1,2))))</f>
        <v>2</v>
      </c>
    </row>
    <row r="1993" customFormat="false" ht="35.05" hidden="false" customHeight="false" outlineLevel="0" collapsed="false">
      <c r="A1993" s="11" t="s">
        <v>12137</v>
      </c>
      <c r="B1993" s="11" t="s">
        <v>49</v>
      </c>
      <c r="C1993" s="11" t="s">
        <v>417</v>
      </c>
      <c r="D1993" s="11" t="s">
        <v>418</v>
      </c>
      <c r="E1993" s="11" t="s">
        <v>1372</v>
      </c>
      <c r="F1993" s="11" t="s">
        <v>12138</v>
      </c>
      <c r="G1993" s="11" t="s">
        <v>12139</v>
      </c>
      <c r="H1993" s="11"/>
      <c r="I1993" s="11" t="s">
        <v>12140</v>
      </c>
      <c r="J1993" s="11" t="s">
        <v>12141</v>
      </c>
      <c r="K1993" s="11" t="s">
        <v>12142</v>
      </c>
      <c r="L1993" s="11" t="s">
        <v>12143</v>
      </c>
      <c r="M1993" s="11" t="s">
        <v>1256</v>
      </c>
      <c r="N1993" s="14" t="n">
        <v>2</v>
      </c>
      <c r="O1993" s="14" t="n">
        <v>3</v>
      </c>
      <c r="P1993" s="14" t="n">
        <v>4</v>
      </c>
      <c r="Q1993" s="14"/>
      <c r="R1993" s="12" t="n">
        <f aca="false">IF(OR(N1993="",P1993=""),"",ROUND(N1993*O1993/P1993,1))</f>
        <v>1.5</v>
      </c>
      <c r="S1993" s="13" t="n">
        <f aca="false">IF(R1993="","",IF(Q1993="Y",1,IF(P1993&gt;='Read me'!$B$16,3,IF(AND(R1993&gt;='Read me'!$B$14,P1993&lt;='Read me'!$B$15),1,2))))</f>
        <v>3</v>
      </c>
    </row>
    <row r="1994" customFormat="false" ht="35.05" hidden="false" customHeight="false" outlineLevel="0" collapsed="false">
      <c r="A1994" s="11" t="s">
        <v>12144</v>
      </c>
      <c r="B1994" s="11" t="s">
        <v>49</v>
      </c>
      <c r="C1994" s="11" t="s">
        <v>417</v>
      </c>
      <c r="D1994" s="11" t="s">
        <v>418</v>
      </c>
      <c r="E1994" s="11" t="s">
        <v>1372</v>
      </c>
      <c r="F1994" s="11" t="s">
        <v>12145</v>
      </c>
      <c r="G1994" s="11" t="s">
        <v>12146</v>
      </c>
      <c r="H1994" s="11"/>
      <c r="I1994" s="11" t="s">
        <v>12147</v>
      </c>
      <c r="J1994" s="11" t="s">
        <v>12148</v>
      </c>
      <c r="K1994" s="11" t="s">
        <v>7107</v>
      </c>
      <c r="L1994" s="11" t="s">
        <v>5455</v>
      </c>
      <c r="M1994" s="11"/>
      <c r="N1994" s="14" t="n">
        <v>2</v>
      </c>
      <c r="O1994" s="14" t="n">
        <v>2</v>
      </c>
      <c r="P1994" s="14" t="n">
        <v>2</v>
      </c>
      <c r="Q1994" s="14"/>
      <c r="R1994" s="12" t="n">
        <f aca="false">IF(OR(N1994="",P1994=""),"",ROUND(N1994*O1994/P1994,1))</f>
        <v>2</v>
      </c>
      <c r="S1994" s="13" t="n">
        <f aca="false">IF(R1994="","",IF(Q1994="Y",1,IF(P1994&gt;='Read me'!$B$16,3,IF(AND(R1994&gt;='Read me'!$B$14,P1994&lt;='Read me'!$B$15),1,2))))</f>
        <v>2</v>
      </c>
    </row>
    <row r="1995" customFormat="false" ht="23.85" hidden="false" customHeight="false" outlineLevel="0" collapsed="false">
      <c r="A1995" s="11" t="s">
        <v>12149</v>
      </c>
      <c r="B1995" s="11" t="s">
        <v>49</v>
      </c>
      <c r="C1995" s="11" t="s">
        <v>417</v>
      </c>
      <c r="D1995" s="11" t="s">
        <v>418</v>
      </c>
      <c r="E1995" s="11" t="s">
        <v>1372</v>
      </c>
      <c r="F1995" s="11" t="s">
        <v>12150</v>
      </c>
      <c r="G1995" s="11" t="s">
        <v>12028</v>
      </c>
      <c r="H1995" s="11"/>
      <c r="I1995" s="11" t="s">
        <v>12151</v>
      </c>
      <c r="J1995" s="11" t="s">
        <v>12152</v>
      </c>
      <c r="K1995" s="11" t="s">
        <v>4369</v>
      </c>
      <c r="L1995" s="11" t="s">
        <v>12153</v>
      </c>
      <c r="M1995" s="11"/>
      <c r="N1995" s="14" t="n">
        <v>2</v>
      </c>
      <c r="O1995" s="14" t="n">
        <v>3</v>
      </c>
      <c r="P1995" s="14" t="n">
        <v>2</v>
      </c>
      <c r="Q1995" s="14"/>
      <c r="R1995" s="12" t="n">
        <f aca="false">IF(OR(N1995="",P1995=""),"",ROUND(N1995*O1995/P1995,1))</f>
        <v>3</v>
      </c>
      <c r="S1995" s="13" t="n">
        <f aca="false">IF(R1995="","",IF(Q1995="Y",1,IF(P1995&gt;='Read me'!$B$16,3,IF(AND(R1995&gt;='Read me'!$B$14,P1995&lt;='Read me'!$B$15),1,2))))</f>
        <v>2</v>
      </c>
    </row>
    <row r="1996" customFormat="false" ht="23.85" hidden="false" customHeight="false" outlineLevel="0" collapsed="false">
      <c r="A1996" s="11" t="s">
        <v>12154</v>
      </c>
      <c r="B1996" s="11" t="s">
        <v>49</v>
      </c>
      <c r="C1996" s="11" t="s">
        <v>420</v>
      </c>
      <c r="D1996" s="11" t="s">
        <v>421</v>
      </c>
      <c r="E1996" s="11" t="s">
        <v>476</v>
      </c>
      <c r="F1996" s="11" t="s">
        <v>12155</v>
      </c>
      <c r="G1996" s="11" t="s">
        <v>7468</v>
      </c>
      <c r="H1996" s="11"/>
      <c r="I1996" s="11" t="s">
        <v>512</v>
      </c>
      <c r="J1996" s="11" t="s">
        <v>12156</v>
      </c>
      <c r="K1996" s="11" t="s">
        <v>12157</v>
      </c>
      <c r="L1996" s="11" t="s">
        <v>12158</v>
      </c>
      <c r="M1996" s="11"/>
      <c r="N1996" s="14" t="n">
        <v>2</v>
      </c>
      <c r="O1996" s="14" t="n">
        <v>3</v>
      </c>
      <c r="P1996" s="14" t="n">
        <v>2</v>
      </c>
      <c r="Q1996" s="14"/>
      <c r="R1996" s="12" t="n">
        <f aca="false">IF(OR(N1996="",P1996=""),"",ROUND(N1996*O1996/P1996,1))</f>
        <v>3</v>
      </c>
      <c r="S1996" s="13" t="n">
        <f aca="false">IF(R1996="","",IF(Q1996="Y",1,IF(P1996&gt;='Read me'!$B$16,3,IF(AND(R1996&gt;='Read me'!$B$14,P1996&lt;='Read me'!$B$15),1,2))))</f>
        <v>2</v>
      </c>
    </row>
    <row r="1997" customFormat="false" ht="35.05" hidden="false" customHeight="false" outlineLevel="0" collapsed="false">
      <c r="A1997" s="11" t="s">
        <v>12159</v>
      </c>
      <c r="B1997" s="11" t="s">
        <v>49</v>
      </c>
      <c r="C1997" s="11" t="s">
        <v>420</v>
      </c>
      <c r="D1997" s="11" t="s">
        <v>421</v>
      </c>
      <c r="E1997" s="11" t="s">
        <v>476</v>
      </c>
      <c r="F1997" s="11" t="s">
        <v>12160</v>
      </c>
      <c r="G1997" s="11" t="s">
        <v>25</v>
      </c>
      <c r="H1997" s="11"/>
      <c r="I1997" s="11" t="s">
        <v>12161</v>
      </c>
      <c r="J1997" s="11" t="s">
        <v>12162</v>
      </c>
      <c r="K1997" s="11" t="s">
        <v>1391</v>
      </c>
      <c r="L1997" s="11" t="s">
        <v>12163</v>
      </c>
      <c r="M1997" s="11" t="s">
        <v>11662</v>
      </c>
      <c r="N1997" s="14" t="n">
        <v>3</v>
      </c>
      <c r="O1997" s="14" t="n">
        <v>4</v>
      </c>
      <c r="P1997" s="14" t="n">
        <v>2</v>
      </c>
      <c r="Q1997" s="14"/>
      <c r="R1997" s="12" t="n">
        <f aca="false">IF(OR(N1997="",P1997=""),"",ROUND(N1997*O1997/P1997,1))</f>
        <v>6</v>
      </c>
      <c r="S1997" s="13" t="n">
        <f aca="false">IF(R1997="","",IF(Q1997="Y",1,IF(P1997&gt;='Read me'!$B$16,3,IF(AND(R1997&gt;='Read me'!$B$14,P1997&lt;='Read me'!$B$15),1,2))))</f>
        <v>1</v>
      </c>
    </row>
    <row r="1998" customFormat="false" ht="23.85" hidden="false" customHeight="false" outlineLevel="0" collapsed="false">
      <c r="A1998" s="11" t="s">
        <v>12164</v>
      </c>
      <c r="B1998" s="11" t="s">
        <v>49</v>
      </c>
      <c r="C1998" s="11" t="s">
        <v>420</v>
      </c>
      <c r="D1998" s="11" t="s">
        <v>421</v>
      </c>
      <c r="E1998" s="11" t="s">
        <v>532</v>
      </c>
      <c r="F1998" s="11" t="s">
        <v>12165</v>
      </c>
      <c r="G1998" s="11" t="s">
        <v>11803</v>
      </c>
      <c r="H1998" s="11"/>
      <c r="I1998" s="11" t="s">
        <v>12166</v>
      </c>
      <c r="J1998" s="11" t="s">
        <v>12167</v>
      </c>
      <c r="K1998" s="11" t="s">
        <v>12168</v>
      </c>
      <c r="L1998" s="11" t="s">
        <v>12169</v>
      </c>
      <c r="M1998" s="11"/>
      <c r="N1998" s="14" t="n">
        <v>4</v>
      </c>
      <c r="O1998" s="14" t="n">
        <v>2</v>
      </c>
      <c r="P1998" s="14" t="n">
        <v>1</v>
      </c>
      <c r="Q1998" s="14"/>
      <c r="R1998" s="12" t="n">
        <f aca="false">IF(OR(N1998="",P1998=""),"",ROUND(N1998*O1998/P1998,1))</f>
        <v>8</v>
      </c>
      <c r="S1998" s="13" t="n">
        <f aca="false">IF(R1998="","",IF(Q1998="Y",1,IF(P1998&gt;='Read me'!$B$16,3,IF(AND(R1998&gt;='Read me'!$B$14,P1998&lt;='Read me'!$B$15),1,2))))</f>
        <v>1</v>
      </c>
    </row>
    <row r="1999" customFormat="false" ht="23.85" hidden="false" customHeight="false" outlineLevel="0" collapsed="false">
      <c r="A1999" s="11" t="s">
        <v>12170</v>
      </c>
      <c r="B1999" s="11" t="s">
        <v>49</v>
      </c>
      <c r="C1999" s="11" t="s">
        <v>420</v>
      </c>
      <c r="D1999" s="11" t="s">
        <v>421</v>
      </c>
      <c r="E1999" s="11" t="s">
        <v>532</v>
      </c>
      <c r="F1999" s="11" t="s">
        <v>12165</v>
      </c>
      <c r="G1999" s="11" t="s">
        <v>12171</v>
      </c>
      <c r="H1999" s="11"/>
      <c r="I1999" s="11" t="s">
        <v>12172</v>
      </c>
      <c r="J1999" s="11" t="s">
        <v>12173</v>
      </c>
      <c r="K1999" s="11" t="s">
        <v>2000</v>
      </c>
      <c r="L1999" s="11"/>
      <c r="M1999" s="11"/>
      <c r="N1999" s="14" t="n">
        <v>3</v>
      </c>
      <c r="O1999" s="14" t="n">
        <v>2</v>
      </c>
      <c r="P1999" s="14" t="n">
        <v>1</v>
      </c>
      <c r="Q1999" s="14"/>
      <c r="R1999" s="12" t="n">
        <f aca="false">IF(OR(N1999="",P1999=""),"",ROUND(N1999*O1999/P1999,1))</f>
        <v>6</v>
      </c>
      <c r="S1999" s="13" t="n">
        <f aca="false">IF(R1999="","",IF(Q1999="Y",1,IF(P1999&gt;='Read me'!$B$16,3,IF(AND(R1999&gt;='Read me'!$B$14,P1999&lt;='Read me'!$B$15),1,2))))</f>
        <v>1</v>
      </c>
    </row>
    <row r="2000" customFormat="false" ht="23.85" hidden="false" customHeight="false" outlineLevel="0" collapsed="false">
      <c r="A2000" s="11" t="s">
        <v>12174</v>
      </c>
      <c r="B2000" s="11" t="s">
        <v>49</v>
      </c>
      <c r="C2000" s="11" t="s">
        <v>420</v>
      </c>
      <c r="D2000" s="11" t="s">
        <v>421</v>
      </c>
      <c r="E2000" s="11" t="s">
        <v>532</v>
      </c>
      <c r="F2000" s="11" t="s">
        <v>12165</v>
      </c>
      <c r="G2000" s="11" t="s">
        <v>12175</v>
      </c>
      <c r="H2000" s="11" t="s">
        <v>603</v>
      </c>
      <c r="I2000" s="11" t="s">
        <v>12176</v>
      </c>
      <c r="J2000" s="11" t="s">
        <v>12177</v>
      </c>
      <c r="K2000" s="11" t="s">
        <v>2887</v>
      </c>
      <c r="L2000" s="11" t="s">
        <v>12178</v>
      </c>
      <c r="M2000" s="11"/>
      <c r="N2000" s="14" t="n">
        <v>2</v>
      </c>
      <c r="O2000" s="14" t="n">
        <v>1</v>
      </c>
      <c r="P2000" s="14" t="n">
        <v>1</v>
      </c>
      <c r="Q2000" s="14"/>
      <c r="R2000" s="12" t="n">
        <f aca="false">IF(OR(N2000="",P2000=""),"",ROUND(N2000*O2000/P2000,1))</f>
        <v>2</v>
      </c>
      <c r="S2000" s="13" t="n">
        <f aca="false">IF(R2000="","",IF(Q2000="Y",1,IF(P2000&gt;='Read me'!$B$16,3,IF(AND(R2000&gt;='Read me'!$B$14,P2000&lt;='Read me'!$B$15),1,2))))</f>
        <v>2</v>
      </c>
    </row>
    <row r="2001" customFormat="false" ht="23.85" hidden="false" customHeight="false" outlineLevel="0" collapsed="false">
      <c r="A2001" s="11" t="s">
        <v>12179</v>
      </c>
      <c r="B2001" s="11" t="s">
        <v>49</v>
      </c>
      <c r="C2001" s="11" t="s">
        <v>420</v>
      </c>
      <c r="D2001" s="11" t="s">
        <v>421</v>
      </c>
      <c r="E2001" s="11" t="s">
        <v>626</v>
      </c>
      <c r="F2001" s="11" t="s">
        <v>12180</v>
      </c>
      <c r="G2001" s="11" t="s">
        <v>12181</v>
      </c>
      <c r="H2001" s="11"/>
      <c r="I2001" s="11" t="s">
        <v>12182</v>
      </c>
      <c r="J2001" s="11" t="s">
        <v>12183</v>
      </c>
      <c r="K2001" s="11" t="s">
        <v>12184</v>
      </c>
      <c r="L2001" s="11" t="s">
        <v>12185</v>
      </c>
      <c r="M2001" s="11" t="s">
        <v>12186</v>
      </c>
      <c r="N2001" s="14" t="n">
        <v>3</v>
      </c>
      <c r="O2001" s="14" t="n">
        <v>4</v>
      </c>
      <c r="P2001" s="14" t="n">
        <v>4</v>
      </c>
      <c r="Q2001" s="14"/>
      <c r="R2001" s="12" t="n">
        <f aca="false">IF(OR(N2001="",P2001=""),"",ROUND(N2001*O2001/P2001,1))</f>
        <v>3</v>
      </c>
      <c r="S2001" s="13" t="n">
        <f aca="false">IF(R2001="","",IF(Q2001="Y",1,IF(P2001&gt;='Read me'!$B$16,3,IF(AND(R2001&gt;='Read me'!$B$14,P2001&lt;='Read me'!$B$15),1,2))))</f>
        <v>3</v>
      </c>
    </row>
    <row r="2002" customFormat="false" ht="23.85" hidden="false" customHeight="false" outlineLevel="0" collapsed="false">
      <c r="A2002" s="11" t="s">
        <v>12187</v>
      </c>
      <c r="B2002" s="11" t="s">
        <v>49</v>
      </c>
      <c r="C2002" s="11" t="s">
        <v>420</v>
      </c>
      <c r="D2002" s="11" t="s">
        <v>421</v>
      </c>
      <c r="E2002" s="11" t="s">
        <v>751</v>
      </c>
      <c r="F2002" s="11" t="s">
        <v>12188</v>
      </c>
      <c r="G2002" s="11" t="s">
        <v>12189</v>
      </c>
      <c r="H2002" s="11"/>
      <c r="I2002" s="11" t="s">
        <v>12190</v>
      </c>
      <c r="J2002" s="11" t="s">
        <v>12191</v>
      </c>
      <c r="K2002" s="11" t="s">
        <v>12192</v>
      </c>
      <c r="L2002" s="11" t="s">
        <v>12193</v>
      </c>
      <c r="M2002" s="11" t="s">
        <v>1256</v>
      </c>
      <c r="N2002" s="14" t="n">
        <v>3</v>
      </c>
      <c r="O2002" s="14" t="n">
        <v>3</v>
      </c>
      <c r="P2002" s="14" t="n">
        <v>4</v>
      </c>
      <c r="Q2002" s="14"/>
      <c r="R2002" s="12" t="n">
        <f aca="false">IF(OR(N2002="",P2002=""),"",ROUND(N2002*O2002/P2002,1))</f>
        <v>2.3</v>
      </c>
      <c r="S2002" s="13" t="n">
        <f aca="false">IF(R2002="","",IF(Q2002="Y",1,IF(P2002&gt;='Read me'!$B$16,3,IF(AND(R2002&gt;='Read me'!$B$14,P2002&lt;='Read me'!$B$15),1,2))))</f>
        <v>3</v>
      </c>
    </row>
    <row r="2003" customFormat="false" ht="35.05" hidden="false" customHeight="false" outlineLevel="0" collapsed="false">
      <c r="A2003" s="11" t="s">
        <v>12194</v>
      </c>
      <c r="B2003" s="11" t="s">
        <v>49</v>
      </c>
      <c r="C2003" s="11" t="s">
        <v>420</v>
      </c>
      <c r="D2003" s="11" t="s">
        <v>421</v>
      </c>
      <c r="E2003" s="11" t="s">
        <v>1187</v>
      </c>
      <c r="F2003" s="11" t="s">
        <v>12195</v>
      </c>
      <c r="G2003" s="11" t="s">
        <v>12196</v>
      </c>
      <c r="H2003" s="11" t="s">
        <v>12197</v>
      </c>
      <c r="I2003" s="11" t="s">
        <v>12198</v>
      </c>
      <c r="J2003" s="11" t="s">
        <v>12199</v>
      </c>
      <c r="K2003" s="11" t="s">
        <v>7114</v>
      </c>
      <c r="L2003" s="11" t="s">
        <v>12200</v>
      </c>
      <c r="M2003" s="11" t="s">
        <v>12201</v>
      </c>
      <c r="N2003" s="14" t="n">
        <v>3</v>
      </c>
      <c r="O2003" s="14" t="n">
        <v>3</v>
      </c>
      <c r="P2003" s="14" t="n">
        <v>3</v>
      </c>
      <c r="Q2003" s="14"/>
      <c r="R2003" s="12" t="n">
        <f aca="false">IF(OR(N2003="",P2003=""),"",ROUND(N2003*O2003/P2003,1))</f>
        <v>3</v>
      </c>
      <c r="S2003" s="13" t="n">
        <f aca="false">IF(R2003="","",IF(Q2003="Y",1,IF(P2003&gt;='Read me'!$B$16,3,IF(AND(R2003&gt;='Read me'!$B$14,P2003&lt;='Read me'!$B$15),1,2))))</f>
        <v>2</v>
      </c>
    </row>
    <row r="2004" customFormat="false" ht="46.25" hidden="false" customHeight="false" outlineLevel="0" collapsed="false">
      <c r="A2004" s="11" t="s">
        <v>12202</v>
      </c>
      <c r="B2004" s="11" t="s">
        <v>49</v>
      </c>
      <c r="C2004" s="11" t="s">
        <v>420</v>
      </c>
      <c r="D2004" s="11" t="s">
        <v>421</v>
      </c>
      <c r="E2004" s="11" t="s">
        <v>1187</v>
      </c>
      <c r="F2004" s="11" t="s">
        <v>12203</v>
      </c>
      <c r="G2004" s="11" t="s">
        <v>12204</v>
      </c>
      <c r="H2004" s="11" t="s">
        <v>12205</v>
      </c>
      <c r="I2004" s="11" t="s">
        <v>12206</v>
      </c>
      <c r="J2004" s="11" t="s">
        <v>12207</v>
      </c>
      <c r="K2004" s="11" t="s">
        <v>12208</v>
      </c>
      <c r="L2004" s="11" t="s">
        <v>12209</v>
      </c>
      <c r="M2004" s="11" t="s">
        <v>12210</v>
      </c>
      <c r="N2004" s="14" t="n">
        <v>3</v>
      </c>
      <c r="O2004" s="14" t="n">
        <v>4</v>
      </c>
      <c r="P2004" s="14" t="n">
        <v>5</v>
      </c>
      <c r="Q2004" s="14"/>
      <c r="R2004" s="12" t="n">
        <f aca="false">IF(OR(N2004="",P2004=""),"",ROUND(N2004*O2004/P2004,1))</f>
        <v>2.4</v>
      </c>
      <c r="S2004" s="13" t="n">
        <f aca="false">IF(R2004="","",IF(Q2004="Y",1,IF(P2004&gt;='Read me'!$B$16,3,IF(AND(R2004&gt;='Read me'!$B$14,P2004&lt;='Read me'!$B$15),1,2))))</f>
        <v>3</v>
      </c>
    </row>
    <row r="2005" customFormat="false" ht="23.85" hidden="false" customHeight="false" outlineLevel="0" collapsed="false">
      <c r="A2005" s="11" t="s">
        <v>12211</v>
      </c>
      <c r="B2005" s="11" t="s">
        <v>49</v>
      </c>
      <c r="C2005" s="11" t="s">
        <v>420</v>
      </c>
      <c r="D2005" s="11" t="s">
        <v>421</v>
      </c>
      <c r="E2005" s="11" t="s">
        <v>1187</v>
      </c>
      <c r="F2005" s="11" t="s">
        <v>12212</v>
      </c>
      <c r="G2005" s="11" t="s">
        <v>8363</v>
      </c>
      <c r="H2005" s="11" t="s">
        <v>12213</v>
      </c>
      <c r="I2005" s="11" t="s">
        <v>12214</v>
      </c>
      <c r="J2005" s="11" t="s">
        <v>12215</v>
      </c>
      <c r="K2005" s="11" t="s">
        <v>1525</v>
      </c>
      <c r="L2005" s="11" t="s">
        <v>11854</v>
      </c>
      <c r="M2005" s="11"/>
      <c r="N2005" s="14" t="n">
        <v>2</v>
      </c>
      <c r="O2005" s="14" t="n">
        <v>2</v>
      </c>
      <c r="P2005" s="14" t="n">
        <v>1</v>
      </c>
      <c r="Q2005" s="14"/>
      <c r="R2005" s="12" t="n">
        <f aca="false">IF(OR(N2005="",P2005=""),"",ROUND(N2005*O2005/P2005,1))</f>
        <v>4</v>
      </c>
      <c r="S2005" s="13" t="n">
        <f aca="false">IF(R2005="","",IF(Q2005="Y",1,IF(P2005&gt;='Read me'!$B$16,3,IF(AND(R2005&gt;='Read me'!$B$14,P2005&lt;='Read me'!$B$15),1,2))))</f>
        <v>2</v>
      </c>
    </row>
    <row r="2006" customFormat="false" ht="23.85" hidden="false" customHeight="false" outlineLevel="0" collapsed="false">
      <c r="A2006" s="11" t="s">
        <v>12216</v>
      </c>
      <c r="B2006" s="11" t="s">
        <v>49</v>
      </c>
      <c r="C2006" s="11" t="s">
        <v>420</v>
      </c>
      <c r="D2006" s="11" t="s">
        <v>421</v>
      </c>
      <c r="E2006" s="11" t="s">
        <v>1187</v>
      </c>
      <c r="F2006" s="11" t="s">
        <v>12217</v>
      </c>
      <c r="G2006" s="11" t="s">
        <v>12218</v>
      </c>
      <c r="H2006" s="11" t="s">
        <v>3599</v>
      </c>
      <c r="I2006" s="11" t="s">
        <v>10831</v>
      </c>
      <c r="J2006" s="11" t="s">
        <v>12219</v>
      </c>
      <c r="K2006" s="11" t="s">
        <v>12220</v>
      </c>
      <c r="L2006" s="11" t="s">
        <v>12221</v>
      </c>
      <c r="M2006" s="11"/>
      <c r="N2006" s="14" t="n">
        <v>3</v>
      </c>
      <c r="O2006" s="14" t="n">
        <v>3</v>
      </c>
      <c r="P2006" s="14" t="n">
        <v>4</v>
      </c>
      <c r="Q2006" s="14"/>
      <c r="R2006" s="12" t="n">
        <f aca="false">IF(OR(N2006="",P2006=""),"",ROUND(N2006*O2006/P2006,1))</f>
        <v>2.3</v>
      </c>
      <c r="S2006" s="13" t="n">
        <f aca="false">IF(R2006="","",IF(Q2006="Y",1,IF(P2006&gt;='Read me'!$B$16,3,IF(AND(R2006&gt;='Read me'!$B$14,P2006&lt;='Read me'!$B$15),1,2))))</f>
        <v>3</v>
      </c>
    </row>
    <row r="2007" customFormat="false" ht="23.85" hidden="false" customHeight="false" outlineLevel="0" collapsed="false">
      <c r="A2007" s="11" t="s">
        <v>12222</v>
      </c>
      <c r="B2007" s="11" t="s">
        <v>49</v>
      </c>
      <c r="C2007" s="11" t="s">
        <v>420</v>
      </c>
      <c r="D2007" s="11" t="s">
        <v>421</v>
      </c>
      <c r="E2007" s="11" t="s">
        <v>1187</v>
      </c>
      <c r="F2007" s="11" t="s">
        <v>12223</v>
      </c>
      <c r="G2007" s="11" t="s">
        <v>3355</v>
      </c>
      <c r="H2007" s="11" t="s">
        <v>12224</v>
      </c>
      <c r="I2007" s="11" t="s">
        <v>12225</v>
      </c>
      <c r="J2007" s="11" t="s">
        <v>12226</v>
      </c>
      <c r="K2007" s="11" t="s">
        <v>12227</v>
      </c>
      <c r="L2007" s="11" t="s">
        <v>12228</v>
      </c>
      <c r="M2007" s="11"/>
      <c r="N2007" s="14" t="n">
        <v>2</v>
      </c>
      <c r="O2007" s="14" t="n">
        <v>3</v>
      </c>
      <c r="P2007" s="14" t="n">
        <v>4</v>
      </c>
      <c r="Q2007" s="14"/>
      <c r="R2007" s="12" t="n">
        <f aca="false">IF(OR(N2007="",P2007=""),"",ROUND(N2007*O2007/P2007,1))</f>
        <v>1.5</v>
      </c>
      <c r="S2007" s="13" t="n">
        <f aca="false">IF(R2007="","",IF(Q2007="Y",1,IF(P2007&gt;='Read me'!$B$16,3,IF(AND(R2007&gt;='Read me'!$B$14,P2007&lt;='Read me'!$B$15),1,2))))</f>
        <v>3</v>
      </c>
    </row>
    <row r="2008" customFormat="false" ht="23.85" hidden="false" customHeight="false" outlineLevel="0" collapsed="false">
      <c r="A2008" s="11" t="s">
        <v>12229</v>
      </c>
      <c r="B2008" s="11" t="s">
        <v>49</v>
      </c>
      <c r="C2008" s="11" t="s">
        <v>420</v>
      </c>
      <c r="D2008" s="11" t="s">
        <v>421</v>
      </c>
      <c r="E2008" s="11" t="s">
        <v>1187</v>
      </c>
      <c r="F2008" s="11" t="s">
        <v>12230</v>
      </c>
      <c r="G2008" s="11" t="s">
        <v>12231</v>
      </c>
      <c r="H2008" s="11" t="s">
        <v>12232</v>
      </c>
      <c r="I2008" s="11" t="s">
        <v>12233</v>
      </c>
      <c r="J2008" s="11" t="s">
        <v>12234</v>
      </c>
      <c r="K2008" s="11" t="s">
        <v>12235</v>
      </c>
      <c r="L2008" s="11" t="s">
        <v>12236</v>
      </c>
      <c r="M2008" s="11"/>
      <c r="N2008" s="14" t="n">
        <v>3</v>
      </c>
      <c r="O2008" s="14" t="n">
        <v>3</v>
      </c>
      <c r="P2008" s="14" t="n">
        <v>3</v>
      </c>
      <c r="Q2008" s="14"/>
      <c r="R2008" s="12" t="n">
        <f aca="false">IF(OR(N2008="",P2008=""),"",ROUND(N2008*O2008/P2008,1))</f>
        <v>3</v>
      </c>
      <c r="S2008" s="13" t="n">
        <f aca="false">IF(R2008="","",IF(Q2008="Y",1,IF(P2008&gt;='Read me'!$B$16,3,IF(AND(R2008&gt;='Read me'!$B$14,P2008&lt;='Read me'!$B$15),1,2))))</f>
        <v>2</v>
      </c>
    </row>
    <row r="2009" customFormat="false" ht="23.85" hidden="false" customHeight="false" outlineLevel="0" collapsed="false">
      <c r="A2009" s="11" t="s">
        <v>12237</v>
      </c>
      <c r="B2009" s="11" t="s">
        <v>49</v>
      </c>
      <c r="C2009" s="11" t="s">
        <v>420</v>
      </c>
      <c r="D2009" s="11" t="s">
        <v>421</v>
      </c>
      <c r="E2009" s="11" t="s">
        <v>1187</v>
      </c>
      <c r="F2009" s="11" t="s">
        <v>12238</v>
      </c>
      <c r="G2009" s="11" t="s">
        <v>12239</v>
      </c>
      <c r="H2009" s="11" t="s">
        <v>12240</v>
      </c>
      <c r="I2009" s="11" t="s">
        <v>12241</v>
      </c>
      <c r="J2009" s="11" t="s">
        <v>12242</v>
      </c>
      <c r="K2009" s="11" t="s">
        <v>12243</v>
      </c>
      <c r="L2009" s="11" t="s">
        <v>12244</v>
      </c>
      <c r="M2009" s="11"/>
      <c r="N2009" s="14" t="n">
        <v>1</v>
      </c>
      <c r="O2009" s="14" t="n">
        <v>2</v>
      </c>
      <c r="P2009" s="14" t="n">
        <v>2</v>
      </c>
      <c r="Q2009" s="14"/>
      <c r="R2009" s="12" t="n">
        <f aca="false">IF(OR(N2009="",P2009=""),"",ROUND(N2009*O2009/P2009,1))</f>
        <v>1</v>
      </c>
      <c r="S2009" s="13" t="n">
        <f aca="false">IF(R2009="","",IF(Q2009="Y",1,IF(P2009&gt;='Read me'!$B$16,3,IF(AND(R2009&gt;='Read me'!$B$14,P2009&lt;='Read me'!$B$15),1,2))))</f>
        <v>2</v>
      </c>
    </row>
    <row r="2010" customFormat="false" ht="23.85" hidden="false" customHeight="false" outlineLevel="0" collapsed="false">
      <c r="A2010" s="11" t="s">
        <v>12245</v>
      </c>
      <c r="B2010" s="11" t="s">
        <v>49</v>
      </c>
      <c r="C2010" s="11" t="s">
        <v>420</v>
      </c>
      <c r="D2010" s="11" t="s">
        <v>421</v>
      </c>
      <c r="E2010" s="11" t="s">
        <v>1372</v>
      </c>
      <c r="F2010" s="11" t="s">
        <v>12246</v>
      </c>
      <c r="G2010" s="11" t="s">
        <v>12247</v>
      </c>
      <c r="H2010" s="11"/>
      <c r="I2010" s="11" t="s">
        <v>12248</v>
      </c>
      <c r="J2010" s="11" t="s">
        <v>12249</v>
      </c>
      <c r="K2010" s="11" t="s">
        <v>12250</v>
      </c>
      <c r="L2010" s="11" t="s">
        <v>12251</v>
      </c>
      <c r="M2010" s="11"/>
      <c r="N2010" s="14" t="n">
        <v>5</v>
      </c>
      <c r="O2010" s="14" t="n">
        <v>3</v>
      </c>
      <c r="P2010" s="14" t="n">
        <v>1</v>
      </c>
      <c r="Q2010" s="14"/>
      <c r="R2010" s="12" t="n">
        <f aca="false">IF(OR(N2010="",P2010=""),"",ROUND(N2010*O2010/P2010,1))</f>
        <v>15</v>
      </c>
      <c r="S2010" s="13" t="n">
        <f aca="false">IF(R2010="","",IF(Q2010="Y",1,IF(P2010&gt;='Read me'!$B$16,3,IF(AND(R2010&gt;='Read me'!$B$14,P2010&lt;='Read me'!$B$15),1,2))))</f>
        <v>1</v>
      </c>
    </row>
    <row r="2011" customFormat="false" ht="23.85" hidden="false" customHeight="false" outlineLevel="0" collapsed="false">
      <c r="A2011" s="11" t="s">
        <v>12252</v>
      </c>
      <c r="B2011" s="11" t="s">
        <v>49</v>
      </c>
      <c r="C2011" s="11" t="s">
        <v>420</v>
      </c>
      <c r="D2011" s="11" t="s">
        <v>421</v>
      </c>
      <c r="E2011" s="11" t="s">
        <v>1372</v>
      </c>
      <c r="F2011" s="11" t="s">
        <v>12246</v>
      </c>
      <c r="G2011" s="11" t="s">
        <v>12253</v>
      </c>
      <c r="H2011" s="11"/>
      <c r="I2011" s="11" t="s">
        <v>12254</v>
      </c>
      <c r="J2011" s="11" t="s">
        <v>12255</v>
      </c>
      <c r="K2011" s="11" t="s">
        <v>12256</v>
      </c>
      <c r="L2011" s="11" t="s">
        <v>12257</v>
      </c>
      <c r="M2011" s="11"/>
      <c r="N2011" s="14" t="n">
        <v>5</v>
      </c>
      <c r="O2011" s="14" t="n">
        <v>3</v>
      </c>
      <c r="P2011" s="14" t="n">
        <v>1</v>
      </c>
      <c r="Q2011" s="14"/>
      <c r="R2011" s="12" t="n">
        <f aca="false">IF(OR(N2011="",P2011=""),"",ROUND(N2011*O2011/P2011,1))</f>
        <v>15</v>
      </c>
      <c r="S2011" s="13" t="n">
        <f aca="false">IF(R2011="","",IF(Q2011="Y",1,IF(P2011&gt;='Read me'!$B$16,3,IF(AND(R2011&gt;='Read me'!$B$14,P2011&lt;='Read me'!$B$15),1,2))))</f>
        <v>1</v>
      </c>
    </row>
    <row r="2012" customFormat="false" ht="23.85" hidden="false" customHeight="false" outlineLevel="0" collapsed="false">
      <c r="A2012" s="11" t="s">
        <v>12258</v>
      </c>
      <c r="B2012" s="11" t="s">
        <v>49</v>
      </c>
      <c r="C2012" s="11" t="s">
        <v>420</v>
      </c>
      <c r="D2012" s="11" t="s">
        <v>421</v>
      </c>
      <c r="E2012" s="11" t="s">
        <v>1372</v>
      </c>
      <c r="F2012" s="11" t="s">
        <v>12246</v>
      </c>
      <c r="G2012" s="11" t="s">
        <v>12259</v>
      </c>
      <c r="H2012" s="11"/>
      <c r="I2012" s="11" t="s">
        <v>12260</v>
      </c>
      <c r="J2012" s="11" t="s">
        <v>12261</v>
      </c>
      <c r="K2012" s="11" t="s">
        <v>2000</v>
      </c>
      <c r="L2012" s="11"/>
      <c r="M2012" s="11"/>
      <c r="N2012" s="14" t="n">
        <v>4</v>
      </c>
      <c r="O2012" s="14" t="n">
        <v>3</v>
      </c>
      <c r="P2012" s="14" t="n">
        <v>1</v>
      </c>
      <c r="Q2012" s="14"/>
      <c r="R2012" s="12" t="n">
        <f aca="false">IF(OR(N2012="",P2012=""),"",ROUND(N2012*O2012/P2012,1))</f>
        <v>12</v>
      </c>
      <c r="S2012" s="13" t="n">
        <f aca="false">IF(R2012="","",IF(Q2012="Y",1,IF(P2012&gt;='Read me'!$B$16,3,IF(AND(R2012&gt;='Read me'!$B$14,P2012&lt;='Read me'!$B$15),1,2))))</f>
        <v>1</v>
      </c>
    </row>
    <row r="2013" customFormat="false" ht="23.85" hidden="false" customHeight="false" outlineLevel="0" collapsed="false">
      <c r="A2013" s="11" t="s">
        <v>12262</v>
      </c>
      <c r="B2013" s="11" t="s">
        <v>49</v>
      </c>
      <c r="C2013" s="11" t="s">
        <v>420</v>
      </c>
      <c r="D2013" s="11" t="s">
        <v>421</v>
      </c>
      <c r="E2013" s="11" t="s">
        <v>1372</v>
      </c>
      <c r="F2013" s="11" t="s">
        <v>12246</v>
      </c>
      <c r="G2013" s="11" t="s">
        <v>12263</v>
      </c>
      <c r="H2013" s="11"/>
      <c r="I2013" s="11" t="s">
        <v>12264</v>
      </c>
      <c r="J2013" s="11" t="s">
        <v>12265</v>
      </c>
      <c r="K2013" s="11" t="s">
        <v>7107</v>
      </c>
      <c r="L2013" s="11" t="s">
        <v>12266</v>
      </c>
      <c r="M2013" s="11"/>
      <c r="N2013" s="14" t="n">
        <v>3</v>
      </c>
      <c r="O2013" s="14" t="n">
        <v>2</v>
      </c>
      <c r="P2013" s="14" t="n">
        <v>1</v>
      </c>
      <c r="Q2013" s="14"/>
      <c r="R2013" s="12" t="n">
        <f aca="false">IF(OR(N2013="",P2013=""),"",ROUND(N2013*O2013/P2013,1))</f>
        <v>6</v>
      </c>
      <c r="S2013" s="13" t="n">
        <f aca="false">IF(R2013="","",IF(Q2013="Y",1,IF(P2013&gt;='Read me'!$B$16,3,IF(AND(R2013&gt;='Read me'!$B$14,P2013&lt;='Read me'!$B$15),1,2))))</f>
        <v>1</v>
      </c>
    </row>
    <row r="2014" customFormat="false" ht="23.85" hidden="false" customHeight="false" outlineLevel="0" collapsed="false">
      <c r="A2014" s="11" t="s">
        <v>12267</v>
      </c>
      <c r="B2014" s="11" t="s">
        <v>49</v>
      </c>
      <c r="C2014" s="11" t="s">
        <v>420</v>
      </c>
      <c r="D2014" s="11" t="s">
        <v>421</v>
      </c>
      <c r="E2014" s="11" t="s">
        <v>1372</v>
      </c>
      <c r="F2014" s="11" t="s">
        <v>12268</v>
      </c>
      <c r="G2014" s="11" t="s">
        <v>12269</v>
      </c>
      <c r="H2014" s="11"/>
      <c r="I2014" s="11" t="s">
        <v>12270</v>
      </c>
      <c r="J2014" s="11" t="s">
        <v>12271</v>
      </c>
      <c r="K2014" s="11" t="s">
        <v>12272</v>
      </c>
      <c r="L2014" s="11" t="s">
        <v>12273</v>
      </c>
      <c r="M2014" s="11"/>
      <c r="N2014" s="14" t="n">
        <v>3</v>
      </c>
      <c r="O2014" s="14" t="n">
        <v>3</v>
      </c>
      <c r="P2014" s="14" t="n">
        <v>1</v>
      </c>
      <c r="Q2014" s="14"/>
      <c r="R2014" s="12" t="n">
        <f aca="false">IF(OR(N2014="",P2014=""),"",ROUND(N2014*O2014/P2014,1))</f>
        <v>9</v>
      </c>
      <c r="S2014" s="13" t="n">
        <f aca="false">IF(R2014="","",IF(Q2014="Y",1,IF(P2014&gt;='Read me'!$B$16,3,IF(AND(R2014&gt;='Read me'!$B$14,P2014&lt;='Read me'!$B$15),1,2))))</f>
        <v>1</v>
      </c>
    </row>
    <row r="2015" customFormat="false" ht="23.85" hidden="false" customHeight="false" outlineLevel="0" collapsed="false">
      <c r="A2015" s="11" t="s">
        <v>12274</v>
      </c>
      <c r="B2015" s="11" t="s">
        <v>49</v>
      </c>
      <c r="C2015" s="11" t="s">
        <v>420</v>
      </c>
      <c r="D2015" s="11" t="s">
        <v>421</v>
      </c>
      <c r="E2015" s="11" t="s">
        <v>1372</v>
      </c>
      <c r="F2015" s="11" t="s">
        <v>7509</v>
      </c>
      <c r="G2015" s="11" t="s">
        <v>12275</v>
      </c>
      <c r="H2015" s="11"/>
      <c r="I2015" s="11" t="s">
        <v>7511</v>
      </c>
      <c r="J2015" s="11" t="s">
        <v>12276</v>
      </c>
      <c r="K2015" s="11" t="s">
        <v>12277</v>
      </c>
      <c r="L2015" s="11" t="s">
        <v>12278</v>
      </c>
      <c r="M2015" s="11"/>
      <c r="N2015" s="14" t="n">
        <v>4</v>
      </c>
      <c r="O2015" s="14" t="n">
        <v>3</v>
      </c>
      <c r="P2015" s="14" t="n">
        <v>2</v>
      </c>
      <c r="Q2015" s="14"/>
      <c r="R2015" s="12" t="n">
        <f aca="false">IF(OR(N2015="",P2015=""),"",ROUND(N2015*O2015/P2015,1))</f>
        <v>6</v>
      </c>
      <c r="S2015" s="13" t="n">
        <f aca="false">IF(R2015="","",IF(Q2015="Y",1,IF(P2015&gt;='Read me'!$B$16,3,IF(AND(R2015&gt;='Read me'!$B$14,P2015&lt;='Read me'!$B$15),1,2))))</f>
        <v>1</v>
      </c>
    </row>
    <row r="2016" customFormat="false" ht="23.85" hidden="false" customHeight="false" outlineLevel="0" collapsed="false">
      <c r="A2016" s="11" t="s">
        <v>12279</v>
      </c>
      <c r="B2016" s="11" t="s">
        <v>49</v>
      </c>
      <c r="C2016" s="11" t="s">
        <v>420</v>
      </c>
      <c r="D2016" s="11" t="s">
        <v>421</v>
      </c>
      <c r="E2016" s="11" t="s">
        <v>1372</v>
      </c>
      <c r="F2016" s="11" t="s">
        <v>12280</v>
      </c>
      <c r="G2016" s="11" t="s">
        <v>12281</v>
      </c>
      <c r="H2016" s="11"/>
      <c r="I2016" s="11" t="s">
        <v>12282</v>
      </c>
      <c r="J2016" s="11" t="s">
        <v>12283</v>
      </c>
      <c r="K2016" s="11" t="s">
        <v>12284</v>
      </c>
      <c r="L2016" s="11" t="s">
        <v>12285</v>
      </c>
      <c r="M2016" s="11"/>
      <c r="N2016" s="14" t="n">
        <v>2</v>
      </c>
      <c r="O2016" s="14" t="n">
        <v>2</v>
      </c>
      <c r="P2016" s="14" t="n">
        <v>1</v>
      </c>
      <c r="Q2016" s="14"/>
      <c r="R2016" s="12" t="n">
        <f aca="false">IF(OR(N2016="",P2016=""),"",ROUND(N2016*O2016/P2016,1))</f>
        <v>4</v>
      </c>
      <c r="S2016" s="13" t="n">
        <f aca="false">IF(R2016="","",IF(Q2016="Y",1,IF(P2016&gt;='Read me'!$B$16,3,IF(AND(R2016&gt;='Read me'!$B$14,P2016&lt;='Read me'!$B$15),1,2))))</f>
        <v>2</v>
      </c>
    </row>
    <row r="2017" customFormat="false" ht="23.85" hidden="false" customHeight="false" outlineLevel="0" collapsed="false">
      <c r="A2017" s="11" t="s">
        <v>12286</v>
      </c>
      <c r="B2017" s="11" t="s">
        <v>49</v>
      </c>
      <c r="C2017" s="11" t="s">
        <v>420</v>
      </c>
      <c r="D2017" s="11" t="s">
        <v>421</v>
      </c>
      <c r="E2017" s="11" t="s">
        <v>1372</v>
      </c>
      <c r="F2017" s="11" t="s">
        <v>12287</v>
      </c>
      <c r="G2017" s="11" t="s">
        <v>12288</v>
      </c>
      <c r="H2017" s="11"/>
      <c r="I2017" s="11" t="s">
        <v>12289</v>
      </c>
      <c r="J2017" s="11" t="s">
        <v>12290</v>
      </c>
      <c r="K2017" s="11" t="s">
        <v>4369</v>
      </c>
      <c r="L2017" s="11" t="s">
        <v>12291</v>
      </c>
      <c r="M2017" s="11"/>
      <c r="N2017" s="14" t="n">
        <v>3</v>
      </c>
      <c r="O2017" s="14" t="n">
        <v>3</v>
      </c>
      <c r="P2017" s="14" t="n">
        <v>1</v>
      </c>
      <c r="Q2017" s="14"/>
      <c r="R2017" s="12" t="n">
        <f aca="false">IF(OR(N2017="",P2017=""),"",ROUND(N2017*O2017/P2017,1))</f>
        <v>9</v>
      </c>
      <c r="S2017" s="13" t="n">
        <f aca="false">IF(R2017="","",IF(Q2017="Y",1,IF(P2017&gt;='Read me'!$B$16,3,IF(AND(R2017&gt;='Read me'!$B$14,P2017&lt;='Read me'!$B$15),1,2))))</f>
        <v>1</v>
      </c>
    </row>
    <row r="2018" customFormat="false" ht="23.85" hidden="false" customHeight="false" outlineLevel="0" collapsed="false">
      <c r="A2018" s="11" t="s">
        <v>12292</v>
      </c>
      <c r="B2018" s="11" t="s">
        <v>49</v>
      </c>
      <c r="C2018" s="11" t="s">
        <v>420</v>
      </c>
      <c r="D2018" s="11" t="s">
        <v>421</v>
      </c>
      <c r="E2018" s="11" t="s">
        <v>1372</v>
      </c>
      <c r="F2018" s="11" t="s">
        <v>12203</v>
      </c>
      <c r="G2018" s="11" t="s">
        <v>12293</v>
      </c>
      <c r="H2018" s="11"/>
      <c r="I2018" s="11" t="s">
        <v>12294</v>
      </c>
      <c r="J2018" s="11" t="s">
        <v>12295</v>
      </c>
      <c r="K2018" s="11" t="s">
        <v>2000</v>
      </c>
      <c r="L2018" s="11" t="s">
        <v>12296</v>
      </c>
      <c r="M2018" s="11"/>
      <c r="N2018" s="14" t="n">
        <v>5</v>
      </c>
      <c r="O2018" s="14" t="n">
        <v>3</v>
      </c>
      <c r="P2018" s="14" t="n">
        <v>2</v>
      </c>
      <c r="Q2018" s="14"/>
      <c r="R2018" s="12" t="n">
        <f aca="false">IF(OR(N2018="",P2018=""),"",ROUND(N2018*O2018/P2018,1))</f>
        <v>7.5</v>
      </c>
      <c r="S2018" s="13" t="n">
        <f aca="false">IF(R2018="","",IF(Q2018="Y",1,IF(P2018&gt;='Read me'!$B$16,3,IF(AND(R2018&gt;='Read me'!$B$14,P2018&lt;='Read me'!$B$15),1,2))))</f>
        <v>1</v>
      </c>
    </row>
    <row r="2019" customFormat="false" ht="23.85" hidden="false" customHeight="false" outlineLevel="0" collapsed="false">
      <c r="A2019" s="11" t="s">
        <v>12297</v>
      </c>
      <c r="B2019" s="11" t="s">
        <v>49</v>
      </c>
      <c r="C2019" s="11" t="s">
        <v>420</v>
      </c>
      <c r="D2019" s="11" t="s">
        <v>421</v>
      </c>
      <c r="E2019" s="11" t="s">
        <v>1372</v>
      </c>
      <c r="F2019" s="11" t="s">
        <v>12203</v>
      </c>
      <c r="G2019" s="11" t="s">
        <v>12298</v>
      </c>
      <c r="H2019" s="11"/>
      <c r="I2019" s="11" t="s">
        <v>12299</v>
      </c>
      <c r="J2019" s="11" t="s">
        <v>12300</v>
      </c>
      <c r="K2019" s="11" t="s">
        <v>12277</v>
      </c>
      <c r="L2019" s="11" t="s">
        <v>12301</v>
      </c>
      <c r="M2019" s="11"/>
      <c r="N2019" s="14" t="n">
        <v>4</v>
      </c>
      <c r="O2019" s="14" t="n">
        <v>3</v>
      </c>
      <c r="P2019" s="14" t="n">
        <v>3</v>
      </c>
      <c r="Q2019" s="14"/>
      <c r="R2019" s="12" t="n">
        <f aca="false">IF(OR(N2019="",P2019=""),"",ROUND(N2019*O2019/P2019,1))</f>
        <v>4</v>
      </c>
      <c r="S2019" s="13" t="n">
        <f aca="false">IF(R2019="","",IF(Q2019="Y",1,IF(P2019&gt;='Read me'!$B$16,3,IF(AND(R2019&gt;='Read me'!$B$14,P2019&lt;='Read me'!$B$15),1,2))))</f>
        <v>2</v>
      </c>
    </row>
    <row r="2020" customFormat="false" ht="23.85" hidden="false" customHeight="false" outlineLevel="0" collapsed="false">
      <c r="A2020" s="11" t="s">
        <v>12302</v>
      </c>
      <c r="B2020" s="11" t="s">
        <v>49</v>
      </c>
      <c r="C2020" s="11" t="s">
        <v>420</v>
      </c>
      <c r="D2020" s="11" t="s">
        <v>421</v>
      </c>
      <c r="E2020" s="11" t="s">
        <v>1372</v>
      </c>
      <c r="F2020" s="11" t="s">
        <v>12303</v>
      </c>
      <c r="G2020" s="11" t="s">
        <v>4938</v>
      </c>
      <c r="H2020" s="11"/>
      <c r="I2020" s="11" t="s">
        <v>12304</v>
      </c>
      <c r="J2020" s="11" t="s">
        <v>12305</v>
      </c>
      <c r="K2020" s="11" t="s">
        <v>12306</v>
      </c>
      <c r="L2020" s="11" t="s">
        <v>11627</v>
      </c>
      <c r="M2020" s="11"/>
      <c r="N2020" s="14" t="n">
        <v>5</v>
      </c>
      <c r="O2020" s="14" t="n">
        <v>3</v>
      </c>
      <c r="P2020" s="14" t="n">
        <v>2</v>
      </c>
      <c r="Q2020" s="14"/>
      <c r="R2020" s="12" t="n">
        <f aca="false">IF(OR(N2020="",P2020=""),"",ROUND(N2020*O2020/P2020,1))</f>
        <v>7.5</v>
      </c>
      <c r="S2020" s="13" t="n">
        <f aca="false">IF(R2020="","",IF(Q2020="Y",1,IF(P2020&gt;='Read me'!$B$16,3,IF(AND(R2020&gt;='Read me'!$B$14,P2020&lt;='Read me'!$B$15),1,2))))</f>
        <v>1</v>
      </c>
    </row>
    <row r="2021" customFormat="false" ht="23.85" hidden="false" customHeight="false" outlineLevel="0" collapsed="false">
      <c r="A2021" s="11" t="s">
        <v>12307</v>
      </c>
      <c r="B2021" s="11" t="s">
        <v>49</v>
      </c>
      <c r="C2021" s="11" t="s">
        <v>420</v>
      </c>
      <c r="D2021" s="11" t="s">
        <v>421</v>
      </c>
      <c r="E2021" s="11" t="s">
        <v>1372</v>
      </c>
      <c r="F2021" s="11" t="s">
        <v>12308</v>
      </c>
      <c r="G2021" s="11" t="s">
        <v>12309</v>
      </c>
      <c r="H2021" s="11"/>
      <c r="I2021" s="11" t="s">
        <v>12310</v>
      </c>
      <c r="J2021" s="11" t="s">
        <v>12311</v>
      </c>
      <c r="K2021" s="11" t="s">
        <v>12312</v>
      </c>
      <c r="L2021" s="11" t="s">
        <v>12313</v>
      </c>
      <c r="M2021" s="11"/>
      <c r="N2021" s="14" t="n">
        <v>3</v>
      </c>
      <c r="O2021" s="14" t="n">
        <v>2</v>
      </c>
      <c r="P2021" s="14" t="n">
        <v>2</v>
      </c>
      <c r="Q2021" s="14"/>
      <c r="R2021" s="12" t="n">
        <f aca="false">IF(OR(N2021="",P2021=""),"",ROUND(N2021*O2021/P2021,1))</f>
        <v>3</v>
      </c>
      <c r="S2021" s="13" t="n">
        <f aca="false">IF(R2021="","",IF(Q2021="Y",1,IF(P2021&gt;='Read me'!$B$16,3,IF(AND(R2021&gt;='Read me'!$B$14,P2021&lt;='Read me'!$B$15),1,2))))</f>
        <v>2</v>
      </c>
    </row>
    <row r="2022" customFormat="false" ht="23.85" hidden="false" customHeight="false" outlineLevel="0" collapsed="false">
      <c r="A2022" s="11" t="s">
        <v>12314</v>
      </c>
      <c r="B2022" s="11" t="s">
        <v>49</v>
      </c>
      <c r="C2022" s="11" t="s">
        <v>420</v>
      </c>
      <c r="D2022" s="11" t="s">
        <v>421</v>
      </c>
      <c r="E2022" s="11" t="s">
        <v>1372</v>
      </c>
      <c r="F2022" s="11" t="s">
        <v>12315</v>
      </c>
      <c r="G2022" s="11" t="s">
        <v>12316</v>
      </c>
      <c r="H2022" s="11"/>
      <c r="I2022" s="11" t="s">
        <v>12317</v>
      </c>
      <c r="J2022" s="11" t="s">
        <v>12318</v>
      </c>
      <c r="K2022" s="11" t="s">
        <v>12319</v>
      </c>
      <c r="L2022" s="11" t="s">
        <v>12320</v>
      </c>
      <c r="M2022" s="11"/>
      <c r="N2022" s="14" t="n">
        <v>3</v>
      </c>
      <c r="O2022" s="14" t="n">
        <v>2</v>
      </c>
      <c r="P2022" s="14" t="n">
        <v>1</v>
      </c>
      <c r="Q2022" s="14"/>
      <c r="R2022" s="12" t="n">
        <f aca="false">IF(OR(N2022="",P2022=""),"",ROUND(N2022*O2022/P2022,1))</f>
        <v>6</v>
      </c>
      <c r="S2022" s="13" t="n">
        <f aca="false">IF(R2022="","",IF(Q2022="Y",1,IF(P2022&gt;='Read me'!$B$16,3,IF(AND(R2022&gt;='Read me'!$B$14,P2022&lt;='Read me'!$B$15),1,2))))</f>
        <v>1</v>
      </c>
    </row>
    <row r="2023" customFormat="false" ht="35.05" hidden="false" customHeight="false" outlineLevel="0" collapsed="false">
      <c r="A2023" s="11" t="s">
        <v>12321</v>
      </c>
      <c r="B2023" s="11" t="s">
        <v>49</v>
      </c>
      <c r="C2023" s="11" t="s">
        <v>420</v>
      </c>
      <c r="D2023" s="11" t="s">
        <v>421</v>
      </c>
      <c r="E2023" s="11" t="s">
        <v>1372</v>
      </c>
      <c r="F2023" s="11" t="s">
        <v>12322</v>
      </c>
      <c r="G2023" s="11" t="s">
        <v>11803</v>
      </c>
      <c r="H2023" s="11"/>
      <c r="I2023" s="11" t="s">
        <v>12323</v>
      </c>
      <c r="J2023" s="11" t="s">
        <v>12324</v>
      </c>
      <c r="K2023" s="11" t="s">
        <v>12325</v>
      </c>
      <c r="L2023" s="11" t="s">
        <v>12326</v>
      </c>
      <c r="M2023" s="11" t="s">
        <v>12073</v>
      </c>
      <c r="N2023" s="14" t="n">
        <v>4</v>
      </c>
      <c r="O2023" s="14" t="n">
        <v>4</v>
      </c>
      <c r="P2023" s="14" t="n">
        <v>3</v>
      </c>
      <c r="Q2023" s="14"/>
      <c r="R2023" s="12" t="n">
        <f aca="false">IF(OR(N2023="",P2023=""),"",ROUND(N2023*O2023/P2023,1))</f>
        <v>5.3</v>
      </c>
      <c r="S2023" s="13" t="n">
        <f aca="false">IF(R2023="","",IF(Q2023="Y",1,IF(P2023&gt;='Read me'!$B$16,3,IF(AND(R2023&gt;='Read me'!$B$14,P2023&lt;='Read me'!$B$15),1,2))))</f>
        <v>2</v>
      </c>
    </row>
    <row r="2024" customFormat="false" ht="23.85" hidden="false" customHeight="false" outlineLevel="0" collapsed="false">
      <c r="A2024" s="11" t="s">
        <v>12327</v>
      </c>
      <c r="B2024" s="11" t="s">
        <v>49</v>
      </c>
      <c r="C2024" s="11" t="s">
        <v>420</v>
      </c>
      <c r="D2024" s="11" t="s">
        <v>421</v>
      </c>
      <c r="E2024" s="11" t="s">
        <v>1372</v>
      </c>
      <c r="F2024" s="11" t="s">
        <v>12322</v>
      </c>
      <c r="G2024" s="11" t="s">
        <v>12328</v>
      </c>
      <c r="H2024" s="11"/>
      <c r="I2024" s="11" t="s">
        <v>12329</v>
      </c>
      <c r="J2024" s="11" t="s">
        <v>12330</v>
      </c>
      <c r="K2024" s="11" t="s">
        <v>3180</v>
      </c>
      <c r="L2024" s="11" t="s">
        <v>12331</v>
      </c>
      <c r="M2024" s="11"/>
      <c r="N2024" s="14" t="n">
        <v>3</v>
      </c>
      <c r="O2024" s="14" t="n">
        <v>3</v>
      </c>
      <c r="P2024" s="14" t="n">
        <v>3</v>
      </c>
      <c r="Q2024" s="14"/>
      <c r="R2024" s="12" t="n">
        <f aca="false">IF(OR(N2024="",P2024=""),"",ROUND(N2024*O2024/P2024,1))</f>
        <v>3</v>
      </c>
      <c r="S2024" s="13" t="n">
        <f aca="false">IF(R2024="","",IF(Q2024="Y",1,IF(P2024&gt;='Read me'!$B$16,3,IF(AND(R2024&gt;='Read me'!$B$14,P2024&lt;='Read me'!$B$15),1,2))))</f>
        <v>2</v>
      </c>
    </row>
    <row r="2025" customFormat="false" ht="23.85" hidden="false" customHeight="false" outlineLevel="0" collapsed="false">
      <c r="A2025" s="11" t="s">
        <v>12332</v>
      </c>
      <c r="B2025" s="11" t="s">
        <v>49</v>
      </c>
      <c r="C2025" s="11" t="s">
        <v>420</v>
      </c>
      <c r="D2025" s="11" t="s">
        <v>421</v>
      </c>
      <c r="E2025" s="11" t="s">
        <v>1372</v>
      </c>
      <c r="F2025" s="11" t="s">
        <v>12333</v>
      </c>
      <c r="G2025" s="11" t="s">
        <v>12334</v>
      </c>
      <c r="H2025" s="11"/>
      <c r="I2025" s="11" t="s">
        <v>12335</v>
      </c>
      <c r="J2025" s="11" t="s">
        <v>12336</v>
      </c>
      <c r="K2025" s="11" t="s">
        <v>4369</v>
      </c>
      <c r="L2025" s="11" t="s">
        <v>12337</v>
      </c>
      <c r="M2025" s="11" t="s">
        <v>12338</v>
      </c>
      <c r="N2025" s="14" t="n">
        <v>2</v>
      </c>
      <c r="O2025" s="14" t="n">
        <v>2</v>
      </c>
      <c r="P2025" s="14" t="n">
        <v>1</v>
      </c>
      <c r="Q2025" s="14"/>
      <c r="R2025" s="12" t="n">
        <f aca="false">IF(OR(N2025="",P2025=""),"",ROUND(N2025*O2025/P2025,1))</f>
        <v>4</v>
      </c>
      <c r="S2025" s="13" t="n">
        <f aca="false">IF(R2025="","",IF(Q2025="Y",1,IF(P2025&gt;='Read me'!$B$16,3,IF(AND(R2025&gt;='Read me'!$B$14,P2025&lt;='Read me'!$B$15),1,2))))</f>
        <v>2</v>
      </c>
    </row>
    <row r="2026" customFormat="false" ht="23.85" hidden="false" customHeight="false" outlineLevel="0" collapsed="false">
      <c r="A2026" s="11" t="s">
        <v>12339</v>
      </c>
      <c r="B2026" s="11" t="s">
        <v>49</v>
      </c>
      <c r="C2026" s="11" t="s">
        <v>420</v>
      </c>
      <c r="D2026" s="11" t="s">
        <v>421</v>
      </c>
      <c r="E2026" s="11" t="s">
        <v>1372</v>
      </c>
      <c r="F2026" s="11" t="s">
        <v>12340</v>
      </c>
      <c r="G2026" s="11" t="s">
        <v>12341</v>
      </c>
      <c r="H2026" s="11"/>
      <c r="I2026" s="11" t="s">
        <v>12342</v>
      </c>
      <c r="J2026" s="11" t="s">
        <v>12343</v>
      </c>
      <c r="K2026" s="11" t="s">
        <v>12344</v>
      </c>
      <c r="L2026" s="11" t="s">
        <v>12345</v>
      </c>
      <c r="M2026" s="11" t="s">
        <v>12346</v>
      </c>
      <c r="N2026" s="14" t="n">
        <v>1</v>
      </c>
      <c r="O2026" s="14" t="n">
        <v>2</v>
      </c>
      <c r="P2026" s="14" t="n">
        <v>2</v>
      </c>
      <c r="Q2026" s="14"/>
      <c r="R2026" s="12" t="n">
        <f aca="false">IF(OR(N2026="",P2026=""),"",ROUND(N2026*O2026/P2026,1))</f>
        <v>1</v>
      </c>
      <c r="S2026" s="13" t="n">
        <f aca="false">IF(R2026="","",IF(Q2026="Y",1,IF(P2026&gt;='Read me'!$B$16,3,IF(AND(R2026&gt;='Read me'!$B$14,P2026&lt;='Read me'!$B$15),1,2))))</f>
        <v>2</v>
      </c>
    </row>
    <row r="2027" customFormat="false" ht="23.85" hidden="false" customHeight="false" outlineLevel="0" collapsed="false">
      <c r="A2027" s="11" t="s">
        <v>12347</v>
      </c>
      <c r="B2027" s="11" t="s">
        <v>49</v>
      </c>
      <c r="C2027" s="11" t="s">
        <v>420</v>
      </c>
      <c r="D2027" s="11" t="s">
        <v>421</v>
      </c>
      <c r="E2027" s="11" t="s">
        <v>1372</v>
      </c>
      <c r="F2027" s="11" t="s">
        <v>12348</v>
      </c>
      <c r="G2027" s="11" t="s">
        <v>12349</v>
      </c>
      <c r="H2027" s="11"/>
      <c r="I2027" s="11" t="s">
        <v>12350</v>
      </c>
      <c r="J2027" s="11" t="s">
        <v>12351</v>
      </c>
      <c r="K2027" s="11" t="s">
        <v>12352</v>
      </c>
      <c r="L2027" s="11" t="s">
        <v>12353</v>
      </c>
      <c r="M2027" s="11"/>
      <c r="N2027" s="14" t="n">
        <v>2</v>
      </c>
      <c r="O2027" s="14" t="n">
        <v>2</v>
      </c>
      <c r="P2027" s="14" t="n">
        <v>2</v>
      </c>
      <c r="Q2027" s="14"/>
      <c r="R2027" s="12" t="n">
        <f aca="false">IF(OR(N2027="",P2027=""),"",ROUND(N2027*O2027/P2027,1))</f>
        <v>2</v>
      </c>
      <c r="S2027" s="13" t="n">
        <f aca="false">IF(R2027="","",IF(Q2027="Y",1,IF(P2027&gt;='Read me'!$B$16,3,IF(AND(R2027&gt;='Read me'!$B$14,P2027&lt;='Read me'!$B$15),1,2))))</f>
        <v>2</v>
      </c>
    </row>
    <row r="2028" customFormat="false" ht="23.85" hidden="false" customHeight="false" outlineLevel="0" collapsed="false">
      <c r="A2028" s="11" t="s">
        <v>12354</v>
      </c>
      <c r="B2028" s="11" t="s">
        <v>49</v>
      </c>
      <c r="C2028" s="11" t="s">
        <v>420</v>
      </c>
      <c r="D2028" s="11" t="s">
        <v>421</v>
      </c>
      <c r="E2028" s="11" t="s">
        <v>1372</v>
      </c>
      <c r="F2028" s="11" t="s">
        <v>12355</v>
      </c>
      <c r="G2028" s="11" t="s">
        <v>12356</v>
      </c>
      <c r="H2028" s="11"/>
      <c r="I2028" s="11" t="s">
        <v>12357</v>
      </c>
      <c r="J2028" s="11" t="s">
        <v>12358</v>
      </c>
      <c r="K2028" s="11" t="s">
        <v>11217</v>
      </c>
      <c r="L2028" s="11" t="s">
        <v>12359</v>
      </c>
      <c r="M2028" s="11"/>
      <c r="N2028" s="14" t="n">
        <v>2</v>
      </c>
      <c r="O2028" s="14" t="n">
        <v>2</v>
      </c>
      <c r="P2028" s="14" t="n">
        <v>2</v>
      </c>
      <c r="Q2028" s="14"/>
      <c r="R2028" s="12" t="n">
        <f aca="false">IF(OR(N2028="",P2028=""),"",ROUND(N2028*O2028/P2028,1))</f>
        <v>2</v>
      </c>
      <c r="S2028" s="13" t="n">
        <f aca="false">IF(R2028="","",IF(Q2028="Y",1,IF(P2028&gt;='Read me'!$B$16,3,IF(AND(R2028&gt;='Read me'!$B$14,P2028&lt;='Read me'!$B$15),1,2))))</f>
        <v>2</v>
      </c>
    </row>
    <row r="2029" customFormat="false" ht="23.85" hidden="false" customHeight="false" outlineLevel="0" collapsed="false">
      <c r="A2029" s="11" t="s">
        <v>12360</v>
      </c>
      <c r="B2029" s="11" t="s">
        <v>49</v>
      </c>
      <c r="C2029" s="11" t="s">
        <v>420</v>
      </c>
      <c r="D2029" s="11" t="s">
        <v>421</v>
      </c>
      <c r="E2029" s="11" t="s">
        <v>1372</v>
      </c>
      <c r="F2029" s="11" t="s">
        <v>12361</v>
      </c>
      <c r="G2029" s="11" t="s">
        <v>2301</v>
      </c>
      <c r="H2029" s="11"/>
      <c r="I2029" s="11" t="s">
        <v>12362</v>
      </c>
      <c r="J2029" s="11" t="s">
        <v>12363</v>
      </c>
      <c r="K2029" s="11" t="s">
        <v>12364</v>
      </c>
      <c r="L2029" s="11" t="s">
        <v>12365</v>
      </c>
      <c r="M2029" s="11" t="s">
        <v>12366</v>
      </c>
      <c r="N2029" s="14" t="n">
        <v>2</v>
      </c>
      <c r="O2029" s="14" t="n">
        <v>3</v>
      </c>
      <c r="P2029" s="14" t="n">
        <v>2</v>
      </c>
      <c r="Q2029" s="14"/>
      <c r="R2029" s="12" t="n">
        <f aca="false">IF(OR(N2029="",P2029=""),"",ROUND(N2029*O2029/P2029,1))</f>
        <v>3</v>
      </c>
      <c r="S2029" s="13" t="n">
        <f aca="false">IF(R2029="","",IF(Q2029="Y",1,IF(P2029&gt;='Read me'!$B$16,3,IF(AND(R2029&gt;='Read me'!$B$14,P2029&lt;='Read me'!$B$15),1,2))))</f>
        <v>2</v>
      </c>
    </row>
    <row r="2030" customFormat="false" ht="23.85" hidden="false" customHeight="false" outlineLevel="0" collapsed="false">
      <c r="A2030" s="11" t="s">
        <v>12367</v>
      </c>
      <c r="B2030" s="11" t="s">
        <v>49</v>
      </c>
      <c r="C2030" s="11" t="s">
        <v>423</v>
      </c>
      <c r="D2030" s="11" t="s">
        <v>424</v>
      </c>
      <c r="E2030" s="11" t="s">
        <v>476</v>
      </c>
      <c r="F2030" s="11" t="s">
        <v>12368</v>
      </c>
      <c r="G2030" s="11" t="s">
        <v>12369</v>
      </c>
      <c r="H2030" s="11"/>
      <c r="I2030" s="11" t="s">
        <v>512</v>
      </c>
      <c r="J2030" s="11" t="s">
        <v>12370</v>
      </c>
      <c r="K2030" s="11" t="s">
        <v>4297</v>
      </c>
      <c r="L2030" s="11" t="s">
        <v>12371</v>
      </c>
      <c r="M2030" s="11"/>
      <c r="N2030" s="14" t="n">
        <v>2</v>
      </c>
      <c r="O2030" s="14" t="n">
        <v>2</v>
      </c>
      <c r="P2030" s="14" t="n">
        <v>3</v>
      </c>
      <c r="Q2030" s="14"/>
      <c r="R2030" s="12" t="n">
        <f aca="false">IF(OR(N2030="",P2030=""),"",ROUND(N2030*O2030/P2030,1))</f>
        <v>1.3</v>
      </c>
      <c r="S2030" s="13" t="n">
        <f aca="false">IF(R2030="","",IF(Q2030="Y",1,IF(P2030&gt;='Read me'!$B$16,3,IF(AND(R2030&gt;='Read me'!$B$14,P2030&lt;='Read me'!$B$15),1,2))))</f>
        <v>2</v>
      </c>
    </row>
    <row r="2031" customFormat="false" ht="23.85" hidden="false" customHeight="false" outlineLevel="0" collapsed="false">
      <c r="A2031" s="11" t="s">
        <v>12372</v>
      </c>
      <c r="B2031" s="11" t="s">
        <v>49</v>
      </c>
      <c r="C2031" s="11" t="s">
        <v>423</v>
      </c>
      <c r="D2031" s="11" t="s">
        <v>424</v>
      </c>
      <c r="E2031" s="11" t="s">
        <v>476</v>
      </c>
      <c r="F2031" s="11" t="s">
        <v>12373</v>
      </c>
      <c r="G2031" s="11" t="s">
        <v>12374</v>
      </c>
      <c r="H2031" s="11"/>
      <c r="I2031" s="11" t="s">
        <v>512</v>
      </c>
      <c r="J2031" s="11" t="s">
        <v>12375</v>
      </c>
      <c r="K2031" s="11" t="s">
        <v>12157</v>
      </c>
      <c r="L2031" s="11" t="s">
        <v>12376</v>
      </c>
      <c r="M2031" s="11"/>
      <c r="N2031" s="14" t="n">
        <v>2</v>
      </c>
      <c r="O2031" s="14" t="n">
        <v>3</v>
      </c>
      <c r="P2031" s="14" t="n">
        <v>2</v>
      </c>
      <c r="Q2031" s="14"/>
      <c r="R2031" s="12" t="n">
        <f aca="false">IF(OR(N2031="",P2031=""),"",ROUND(N2031*O2031/P2031,1))</f>
        <v>3</v>
      </c>
      <c r="S2031" s="13" t="n">
        <f aca="false">IF(R2031="","",IF(Q2031="Y",1,IF(P2031&gt;='Read me'!$B$16,3,IF(AND(R2031&gt;='Read me'!$B$14,P2031&lt;='Read me'!$B$15),1,2))))</f>
        <v>2</v>
      </c>
    </row>
    <row r="2032" customFormat="false" ht="23.85" hidden="false" customHeight="false" outlineLevel="0" collapsed="false">
      <c r="A2032" s="11" t="s">
        <v>12377</v>
      </c>
      <c r="B2032" s="11" t="s">
        <v>49</v>
      </c>
      <c r="C2032" s="11" t="s">
        <v>423</v>
      </c>
      <c r="D2032" s="11" t="s">
        <v>424</v>
      </c>
      <c r="E2032" s="11" t="s">
        <v>476</v>
      </c>
      <c r="F2032" s="11" t="s">
        <v>12378</v>
      </c>
      <c r="G2032" s="11" t="s">
        <v>12379</v>
      </c>
      <c r="H2032" s="11"/>
      <c r="I2032" s="11" t="s">
        <v>12380</v>
      </c>
      <c r="J2032" s="11" t="s">
        <v>12381</v>
      </c>
      <c r="K2032" s="11" t="s">
        <v>3996</v>
      </c>
      <c r="L2032" s="11" t="s">
        <v>12382</v>
      </c>
      <c r="M2032" s="11" t="s">
        <v>12383</v>
      </c>
      <c r="N2032" s="14" t="n">
        <v>2</v>
      </c>
      <c r="O2032" s="14" t="n">
        <v>2</v>
      </c>
      <c r="P2032" s="14" t="n">
        <v>3</v>
      </c>
      <c r="Q2032" s="14"/>
      <c r="R2032" s="12" t="n">
        <f aca="false">IF(OR(N2032="",P2032=""),"",ROUND(N2032*O2032/P2032,1))</f>
        <v>1.3</v>
      </c>
      <c r="S2032" s="13" t="n">
        <f aca="false">IF(R2032="","",IF(Q2032="Y",1,IF(P2032&gt;='Read me'!$B$16,3,IF(AND(R2032&gt;='Read me'!$B$14,P2032&lt;='Read me'!$B$15),1,2))))</f>
        <v>2</v>
      </c>
    </row>
    <row r="2033" customFormat="false" ht="23.85" hidden="false" customHeight="false" outlineLevel="0" collapsed="false">
      <c r="A2033" s="11" t="s">
        <v>12384</v>
      </c>
      <c r="B2033" s="11" t="s">
        <v>49</v>
      </c>
      <c r="C2033" s="11" t="s">
        <v>423</v>
      </c>
      <c r="D2033" s="11" t="s">
        <v>424</v>
      </c>
      <c r="E2033" s="11" t="s">
        <v>476</v>
      </c>
      <c r="F2033" s="11" t="s">
        <v>12385</v>
      </c>
      <c r="G2033" s="11" t="s">
        <v>12386</v>
      </c>
      <c r="H2033" s="11"/>
      <c r="I2033" s="11" t="s">
        <v>512</v>
      </c>
      <c r="J2033" s="11" t="s">
        <v>12387</v>
      </c>
      <c r="K2033" s="11" t="s">
        <v>12388</v>
      </c>
      <c r="L2033" s="11" t="s">
        <v>12389</v>
      </c>
      <c r="M2033" s="11"/>
      <c r="N2033" s="14" t="n">
        <v>2</v>
      </c>
      <c r="O2033" s="14" t="n">
        <v>4</v>
      </c>
      <c r="P2033" s="14" t="n">
        <v>5</v>
      </c>
      <c r="Q2033" s="14"/>
      <c r="R2033" s="12" t="n">
        <f aca="false">IF(OR(N2033="",P2033=""),"",ROUND(N2033*O2033/P2033,1))</f>
        <v>1.6</v>
      </c>
      <c r="S2033" s="13" t="n">
        <f aca="false">IF(R2033="","",IF(Q2033="Y",1,IF(P2033&gt;='Read me'!$B$16,3,IF(AND(R2033&gt;='Read me'!$B$14,P2033&lt;='Read me'!$B$15),1,2))))</f>
        <v>3</v>
      </c>
    </row>
    <row r="2034" customFormat="false" ht="35.05" hidden="false" customHeight="false" outlineLevel="0" collapsed="false">
      <c r="A2034" s="11" t="s">
        <v>12390</v>
      </c>
      <c r="B2034" s="11" t="s">
        <v>49</v>
      </c>
      <c r="C2034" s="11" t="s">
        <v>423</v>
      </c>
      <c r="D2034" s="11" t="s">
        <v>424</v>
      </c>
      <c r="E2034" s="11" t="s">
        <v>1187</v>
      </c>
      <c r="F2034" s="11" t="s">
        <v>12391</v>
      </c>
      <c r="G2034" s="11" t="s">
        <v>12392</v>
      </c>
      <c r="H2034" s="11" t="s">
        <v>1286</v>
      </c>
      <c r="I2034" s="11" t="s">
        <v>12393</v>
      </c>
      <c r="J2034" s="11" t="s">
        <v>12394</v>
      </c>
      <c r="K2034" s="11" t="s">
        <v>12395</v>
      </c>
      <c r="L2034" s="11" t="s">
        <v>12396</v>
      </c>
      <c r="M2034" s="11"/>
      <c r="N2034" s="14" t="n">
        <v>4</v>
      </c>
      <c r="O2034" s="14" t="n">
        <v>4</v>
      </c>
      <c r="P2034" s="14" t="n">
        <v>3</v>
      </c>
      <c r="Q2034" s="14"/>
      <c r="R2034" s="12" t="n">
        <f aca="false">IF(OR(N2034="",P2034=""),"",ROUND(N2034*O2034/P2034,1))</f>
        <v>5.3</v>
      </c>
      <c r="S2034" s="13" t="n">
        <f aca="false">IF(R2034="","",IF(Q2034="Y",1,IF(P2034&gt;='Read me'!$B$16,3,IF(AND(R2034&gt;='Read me'!$B$14,P2034&lt;='Read me'!$B$15),1,2))))</f>
        <v>2</v>
      </c>
    </row>
    <row r="2035" customFormat="false" ht="35.05" hidden="false" customHeight="false" outlineLevel="0" collapsed="false">
      <c r="A2035" s="11" t="s">
        <v>12397</v>
      </c>
      <c r="B2035" s="11" t="s">
        <v>49</v>
      </c>
      <c r="C2035" s="11" t="s">
        <v>423</v>
      </c>
      <c r="D2035" s="11" t="s">
        <v>424</v>
      </c>
      <c r="E2035" s="11" t="s">
        <v>1187</v>
      </c>
      <c r="F2035" s="11" t="s">
        <v>12398</v>
      </c>
      <c r="G2035" s="11" t="s">
        <v>12399</v>
      </c>
      <c r="H2035" s="11" t="s">
        <v>12400</v>
      </c>
      <c r="I2035" s="11" t="s">
        <v>12401</v>
      </c>
      <c r="J2035" s="11" t="s">
        <v>12402</v>
      </c>
      <c r="K2035" s="11" t="s">
        <v>12403</v>
      </c>
      <c r="L2035" s="11" t="s">
        <v>12404</v>
      </c>
      <c r="M2035" s="11" t="s">
        <v>12405</v>
      </c>
      <c r="N2035" s="14" t="n">
        <v>2</v>
      </c>
      <c r="O2035" s="14" t="n">
        <v>3</v>
      </c>
      <c r="P2035" s="14" t="n">
        <v>4</v>
      </c>
      <c r="Q2035" s="14"/>
      <c r="R2035" s="12" t="n">
        <f aca="false">IF(OR(N2035="",P2035=""),"",ROUND(N2035*O2035/P2035,1))</f>
        <v>1.5</v>
      </c>
      <c r="S2035" s="13" t="n">
        <f aca="false">IF(R2035="","",IF(Q2035="Y",1,IF(P2035&gt;='Read me'!$B$16,3,IF(AND(R2035&gt;='Read me'!$B$14,P2035&lt;='Read me'!$B$15),1,2))))</f>
        <v>3</v>
      </c>
    </row>
    <row r="2036" customFormat="false" ht="23.85" hidden="false" customHeight="false" outlineLevel="0" collapsed="false">
      <c r="A2036" s="11" t="s">
        <v>12406</v>
      </c>
      <c r="B2036" s="11" t="s">
        <v>49</v>
      </c>
      <c r="C2036" s="11" t="s">
        <v>423</v>
      </c>
      <c r="D2036" s="11" t="s">
        <v>424</v>
      </c>
      <c r="E2036" s="11" t="s">
        <v>1187</v>
      </c>
      <c r="F2036" s="11" t="s">
        <v>12407</v>
      </c>
      <c r="G2036" s="11" t="s">
        <v>6688</v>
      </c>
      <c r="H2036" s="11" t="s">
        <v>12408</v>
      </c>
      <c r="I2036" s="11" t="s">
        <v>12409</v>
      </c>
      <c r="J2036" s="11" t="s">
        <v>12410</v>
      </c>
      <c r="K2036" s="11" t="s">
        <v>12411</v>
      </c>
      <c r="L2036" s="11" t="s">
        <v>12412</v>
      </c>
      <c r="M2036" s="11"/>
      <c r="N2036" s="14" t="n">
        <v>3</v>
      </c>
      <c r="O2036" s="14" t="n">
        <v>4</v>
      </c>
      <c r="P2036" s="14" t="n">
        <v>5</v>
      </c>
      <c r="Q2036" s="14"/>
      <c r="R2036" s="12" t="n">
        <f aca="false">IF(OR(N2036="",P2036=""),"",ROUND(N2036*O2036/P2036,1))</f>
        <v>2.4</v>
      </c>
      <c r="S2036" s="13" t="n">
        <f aca="false">IF(R2036="","",IF(Q2036="Y",1,IF(P2036&gt;='Read me'!$B$16,3,IF(AND(R2036&gt;='Read me'!$B$14,P2036&lt;='Read me'!$B$15),1,2))))</f>
        <v>3</v>
      </c>
    </row>
    <row r="2037" customFormat="false" ht="23.85" hidden="false" customHeight="false" outlineLevel="0" collapsed="false">
      <c r="A2037" s="11" t="s">
        <v>12413</v>
      </c>
      <c r="B2037" s="11" t="s">
        <v>49</v>
      </c>
      <c r="C2037" s="11" t="s">
        <v>423</v>
      </c>
      <c r="D2037" s="11" t="s">
        <v>424</v>
      </c>
      <c r="E2037" s="11" t="s">
        <v>1187</v>
      </c>
      <c r="F2037" s="11" t="s">
        <v>12414</v>
      </c>
      <c r="G2037" s="11" t="s">
        <v>12415</v>
      </c>
      <c r="H2037" s="11" t="s">
        <v>12416</v>
      </c>
      <c r="I2037" s="11" t="s">
        <v>12417</v>
      </c>
      <c r="J2037" s="11" t="s">
        <v>12418</v>
      </c>
      <c r="K2037" s="11" t="s">
        <v>12419</v>
      </c>
      <c r="L2037" s="11" t="s">
        <v>12420</v>
      </c>
      <c r="M2037" s="11" t="s">
        <v>12421</v>
      </c>
      <c r="N2037" s="14" t="n">
        <v>2</v>
      </c>
      <c r="O2037" s="14" t="n">
        <v>4</v>
      </c>
      <c r="P2037" s="14" t="n">
        <v>5</v>
      </c>
      <c r="Q2037" s="14"/>
      <c r="R2037" s="12" t="n">
        <f aca="false">IF(OR(N2037="",P2037=""),"",ROUND(N2037*O2037/P2037,1))</f>
        <v>1.6</v>
      </c>
      <c r="S2037" s="13" t="n">
        <f aca="false">IF(R2037="","",IF(Q2037="Y",1,IF(P2037&gt;='Read me'!$B$16,3,IF(AND(R2037&gt;='Read me'!$B$14,P2037&lt;='Read me'!$B$15),1,2))))</f>
        <v>3</v>
      </c>
    </row>
    <row r="2038" customFormat="false" ht="23.85" hidden="false" customHeight="false" outlineLevel="0" collapsed="false">
      <c r="A2038" s="11" t="s">
        <v>12422</v>
      </c>
      <c r="B2038" s="11" t="s">
        <v>49</v>
      </c>
      <c r="C2038" s="11" t="s">
        <v>423</v>
      </c>
      <c r="D2038" s="11" t="s">
        <v>424</v>
      </c>
      <c r="E2038" s="11" t="s">
        <v>1187</v>
      </c>
      <c r="F2038" s="11" t="s">
        <v>12423</v>
      </c>
      <c r="G2038" s="11" t="s">
        <v>12424</v>
      </c>
      <c r="H2038" s="11" t="s">
        <v>12425</v>
      </c>
      <c r="I2038" s="11" t="s">
        <v>12426</v>
      </c>
      <c r="J2038" s="11" t="s">
        <v>12427</v>
      </c>
      <c r="K2038" s="11" t="s">
        <v>12428</v>
      </c>
      <c r="L2038" s="11" t="s">
        <v>12429</v>
      </c>
      <c r="M2038" s="11"/>
      <c r="N2038" s="14" t="n">
        <v>2</v>
      </c>
      <c r="O2038" s="14" t="n">
        <v>2</v>
      </c>
      <c r="P2038" s="14" t="n">
        <v>2</v>
      </c>
      <c r="Q2038" s="14"/>
      <c r="R2038" s="12" t="n">
        <f aca="false">IF(OR(N2038="",P2038=""),"",ROUND(N2038*O2038/P2038,1))</f>
        <v>2</v>
      </c>
      <c r="S2038" s="13" t="n">
        <f aca="false">IF(R2038="","",IF(Q2038="Y",1,IF(P2038&gt;='Read me'!$B$16,3,IF(AND(R2038&gt;='Read me'!$B$14,P2038&lt;='Read me'!$B$15),1,2))))</f>
        <v>2</v>
      </c>
    </row>
    <row r="2039" customFormat="false" ht="23.85" hidden="false" customHeight="false" outlineLevel="0" collapsed="false">
      <c r="A2039" s="11" t="s">
        <v>12430</v>
      </c>
      <c r="B2039" s="11" t="s">
        <v>49</v>
      </c>
      <c r="C2039" s="11" t="s">
        <v>423</v>
      </c>
      <c r="D2039" s="11" t="s">
        <v>424</v>
      </c>
      <c r="E2039" s="11" t="s">
        <v>1187</v>
      </c>
      <c r="F2039" s="11" t="s">
        <v>12431</v>
      </c>
      <c r="G2039" s="11" t="s">
        <v>12432</v>
      </c>
      <c r="H2039" s="11" t="s">
        <v>12433</v>
      </c>
      <c r="I2039" s="11" t="s">
        <v>12434</v>
      </c>
      <c r="J2039" s="11" t="s">
        <v>12435</v>
      </c>
      <c r="K2039" s="11" t="s">
        <v>12436</v>
      </c>
      <c r="L2039" s="11" t="s">
        <v>12437</v>
      </c>
      <c r="M2039" s="11"/>
      <c r="N2039" s="14" t="n">
        <v>2</v>
      </c>
      <c r="O2039" s="14" t="n">
        <v>3</v>
      </c>
      <c r="P2039" s="14" t="n">
        <v>4</v>
      </c>
      <c r="Q2039" s="14"/>
      <c r="R2039" s="12" t="n">
        <f aca="false">IF(OR(N2039="",P2039=""),"",ROUND(N2039*O2039/P2039,1))</f>
        <v>1.5</v>
      </c>
      <c r="S2039" s="13" t="n">
        <f aca="false">IF(R2039="","",IF(Q2039="Y",1,IF(P2039&gt;='Read me'!$B$16,3,IF(AND(R2039&gt;='Read me'!$B$14,P2039&lt;='Read me'!$B$15),1,2))))</f>
        <v>3</v>
      </c>
    </row>
    <row r="2040" customFormat="false" ht="23.85" hidden="false" customHeight="false" outlineLevel="0" collapsed="false">
      <c r="A2040" s="11" t="s">
        <v>12438</v>
      </c>
      <c r="B2040" s="11" t="s">
        <v>49</v>
      </c>
      <c r="C2040" s="11" t="s">
        <v>423</v>
      </c>
      <c r="D2040" s="11" t="s">
        <v>424</v>
      </c>
      <c r="E2040" s="11" t="s">
        <v>1187</v>
      </c>
      <c r="F2040" s="11" t="s">
        <v>12439</v>
      </c>
      <c r="G2040" s="11" t="s">
        <v>12440</v>
      </c>
      <c r="H2040" s="11" t="s">
        <v>6872</v>
      </c>
      <c r="I2040" s="11" t="s">
        <v>12441</v>
      </c>
      <c r="J2040" s="11" t="s">
        <v>12442</v>
      </c>
      <c r="K2040" s="11" t="s">
        <v>12443</v>
      </c>
      <c r="L2040" s="11" t="s">
        <v>12444</v>
      </c>
      <c r="M2040" s="11"/>
      <c r="N2040" s="14" t="n">
        <v>2</v>
      </c>
      <c r="O2040" s="14" t="n">
        <v>4</v>
      </c>
      <c r="P2040" s="14" t="n">
        <v>5</v>
      </c>
      <c r="Q2040" s="14"/>
      <c r="R2040" s="12" t="n">
        <f aca="false">IF(OR(N2040="",P2040=""),"",ROUND(N2040*O2040/P2040,1))</f>
        <v>1.6</v>
      </c>
      <c r="S2040" s="13" t="n">
        <f aca="false">IF(R2040="","",IF(Q2040="Y",1,IF(P2040&gt;='Read me'!$B$16,3,IF(AND(R2040&gt;='Read me'!$B$14,P2040&lt;='Read me'!$B$15),1,2))))</f>
        <v>3</v>
      </c>
    </row>
    <row r="2041" customFormat="false" ht="23.85" hidden="false" customHeight="false" outlineLevel="0" collapsed="false">
      <c r="A2041" s="11" t="s">
        <v>12445</v>
      </c>
      <c r="B2041" s="11" t="s">
        <v>49</v>
      </c>
      <c r="C2041" s="11" t="s">
        <v>423</v>
      </c>
      <c r="D2041" s="11" t="s">
        <v>424</v>
      </c>
      <c r="E2041" s="11" t="s">
        <v>1187</v>
      </c>
      <c r="F2041" s="11" t="s">
        <v>12446</v>
      </c>
      <c r="G2041" s="11" t="s">
        <v>12447</v>
      </c>
      <c r="H2041" s="11" t="s">
        <v>4577</v>
      </c>
      <c r="I2041" s="11" t="s">
        <v>12448</v>
      </c>
      <c r="J2041" s="11" t="s">
        <v>12449</v>
      </c>
      <c r="K2041" s="11" t="s">
        <v>12450</v>
      </c>
      <c r="L2041" s="11" t="s">
        <v>12451</v>
      </c>
      <c r="M2041" s="11" t="s">
        <v>12452</v>
      </c>
      <c r="N2041" s="14" t="n">
        <v>2</v>
      </c>
      <c r="O2041" s="14" t="n">
        <v>3</v>
      </c>
      <c r="P2041" s="14" t="n">
        <v>3</v>
      </c>
      <c r="Q2041" s="14"/>
      <c r="R2041" s="12" t="n">
        <f aca="false">IF(OR(N2041="",P2041=""),"",ROUND(N2041*O2041/P2041,1))</f>
        <v>2</v>
      </c>
      <c r="S2041" s="13" t="n">
        <f aca="false">IF(R2041="","",IF(Q2041="Y",1,IF(P2041&gt;='Read me'!$B$16,3,IF(AND(R2041&gt;='Read me'!$B$14,P2041&lt;='Read me'!$B$15),1,2))))</f>
        <v>2</v>
      </c>
    </row>
    <row r="2042" customFormat="false" ht="35.05" hidden="false" customHeight="false" outlineLevel="0" collapsed="false">
      <c r="A2042" s="11" t="s">
        <v>12453</v>
      </c>
      <c r="B2042" s="11" t="s">
        <v>49</v>
      </c>
      <c r="C2042" s="11" t="s">
        <v>423</v>
      </c>
      <c r="D2042" s="11" t="s">
        <v>424</v>
      </c>
      <c r="E2042" s="11" t="s">
        <v>1187</v>
      </c>
      <c r="F2042" s="11" t="s">
        <v>12454</v>
      </c>
      <c r="G2042" s="11" t="s">
        <v>12455</v>
      </c>
      <c r="H2042" s="11" t="s">
        <v>12456</v>
      </c>
      <c r="I2042" s="11" t="s">
        <v>12457</v>
      </c>
      <c r="J2042" s="11" t="s">
        <v>12458</v>
      </c>
      <c r="K2042" s="11" t="s">
        <v>12459</v>
      </c>
      <c r="L2042" s="11" t="s">
        <v>12460</v>
      </c>
      <c r="M2042" s="11" t="s">
        <v>12461</v>
      </c>
      <c r="N2042" s="14" t="n">
        <v>2</v>
      </c>
      <c r="O2042" s="14" t="n">
        <v>5</v>
      </c>
      <c r="P2042" s="14" t="n">
        <v>5</v>
      </c>
      <c r="Q2042" s="14"/>
      <c r="R2042" s="12" t="n">
        <f aca="false">IF(OR(N2042="",P2042=""),"",ROUND(N2042*O2042/P2042,1))</f>
        <v>2</v>
      </c>
      <c r="S2042" s="13" t="n">
        <f aca="false">IF(R2042="","",IF(Q2042="Y",1,IF(P2042&gt;='Read me'!$B$16,3,IF(AND(R2042&gt;='Read me'!$B$14,P2042&lt;='Read me'!$B$15),1,2))))</f>
        <v>3</v>
      </c>
    </row>
    <row r="2043" customFormat="false" ht="57.45" hidden="false" customHeight="false" outlineLevel="0" collapsed="false">
      <c r="A2043" s="11" t="s">
        <v>12462</v>
      </c>
      <c r="B2043" s="11" t="s">
        <v>49</v>
      </c>
      <c r="C2043" s="11" t="s">
        <v>423</v>
      </c>
      <c r="D2043" s="11" t="s">
        <v>424</v>
      </c>
      <c r="E2043" s="11" t="s">
        <v>1187</v>
      </c>
      <c r="F2043" s="11" t="s">
        <v>12463</v>
      </c>
      <c r="G2043" s="11" t="s">
        <v>12464</v>
      </c>
      <c r="H2043" s="11" t="s">
        <v>12205</v>
      </c>
      <c r="I2043" s="11" t="s">
        <v>12465</v>
      </c>
      <c r="J2043" s="11" t="s">
        <v>12466</v>
      </c>
      <c r="K2043" s="11" t="s">
        <v>12467</v>
      </c>
      <c r="L2043" s="11" t="s">
        <v>12468</v>
      </c>
      <c r="M2043" s="11" t="s">
        <v>12469</v>
      </c>
      <c r="N2043" s="14" t="n">
        <v>3</v>
      </c>
      <c r="O2043" s="14" t="n">
        <v>5</v>
      </c>
      <c r="P2043" s="14" t="n">
        <v>5</v>
      </c>
      <c r="Q2043" s="14"/>
      <c r="R2043" s="12" t="n">
        <f aca="false">IF(OR(N2043="",P2043=""),"",ROUND(N2043*O2043/P2043,1))</f>
        <v>3</v>
      </c>
      <c r="S2043" s="13" t="n">
        <f aca="false">IF(R2043="","",IF(Q2043="Y",1,IF(P2043&gt;='Read me'!$B$16,3,IF(AND(R2043&gt;='Read me'!$B$14,P2043&lt;='Read me'!$B$15),1,2))))</f>
        <v>3</v>
      </c>
    </row>
    <row r="2044" customFormat="false" ht="23.85" hidden="false" customHeight="false" outlineLevel="0" collapsed="false">
      <c r="A2044" s="11" t="s">
        <v>12470</v>
      </c>
      <c r="B2044" s="11" t="s">
        <v>49</v>
      </c>
      <c r="C2044" s="11" t="s">
        <v>423</v>
      </c>
      <c r="D2044" s="11" t="s">
        <v>424</v>
      </c>
      <c r="E2044" s="11" t="s">
        <v>1187</v>
      </c>
      <c r="F2044" s="11" t="s">
        <v>12463</v>
      </c>
      <c r="G2044" s="11" t="s">
        <v>12471</v>
      </c>
      <c r="H2044" s="11" t="s">
        <v>12472</v>
      </c>
      <c r="I2044" s="11" t="s">
        <v>12473</v>
      </c>
      <c r="J2044" s="11" t="s">
        <v>12474</v>
      </c>
      <c r="K2044" s="11" t="s">
        <v>12475</v>
      </c>
      <c r="L2044" s="11" t="s">
        <v>12476</v>
      </c>
      <c r="M2044" s="11"/>
      <c r="N2044" s="14" t="n">
        <v>2</v>
      </c>
      <c r="O2044" s="14" t="n">
        <v>5</v>
      </c>
      <c r="P2044" s="14" t="n">
        <v>5</v>
      </c>
      <c r="Q2044" s="14"/>
      <c r="R2044" s="12" t="n">
        <f aca="false">IF(OR(N2044="",P2044=""),"",ROUND(N2044*O2044/P2044,1))</f>
        <v>2</v>
      </c>
      <c r="S2044" s="13" t="n">
        <f aca="false">IF(R2044="","",IF(Q2044="Y",1,IF(P2044&gt;='Read me'!$B$16,3,IF(AND(R2044&gt;='Read me'!$B$14,P2044&lt;='Read me'!$B$15),1,2))))</f>
        <v>3</v>
      </c>
    </row>
    <row r="2045" customFormat="false" ht="23.85" hidden="false" customHeight="false" outlineLevel="0" collapsed="false">
      <c r="A2045" s="11" t="s">
        <v>12477</v>
      </c>
      <c r="B2045" s="11" t="s">
        <v>49</v>
      </c>
      <c r="C2045" s="11" t="s">
        <v>423</v>
      </c>
      <c r="D2045" s="11" t="s">
        <v>424</v>
      </c>
      <c r="E2045" s="11" t="s">
        <v>1187</v>
      </c>
      <c r="F2045" s="11" t="s">
        <v>12478</v>
      </c>
      <c r="G2045" s="11" t="s">
        <v>12479</v>
      </c>
      <c r="H2045" s="11"/>
      <c r="I2045" s="11" t="s">
        <v>12480</v>
      </c>
      <c r="J2045" s="11" t="s">
        <v>12481</v>
      </c>
      <c r="K2045" s="11" t="s">
        <v>9467</v>
      </c>
      <c r="L2045" s="11" t="s">
        <v>12482</v>
      </c>
      <c r="M2045" s="11"/>
      <c r="N2045" s="14" t="n">
        <v>2</v>
      </c>
      <c r="O2045" s="14" t="n">
        <v>4</v>
      </c>
      <c r="P2045" s="14" t="n">
        <v>4</v>
      </c>
      <c r="Q2045" s="14"/>
      <c r="R2045" s="12" t="n">
        <f aca="false">IF(OR(N2045="",P2045=""),"",ROUND(N2045*O2045/P2045,1))</f>
        <v>2</v>
      </c>
      <c r="S2045" s="13" t="n">
        <f aca="false">IF(R2045="","",IF(Q2045="Y",1,IF(P2045&gt;='Read me'!$B$16,3,IF(AND(R2045&gt;='Read me'!$B$14,P2045&lt;='Read me'!$B$15),1,2))))</f>
        <v>3</v>
      </c>
    </row>
    <row r="2046" customFormat="false" ht="35.05" hidden="false" customHeight="false" outlineLevel="0" collapsed="false">
      <c r="A2046" s="11" t="s">
        <v>12483</v>
      </c>
      <c r="B2046" s="11" t="s">
        <v>49</v>
      </c>
      <c r="C2046" s="11" t="s">
        <v>423</v>
      </c>
      <c r="D2046" s="11" t="s">
        <v>424</v>
      </c>
      <c r="E2046" s="11" t="s">
        <v>1187</v>
      </c>
      <c r="F2046" s="11" t="s">
        <v>12484</v>
      </c>
      <c r="G2046" s="11" t="s">
        <v>12485</v>
      </c>
      <c r="H2046" s="11"/>
      <c r="I2046" s="11" t="s">
        <v>12486</v>
      </c>
      <c r="J2046" s="11" t="s">
        <v>12487</v>
      </c>
      <c r="K2046" s="11" t="s">
        <v>4066</v>
      </c>
      <c r="L2046" s="11" t="s">
        <v>12488</v>
      </c>
      <c r="M2046" s="11" t="s">
        <v>12489</v>
      </c>
      <c r="N2046" s="14" t="n">
        <v>3</v>
      </c>
      <c r="O2046" s="14" t="n">
        <v>4</v>
      </c>
      <c r="P2046" s="14" t="n">
        <v>5</v>
      </c>
      <c r="Q2046" s="14"/>
      <c r="R2046" s="12" t="n">
        <f aca="false">IF(OR(N2046="",P2046=""),"",ROUND(N2046*O2046/P2046,1))</f>
        <v>2.4</v>
      </c>
      <c r="S2046" s="13" t="n">
        <f aca="false">IF(R2046="","",IF(Q2046="Y",1,IF(P2046&gt;='Read me'!$B$16,3,IF(AND(R2046&gt;='Read me'!$B$14,P2046&lt;='Read me'!$B$15),1,2))))</f>
        <v>3</v>
      </c>
    </row>
    <row r="2047" customFormat="false" ht="23.85" hidden="false" customHeight="false" outlineLevel="0" collapsed="false">
      <c r="A2047" s="11" t="s">
        <v>12490</v>
      </c>
      <c r="B2047" s="11" t="s">
        <v>49</v>
      </c>
      <c r="C2047" s="11" t="s">
        <v>423</v>
      </c>
      <c r="D2047" s="11" t="s">
        <v>424</v>
      </c>
      <c r="E2047" s="11" t="s">
        <v>1187</v>
      </c>
      <c r="F2047" s="11" t="s">
        <v>12491</v>
      </c>
      <c r="G2047" s="11" t="s">
        <v>12492</v>
      </c>
      <c r="H2047" s="11" t="s">
        <v>12493</v>
      </c>
      <c r="I2047" s="11" t="s">
        <v>12494</v>
      </c>
      <c r="J2047" s="11" t="s">
        <v>12495</v>
      </c>
      <c r="K2047" s="11" t="s">
        <v>12496</v>
      </c>
      <c r="L2047" s="11" t="s">
        <v>12497</v>
      </c>
      <c r="M2047" s="11"/>
      <c r="N2047" s="14" t="n">
        <v>2</v>
      </c>
      <c r="O2047" s="14" t="n">
        <v>5</v>
      </c>
      <c r="P2047" s="14" t="n">
        <v>5</v>
      </c>
      <c r="Q2047" s="14"/>
      <c r="R2047" s="12" t="n">
        <f aca="false">IF(OR(N2047="",P2047=""),"",ROUND(N2047*O2047/P2047,1))</f>
        <v>2</v>
      </c>
      <c r="S2047" s="13" t="n">
        <f aca="false">IF(R2047="","",IF(Q2047="Y",1,IF(P2047&gt;='Read me'!$B$16,3,IF(AND(R2047&gt;='Read me'!$B$14,P2047&lt;='Read me'!$B$15),1,2))))</f>
        <v>3</v>
      </c>
    </row>
    <row r="2048" customFormat="false" ht="35.05" hidden="false" customHeight="false" outlineLevel="0" collapsed="false">
      <c r="A2048" s="11" t="s">
        <v>12498</v>
      </c>
      <c r="B2048" s="11" t="s">
        <v>49</v>
      </c>
      <c r="C2048" s="11" t="s">
        <v>423</v>
      </c>
      <c r="D2048" s="11" t="s">
        <v>424</v>
      </c>
      <c r="E2048" s="11" t="s">
        <v>1187</v>
      </c>
      <c r="F2048" s="11" t="s">
        <v>12499</v>
      </c>
      <c r="G2048" s="11" t="s">
        <v>12500</v>
      </c>
      <c r="H2048" s="11" t="s">
        <v>12456</v>
      </c>
      <c r="I2048" s="11" t="s">
        <v>12501</v>
      </c>
      <c r="J2048" s="11" t="s">
        <v>12502</v>
      </c>
      <c r="K2048" s="11" t="s">
        <v>675</v>
      </c>
      <c r="L2048" s="11" t="s">
        <v>12503</v>
      </c>
      <c r="M2048" s="11" t="s">
        <v>12504</v>
      </c>
      <c r="N2048" s="14" t="n">
        <v>1</v>
      </c>
      <c r="O2048" s="14" t="n">
        <v>5</v>
      </c>
      <c r="P2048" s="14" t="n">
        <v>5</v>
      </c>
      <c r="Q2048" s="14"/>
      <c r="R2048" s="12" t="n">
        <f aca="false">IF(OR(N2048="",P2048=""),"",ROUND(N2048*O2048/P2048,1))</f>
        <v>1</v>
      </c>
      <c r="S2048" s="13" t="n">
        <f aca="false">IF(R2048="","",IF(Q2048="Y",1,IF(P2048&gt;='Read me'!$B$16,3,IF(AND(R2048&gt;='Read me'!$B$14,P2048&lt;='Read me'!$B$15),1,2))))</f>
        <v>3</v>
      </c>
    </row>
    <row r="2049" customFormat="false" ht="23.85" hidden="false" customHeight="false" outlineLevel="0" collapsed="false">
      <c r="A2049" s="11" t="s">
        <v>12505</v>
      </c>
      <c r="B2049" s="11" t="s">
        <v>49</v>
      </c>
      <c r="C2049" s="11" t="s">
        <v>423</v>
      </c>
      <c r="D2049" s="11" t="s">
        <v>424</v>
      </c>
      <c r="E2049" s="11" t="s">
        <v>1187</v>
      </c>
      <c r="F2049" s="11" t="s">
        <v>12506</v>
      </c>
      <c r="G2049" s="11" t="s">
        <v>12507</v>
      </c>
      <c r="H2049" s="11" t="s">
        <v>12508</v>
      </c>
      <c r="I2049" s="11" t="s">
        <v>12509</v>
      </c>
      <c r="J2049" s="11" t="s">
        <v>12510</v>
      </c>
      <c r="K2049" s="11" t="s">
        <v>12496</v>
      </c>
      <c r="L2049" s="11" t="s">
        <v>12511</v>
      </c>
      <c r="M2049" s="11"/>
      <c r="N2049" s="14" t="n">
        <v>1</v>
      </c>
      <c r="O2049" s="14" t="n">
        <v>3</v>
      </c>
      <c r="P2049" s="14" t="n">
        <v>4</v>
      </c>
      <c r="Q2049" s="14"/>
      <c r="R2049" s="12" t="n">
        <f aca="false">IF(OR(N2049="",P2049=""),"",ROUND(N2049*O2049/P2049,1))</f>
        <v>0.8</v>
      </c>
      <c r="S2049" s="13" t="n">
        <f aca="false">IF(R2049="","",IF(Q2049="Y",1,IF(P2049&gt;='Read me'!$B$16,3,IF(AND(R2049&gt;='Read me'!$B$14,P2049&lt;='Read me'!$B$15),1,2))))</f>
        <v>3</v>
      </c>
    </row>
    <row r="2050" customFormat="false" ht="35.05" hidden="false" customHeight="false" outlineLevel="0" collapsed="false">
      <c r="A2050" s="11" t="s">
        <v>12512</v>
      </c>
      <c r="B2050" s="11" t="s">
        <v>49</v>
      </c>
      <c r="C2050" s="11" t="s">
        <v>423</v>
      </c>
      <c r="D2050" s="11" t="s">
        <v>424</v>
      </c>
      <c r="E2050" s="11" t="s">
        <v>1372</v>
      </c>
      <c r="F2050" s="11" t="s">
        <v>12513</v>
      </c>
      <c r="G2050" s="11" t="s">
        <v>12514</v>
      </c>
      <c r="H2050" s="11"/>
      <c r="I2050" s="11" t="s">
        <v>12513</v>
      </c>
      <c r="J2050" s="11" t="s">
        <v>12515</v>
      </c>
      <c r="K2050" s="11" t="s">
        <v>12516</v>
      </c>
      <c r="L2050" s="11" t="s">
        <v>12517</v>
      </c>
      <c r="M2050" s="11"/>
      <c r="N2050" s="14" t="n">
        <v>4</v>
      </c>
      <c r="O2050" s="14" t="n">
        <v>4</v>
      </c>
      <c r="P2050" s="14" t="n">
        <v>4</v>
      </c>
      <c r="Q2050" s="14"/>
      <c r="R2050" s="12" t="n">
        <f aca="false">IF(OR(N2050="",P2050=""),"",ROUND(N2050*O2050/P2050,1))</f>
        <v>4</v>
      </c>
      <c r="S2050" s="13" t="n">
        <f aca="false">IF(R2050="","",IF(Q2050="Y",1,IF(P2050&gt;='Read me'!$B$16,3,IF(AND(R2050&gt;='Read me'!$B$14,P2050&lt;='Read me'!$B$15),1,2))))</f>
        <v>3</v>
      </c>
    </row>
    <row r="2051" customFormat="false" ht="23.85" hidden="false" customHeight="false" outlineLevel="0" collapsed="false">
      <c r="A2051" s="11" t="s">
        <v>12518</v>
      </c>
      <c r="B2051" s="11" t="s">
        <v>49</v>
      </c>
      <c r="C2051" s="11" t="s">
        <v>423</v>
      </c>
      <c r="D2051" s="11" t="s">
        <v>424</v>
      </c>
      <c r="E2051" s="11" t="s">
        <v>1372</v>
      </c>
      <c r="F2051" s="11" t="s">
        <v>12513</v>
      </c>
      <c r="G2051" s="11" t="s">
        <v>12519</v>
      </c>
      <c r="H2051" s="11"/>
      <c r="I2051" s="11" t="s">
        <v>12520</v>
      </c>
      <c r="J2051" s="11" t="s">
        <v>12521</v>
      </c>
      <c r="K2051" s="11" t="s">
        <v>12522</v>
      </c>
      <c r="L2051" s="11" t="s">
        <v>12523</v>
      </c>
      <c r="M2051" s="11"/>
      <c r="N2051" s="14" t="n">
        <v>4</v>
      </c>
      <c r="O2051" s="14" t="n">
        <v>4</v>
      </c>
      <c r="P2051" s="14" t="n">
        <v>4</v>
      </c>
      <c r="Q2051" s="14"/>
      <c r="R2051" s="12" t="n">
        <f aca="false">IF(OR(N2051="",P2051=""),"",ROUND(N2051*O2051/P2051,1))</f>
        <v>4</v>
      </c>
      <c r="S2051" s="13" t="n">
        <f aca="false">IF(R2051="","",IF(Q2051="Y",1,IF(P2051&gt;='Read me'!$B$16,3,IF(AND(R2051&gt;='Read me'!$B$14,P2051&lt;='Read me'!$B$15),1,2))))</f>
        <v>3</v>
      </c>
    </row>
    <row r="2052" customFormat="false" ht="23.85" hidden="false" customHeight="false" outlineLevel="0" collapsed="false">
      <c r="A2052" s="11" t="s">
        <v>12524</v>
      </c>
      <c r="B2052" s="11" t="s">
        <v>49</v>
      </c>
      <c r="C2052" s="11" t="s">
        <v>423</v>
      </c>
      <c r="D2052" s="11" t="s">
        <v>424</v>
      </c>
      <c r="E2052" s="11" t="s">
        <v>1372</v>
      </c>
      <c r="F2052" s="11" t="s">
        <v>12525</v>
      </c>
      <c r="G2052" s="11" t="s">
        <v>12526</v>
      </c>
      <c r="H2052" s="11"/>
      <c r="I2052" s="11" t="s">
        <v>12527</v>
      </c>
      <c r="J2052" s="11" t="s">
        <v>12528</v>
      </c>
      <c r="K2052" s="11" t="s">
        <v>12529</v>
      </c>
      <c r="L2052" s="11" t="s">
        <v>12530</v>
      </c>
      <c r="M2052" s="11" t="s">
        <v>1256</v>
      </c>
      <c r="N2052" s="14" t="n">
        <v>3</v>
      </c>
      <c r="O2052" s="14" t="n">
        <v>3</v>
      </c>
      <c r="P2052" s="14" t="n">
        <v>4</v>
      </c>
      <c r="Q2052" s="14"/>
      <c r="R2052" s="12" t="n">
        <f aca="false">IF(OR(N2052="",P2052=""),"",ROUND(N2052*O2052/P2052,1))</f>
        <v>2.3</v>
      </c>
      <c r="S2052" s="13" t="n">
        <f aca="false">IF(R2052="","",IF(Q2052="Y",1,IF(P2052&gt;='Read me'!$B$16,3,IF(AND(R2052&gt;='Read me'!$B$14,P2052&lt;='Read me'!$B$15),1,2))))</f>
        <v>3</v>
      </c>
    </row>
    <row r="2053" customFormat="false" ht="57.45" hidden="false" customHeight="false" outlineLevel="0" collapsed="false">
      <c r="A2053" s="11" t="s">
        <v>12531</v>
      </c>
      <c r="B2053" s="11" t="s">
        <v>49</v>
      </c>
      <c r="C2053" s="11" t="s">
        <v>423</v>
      </c>
      <c r="D2053" s="11" t="s">
        <v>424</v>
      </c>
      <c r="E2053" s="11" t="s">
        <v>1372</v>
      </c>
      <c r="F2053" s="11" t="s">
        <v>12532</v>
      </c>
      <c r="G2053" s="11" t="s">
        <v>12533</v>
      </c>
      <c r="H2053" s="11"/>
      <c r="I2053" s="11" t="s">
        <v>12534</v>
      </c>
      <c r="J2053" s="11" t="s">
        <v>12535</v>
      </c>
      <c r="K2053" s="11" t="s">
        <v>12536</v>
      </c>
      <c r="L2053" s="11" t="s">
        <v>12537</v>
      </c>
      <c r="M2053" s="11" t="s">
        <v>12538</v>
      </c>
      <c r="N2053" s="14" t="n">
        <v>3</v>
      </c>
      <c r="O2053" s="14" t="n">
        <v>3</v>
      </c>
      <c r="P2053" s="14" t="n">
        <v>3</v>
      </c>
      <c r="Q2053" s="14"/>
      <c r="R2053" s="12" t="n">
        <f aca="false">IF(OR(N2053="",P2053=""),"",ROUND(N2053*O2053/P2053,1))</f>
        <v>3</v>
      </c>
      <c r="S2053" s="13" t="n">
        <f aca="false">IF(R2053="","",IF(Q2053="Y",1,IF(P2053&gt;='Read me'!$B$16,3,IF(AND(R2053&gt;='Read me'!$B$14,P2053&lt;='Read me'!$B$15),1,2))))</f>
        <v>2</v>
      </c>
    </row>
    <row r="2054" customFormat="false" ht="23.85" hidden="false" customHeight="false" outlineLevel="0" collapsed="false">
      <c r="A2054" s="11" t="s">
        <v>12539</v>
      </c>
      <c r="B2054" s="11" t="s">
        <v>49</v>
      </c>
      <c r="C2054" s="11" t="s">
        <v>423</v>
      </c>
      <c r="D2054" s="11" t="s">
        <v>424</v>
      </c>
      <c r="E2054" s="11" t="s">
        <v>1372</v>
      </c>
      <c r="F2054" s="11" t="s">
        <v>12540</v>
      </c>
      <c r="G2054" s="11" t="s">
        <v>12541</v>
      </c>
      <c r="H2054" s="11"/>
      <c r="I2054" s="11" t="s">
        <v>12542</v>
      </c>
      <c r="J2054" s="11" t="s">
        <v>12543</v>
      </c>
      <c r="K2054" s="11" t="s">
        <v>12544</v>
      </c>
      <c r="L2054" s="11" t="s">
        <v>12545</v>
      </c>
      <c r="M2054" s="11" t="s">
        <v>12546</v>
      </c>
      <c r="N2054" s="14" t="n">
        <v>2</v>
      </c>
      <c r="O2054" s="14" t="n">
        <v>3</v>
      </c>
      <c r="P2054" s="14" t="n">
        <v>4</v>
      </c>
      <c r="Q2054" s="14"/>
      <c r="R2054" s="12" t="n">
        <f aca="false">IF(OR(N2054="",P2054=""),"",ROUND(N2054*O2054/P2054,1))</f>
        <v>1.5</v>
      </c>
      <c r="S2054" s="13" t="n">
        <f aca="false">IF(R2054="","",IF(Q2054="Y",1,IF(P2054&gt;='Read me'!$B$16,3,IF(AND(R2054&gt;='Read me'!$B$14,P2054&lt;='Read me'!$B$15),1,2))))</f>
        <v>3</v>
      </c>
    </row>
    <row r="2055" customFormat="false" ht="35.05" hidden="false" customHeight="false" outlineLevel="0" collapsed="false">
      <c r="A2055" s="11" t="s">
        <v>12547</v>
      </c>
      <c r="B2055" s="11" t="s">
        <v>49</v>
      </c>
      <c r="C2055" s="11" t="s">
        <v>423</v>
      </c>
      <c r="D2055" s="11" t="s">
        <v>424</v>
      </c>
      <c r="E2055" s="11" t="s">
        <v>1372</v>
      </c>
      <c r="F2055" s="11" t="s">
        <v>12548</v>
      </c>
      <c r="G2055" s="11" t="s">
        <v>12549</v>
      </c>
      <c r="H2055" s="11"/>
      <c r="I2055" s="11" t="s">
        <v>12550</v>
      </c>
      <c r="J2055" s="11" t="s">
        <v>12551</v>
      </c>
      <c r="K2055" s="11" t="s">
        <v>12552</v>
      </c>
      <c r="L2055" s="11" t="s">
        <v>12553</v>
      </c>
      <c r="M2055" s="11" t="s">
        <v>1256</v>
      </c>
      <c r="N2055" s="14" t="n">
        <v>3</v>
      </c>
      <c r="O2055" s="14" t="n">
        <v>3</v>
      </c>
      <c r="P2055" s="14" t="n">
        <v>5</v>
      </c>
      <c r="Q2055" s="14"/>
      <c r="R2055" s="12" t="n">
        <f aca="false">IF(OR(N2055="",P2055=""),"",ROUND(N2055*O2055/P2055,1))</f>
        <v>1.8</v>
      </c>
      <c r="S2055" s="13" t="n">
        <f aca="false">IF(R2055="","",IF(Q2055="Y",1,IF(P2055&gt;='Read me'!$B$16,3,IF(AND(R2055&gt;='Read me'!$B$14,P2055&lt;='Read me'!$B$15),1,2))))</f>
        <v>3</v>
      </c>
    </row>
    <row r="2056" customFormat="false" ht="23.85" hidden="false" customHeight="false" outlineLevel="0" collapsed="false">
      <c r="A2056" s="11" t="s">
        <v>12554</v>
      </c>
      <c r="B2056" s="11" t="s">
        <v>49</v>
      </c>
      <c r="C2056" s="11" t="s">
        <v>423</v>
      </c>
      <c r="D2056" s="11" t="s">
        <v>424</v>
      </c>
      <c r="E2056" s="11" t="s">
        <v>1372</v>
      </c>
      <c r="F2056" s="11" t="s">
        <v>12555</v>
      </c>
      <c r="G2056" s="11" t="s">
        <v>12556</v>
      </c>
      <c r="H2056" s="11"/>
      <c r="I2056" s="11" t="s">
        <v>12557</v>
      </c>
      <c r="J2056" s="11" t="s">
        <v>12558</v>
      </c>
      <c r="K2056" s="11" t="s">
        <v>1028</v>
      </c>
      <c r="L2056" s="11" t="s">
        <v>12559</v>
      </c>
      <c r="M2056" s="11" t="s">
        <v>12560</v>
      </c>
      <c r="N2056" s="14" t="n">
        <v>2</v>
      </c>
      <c r="O2056" s="14" t="n">
        <v>2</v>
      </c>
      <c r="P2056" s="14" t="n">
        <v>3</v>
      </c>
      <c r="Q2056" s="14"/>
      <c r="R2056" s="12" t="n">
        <f aca="false">IF(OR(N2056="",P2056=""),"",ROUND(N2056*O2056/P2056,1))</f>
        <v>1.3</v>
      </c>
      <c r="S2056" s="13" t="n">
        <f aca="false">IF(R2056="","",IF(Q2056="Y",1,IF(P2056&gt;='Read me'!$B$16,3,IF(AND(R2056&gt;='Read me'!$B$14,P2056&lt;='Read me'!$B$15),1,2))))</f>
        <v>2</v>
      </c>
    </row>
    <row r="2057" customFormat="false" ht="35.05" hidden="false" customHeight="false" outlineLevel="0" collapsed="false">
      <c r="A2057" s="11" t="s">
        <v>12561</v>
      </c>
      <c r="B2057" s="11" t="s">
        <v>49</v>
      </c>
      <c r="C2057" s="11" t="s">
        <v>423</v>
      </c>
      <c r="D2057" s="11" t="s">
        <v>424</v>
      </c>
      <c r="E2057" s="11" t="s">
        <v>1372</v>
      </c>
      <c r="F2057" s="11" t="s">
        <v>12562</v>
      </c>
      <c r="G2057" s="11" t="s">
        <v>12563</v>
      </c>
      <c r="H2057" s="11"/>
      <c r="I2057" s="11" t="s">
        <v>12564</v>
      </c>
      <c r="J2057" s="11" t="s">
        <v>12565</v>
      </c>
      <c r="K2057" s="11" t="s">
        <v>12566</v>
      </c>
      <c r="L2057" s="11" t="s">
        <v>12567</v>
      </c>
      <c r="M2057" s="11" t="s">
        <v>1256</v>
      </c>
      <c r="N2057" s="14" t="n">
        <v>4</v>
      </c>
      <c r="O2057" s="14" t="n">
        <v>3</v>
      </c>
      <c r="P2057" s="14" t="n">
        <v>5</v>
      </c>
      <c r="Q2057" s="14"/>
      <c r="R2057" s="12" t="n">
        <f aca="false">IF(OR(N2057="",P2057=""),"",ROUND(N2057*O2057/P2057,1))</f>
        <v>2.4</v>
      </c>
      <c r="S2057" s="13" t="n">
        <f aca="false">IF(R2057="","",IF(Q2057="Y",1,IF(P2057&gt;='Read me'!$B$16,3,IF(AND(R2057&gt;='Read me'!$B$14,P2057&lt;='Read me'!$B$15),1,2))))</f>
        <v>3</v>
      </c>
    </row>
    <row r="2058" customFormat="false" ht="23.85" hidden="false" customHeight="false" outlineLevel="0" collapsed="false">
      <c r="A2058" s="11" t="s">
        <v>12568</v>
      </c>
      <c r="B2058" s="11" t="s">
        <v>49</v>
      </c>
      <c r="C2058" s="11" t="s">
        <v>423</v>
      </c>
      <c r="D2058" s="11" t="s">
        <v>424</v>
      </c>
      <c r="E2058" s="11" t="s">
        <v>1372</v>
      </c>
      <c r="F2058" s="11" t="s">
        <v>12569</v>
      </c>
      <c r="G2058" s="11" t="s">
        <v>12570</v>
      </c>
      <c r="H2058" s="11"/>
      <c r="I2058" s="11" t="s">
        <v>12571</v>
      </c>
      <c r="J2058" s="11" t="s">
        <v>12572</v>
      </c>
      <c r="K2058" s="11" t="s">
        <v>12573</v>
      </c>
      <c r="L2058" s="11" t="s">
        <v>12574</v>
      </c>
      <c r="M2058" s="11"/>
      <c r="N2058" s="14" t="n">
        <v>2</v>
      </c>
      <c r="O2058" s="14" t="n">
        <v>2</v>
      </c>
      <c r="P2058" s="14" t="n">
        <v>5</v>
      </c>
      <c r="Q2058" s="14"/>
      <c r="R2058" s="12" t="n">
        <f aca="false">IF(OR(N2058="",P2058=""),"",ROUND(N2058*O2058/P2058,1))</f>
        <v>0.8</v>
      </c>
      <c r="S2058" s="13" t="n">
        <f aca="false">IF(R2058="","",IF(Q2058="Y",1,IF(P2058&gt;='Read me'!$B$16,3,IF(AND(R2058&gt;='Read me'!$B$14,P2058&lt;='Read me'!$B$15),1,2))))</f>
        <v>3</v>
      </c>
    </row>
    <row r="2059" customFormat="false" ht="23.85" hidden="false" customHeight="false" outlineLevel="0" collapsed="false">
      <c r="A2059" s="11" t="s">
        <v>12575</v>
      </c>
      <c r="B2059" s="11" t="s">
        <v>49</v>
      </c>
      <c r="C2059" s="11" t="s">
        <v>423</v>
      </c>
      <c r="D2059" s="11" t="s">
        <v>424</v>
      </c>
      <c r="E2059" s="11" t="s">
        <v>1372</v>
      </c>
      <c r="F2059" s="11" t="s">
        <v>12576</v>
      </c>
      <c r="G2059" s="11" t="s">
        <v>12577</v>
      </c>
      <c r="H2059" s="11"/>
      <c r="I2059" s="11" t="s">
        <v>12578</v>
      </c>
      <c r="J2059" s="11" t="s">
        <v>12579</v>
      </c>
      <c r="K2059" s="11" t="s">
        <v>3996</v>
      </c>
      <c r="L2059" s="11" t="s">
        <v>12580</v>
      </c>
      <c r="M2059" s="11" t="s">
        <v>12581</v>
      </c>
      <c r="N2059" s="14" t="n">
        <v>3</v>
      </c>
      <c r="O2059" s="14" t="n">
        <v>3</v>
      </c>
      <c r="P2059" s="14" t="n">
        <v>2</v>
      </c>
      <c r="Q2059" s="14"/>
      <c r="R2059" s="12" t="n">
        <f aca="false">IF(OR(N2059="",P2059=""),"",ROUND(N2059*O2059/P2059,1))</f>
        <v>4.5</v>
      </c>
      <c r="S2059" s="13" t="n">
        <f aca="false">IF(R2059="","",IF(Q2059="Y",1,IF(P2059&gt;='Read me'!$B$16,3,IF(AND(R2059&gt;='Read me'!$B$14,P2059&lt;='Read me'!$B$15),1,2))))</f>
        <v>2</v>
      </c>
    </row>
    <row r="2060" customFormat="false" ht="23.85" hidden="false" customHeight="false" outlineLevel="0" collapsed="false">
      <c r="A2060" s="11" t="s">
        <v>12582</v>
      </c>
      <c r="B2060" s="11" t="s">
        <v>49</v>
      </c>
      <c r="C2060" s="11" t="s">
        <v>423</v>
      </c>
      <c r="D2060" s="11" t="s">
        <v>424</v>
      </c>
      <c r="E2060" s="11" t="s">
        <v>1372</v>
      </c>
      <c r="F2060" s="11" t="s">
        <v>12583</v>
      </c>
      <c r="G2060" s="11" t="s">
        <v>12584</v>
      </c>
      <c r="H2060" s="11"/>
      <c r="I2060" s="11" t="s">
        <v>12585</v>
      </c>
      <c r="J2060" s="11" t="s">
        <v>12586</v>
      </c>
      <c r="K2060" s="11" t="s">
        <v>1028</v>
      </c>
      <c r="L2060" s="11" t="s">
        <v>12587</v>
      </c>
      <c r="M2060" s="11" t="s">
        <v>12588</v>
      </c>
      <c r="N2060" s="14" t="n">
        <v>3</v>
      </c>
      <c r="O2060" s="14" t="n">
        <v>2</v>
      </c>
      <c r="P2060" s="14" t="n">
        <v>2</v>
      </c>
      <c r="Q2060" s="14"/>
      <c r="R2060" s="12" t="n">
        <f aca="false">IF(OR(N2060="",P2060=""),"",ROUND(N2060*O2060/P2060,1))</f>
        <v>3</v>
      </c>
      <c r="S2060" s="13" t="n">
        <f aca="false">IF(R2060="","",IF(Q2060="Y",1,IF(P2060&gt;='Read me'!$B$16,3,IF(AND(R2060&gt;='Read me'!$B$14,P2060&lt;='Read me'!$B$15),1,2))))</f>
        <v>2</v>
      </c>
    </row>
    <row r="2061" customFormat="false" ht="35.05" hidden="false" customHeight="false" outlineLevel="0" collapsed="false">
      <c r="A2061" s="11" t="s">
        <v>12589</v>
      </c>
      <c r="B2061" s="11" t="s">
        <v>49</v>
      </c>
      <c r="C2061" s="11" t="s">
        <v>423</v>
      </c>
      <c r="D2061" s="11" t="s">
        <v>424</v>
      </c>
      <c r="E2061" s="11" t="s">
        <v>1372</v>
      </c>
      <c r="F2061" s="11" t="s">
        <v>12590</v>
      </c>
      <c r="G2061" s="11" t="s">
        <v>12591</v>
      </c>
      <c r="H2061" s="11"/>
      <c r="I2061" s="11" t="s">
        <v>12592</v>
      </c>
      <c r="J2061" s="11" t="s">
        <v>12593</v>
      </c>
      <c r="K2061" s="11" t="s">
        <v>12594</v>
      </c>
      <c r="L2061" s="11" t="s">
        <v>12595</v>
      </c>
      <c r="M2061" s="11"/>
      <c r="N2061" s="14" t="n">
        <v>2</v>
      </c>
      <c r="O2061" s="14" t="n">
        <v>3</v>
      </c>
      <c r="P2061" s="14" t="n">
        <v>3</v>
      </c>
      <c r="Q2061" s="14"/>
      <c r="R2061" s="12" t="n">
        <f aca="false">IF(OR(N2061="",P2061=""),"",ROUND(N2061*O2061/P2061,1))</f>
        <v>2</v>
      </c>
      <c r="S2061" s="13" t="n">
        <f aca="false">IF(R2061="","",IF(Q2061="Y",1,IF(P2061&gt;='Read me'!$B$16,3,IF(AND(R2061&gt;='Read me'!$B$14,P2061&lt;='Read me'!$B$15),1,2))))</f>
        <v>2</v>
      </c>
    </row>
    <row r="2062" customFormat="false" ht="23.85" hidden="false" customHeight="false" outlineLevel="0" collapsed="false">
      <c r="A2062" s="11" t="s">
        <v>12596</v>
      </c>
      <c r="B2062" s="11" t="s">
        <v>49</v>
      </c>
      <c r="C2062" s="11" t="s">
        <v>423</v>
      </c>
      <c r="D2062" s="11" t="s">
        <v>424</v>
      </c>
      <c r="E2062" s="11" t="s">
        <v>1372</v>
      </c>
      <c r="F2062" s="11" t="s">
        <v>12597</v>
      </c>
      <c r="G2062" s="11" t="s">
        <v>12598</v>
      </c>
      <c r="H2062" s="11"/>
      <c r="I2062" s="11" t="s">
        <v>12597</v>
      </c>
      <c r="J2062" s="11" t="s">
        <v>12599</v>
      </c>
      <c r="K2062" s="11" t="s">
        <v>12600</v>
      </c>
      <c r="L2062" s="11" t="s">
        <v>12601</v>
      </c>
      <c r="M2062" s="11" t="s">
        <v>1256</v>
      </c>
      <c r="N2062" s="14" t="n">
        <v>3</v>
      </c>
      <c r="O2062" s="14" t="n">
        <v>3</v>
      </c>
      <c r="P2062" s="14" t="n">
        <v>3</v>
      </c>
      <c r="Q2062" s="14"/>
      <c r="R2062" s="12" t="n">
        <f aca="false">IF(OR(N2062="",P2062=""),"",ROUND(N2062*O2062/P2062,1))</f>
        <v>3</v>
      </c>
      <c r="S2062" s="13" t="n">
        <f aca="false">IF(R2062="","",IF(Q2062="Y",1,IF(P2062&gt;='Read me'!$B$16,3,IF(AND(R2062&gt;='Read me'!$B$14,P2062&lt;='Read me'!$B$15),1,2))))</f>
        <v>2</v>
      </c>
    </row>
    <row r="2063" customFormat="false" ht="35.05" hidden="false" customHeight="false" outlineLevel="0" collapsed="false">
      <c r="A2063" s="11" t="s">
        <v>12602</v>
      </c>
      <c r="B2063" s="11" t="s">
        <v>49</v>
      </c>
      <c r="C2063" s="11" t="s">
        <v>423</v>
      </c>
      <c r="D2063" s="11" t="s">
        <v>424</v>
      </c>
      <c r="E2063" s="11" t="s">
        <v>1372</v>
      </c>
      <c r="F2063" s="11" t="s">
        <v>12446</v>
      </c>
      <c r="G2063" s="11" t="s">
        <v>12440</v>
      </c>
      <c r="H2063" s="11"/>
      <c r="I2063" s="11" t="s">
        <v>12603</v>
      </c>
      <c r="J2063" s="11" t="s">
        <v>12604</v>
      </c>
      <c r="K2063" s="11" t="s">
        <v>12605</v>
      </c>
      <c r="L2063" s="11" t="s">
        <v>12606</v>
      </c>
      <c r="M2063" s="11" t="s">
        <v>12607</v>
      </c>
      <c r="N2063" s="14" t="n">
        <v>4</v>
      </c>
      <c r="O2063" s="14" t="n">
        <v>4</v>
      </c>
      <c r="P2063" s="14" t="n">
        <v>5</v>
      </c>
      <c r="Q2063" s="14"/>
      <c r="R2063" s="12" t="n">
        <f aca="false">IF(OR(N2063="",P2063=""),"",ROUND(N2063*O2063/P2063,1))</f>
        <v>3.2</v>
      </c>
      <c r="S2063" s="13" t="n">
        <f aca="false">IF(R2063="","",IF(Q2063="Y",1,IF(P2063&gt;='Read me'!$B$16,3,IF(AND(R2063&gt;='Read me'!$B$14,P2063&lt;='Read me'!$B$15),1,2))))</f>
        <v>3</v>
      </c>
    </row>
    <row r="2064" customFormat="false" ht="23.85" hidden="false" customHeight="false" outlineLevel="0" collapsed="false">
      <c r="A2064" s="11" t="s">
        <v>12608</v>
      </c>
      <c r="B2064" s="11" t="s">
        <v>49</v>
      </c>
      <c r="C2064" s="11" t="s">
        <v>423</v>
      </c>
      <c r="D2064" s="11" t="s">
        <v>424</v>
      </c>
      <c r="E2064" s="11" t="s">
        <v>1372</v>
      </c>
      <c r="F2064" s="11" t="s">
        <v>12454</v>
      </c>
      <c r="G2064" s="11" t="s">
        <v>12609</v>
      </c>
      <c r="H2064" s="11"/>
      <c r="I2064" s="11" t="s">
        <v>12610</v>
      </c>
      <c r="J2064" s="11" t="s">
        <v>12611</v>
      </c>
      <c r="K2064" s="11" t="s">
        <v>12612</v>
      </c>
      <c r="L2064" s="11" t="s">
        <v>12613</v>
      </c>
      <c r="M2064" s="11" t="s">
        <v>1256</v>
      </c>
      <c r="N2064" s="14" t="n">
        <v>3</v>
      </c>
      <c r="O2064" s="14" t="n">
        <v>3</v>
      </c>
      <c r="P2064" s="14" t="n">
        <v>5</v>
      </c>
      <c r="Q2064" s="14"/>
      <c r="R2064" s="12" t="n">
        <f aca="false">IF(OR(N2064="",P2064=""),"",ROUND(N2064*O2064/P2064,1))</f>
        <v>1.8</v>
      </c>
      <c r="S2064" s="13" t="n">
        <f aca="false">IF(R2064="","",IF(Q2064="Y",1,IF(P2064&gt;='Read me'!$B$16,3,IF(AND(R2064&gt;='Read me'!$B$14,P2064&lt;='Read me'!$B$15),1,2))))</f>
        <v>3</v>
      </c>
    </row>
    <row r="2065" customFormat="false" ht="23.85" hidden="false" customHeight="false" outlineLevel="0" collapsed="false">
      <c r="A2065" s="11" t="s">
        <v>12614</v>
      </c>
      <c r="B2065" s="11" t="s">
        <v>49</v>
      </c>
      <c r="C2065" s="11" t="s">
        <v>423</v>
      </c>
      <c r="D2065" s="11" t="s">
        <v>424</v>
      </c>
      <c r="E2065" s="11" t="s">
        <v>1372</v>
      </c>
      <c r="F2065" s="11" t="s">
        <v>12615</v>
      </c>
      <c r="G2065" s="11" t="s">
        <v>12616</v>
      </c>
      <c r="H2065" s="11"/>
      <c r="I2065" s="11" t="s">
        <v>12617</v>
      </c>
      <c r="J2065" s="11" t="s">
        <v>12618</v>
      </c>
      <c r="K2065" s="11" t="s">
        <v>3996</v>
      </c>
      <c r="L2065" s="11" t="s">
        <v>12619</v>
      </c>
      <c r="M2065" s="11"/>
      <c r="N2065" s="14" t="n">
        <v>2</v>
      </c>
      <c r="O2065" s="14" t="n">
        <v>2</v>
      </c>
      <c r="P2065" s="14" t="n">
        <v>2</v>
      </c>
      <c r="Q2065" s="14"/>
      <c r="R2065" s="12" t="n">
        <f aca="false">IF(OR(N2065="",P2065=""),"",ROUND(N2065*O2065/P2065,1))</f>
        <v>2</v>
      </c>
      <c r="S2065" s="13" t="n">
        <f aca="false">IF(R2065="","",IF(Q2065="Y",1,IF(P2065&gt;='Read me'!$B$16,3,IF(AND(R2065&gt;='Read me'!$B$14,P2065&lt;='Read me'!$B$15),1,2))))</f>
        <v>2</v>
      </c>
    </row>
    <row r="2066" customFormat="false" ht="23.85" hidden="false" customHeight="false" outlineLevel="0" collapsed="false">
      <c r="A2066" s="11" t="s">
        <v>12620</v>
      </c>
      <c r="B2066" s="11" t="s">
        <v>49</v>
      </c>
      <c r="C2066" s="11" t="s">
        <v>423</v>
      </c>
      <c r="D2066" s="11" t="s">
        <v>424</v>
      </c>
      <c r="E2066" s="11" t="s">
        <v>1372</v>
      </c>
      <c r="F2066" s="11" t="s">
        <v>12621</v>
      </c>
      <c r="G2066" s="11" t="s">
        <v>12622</v>
      </c>
      <c r="H2066" s="11"/>
      <c r="I2066" s="11" t="s">
        <v>12623</v>
      </c>
      <c r="J2066" s="11" t="s">
        <v>12624</v>
      </c>
      <c r="K2066" s="11" t="s">
        <v>12625</v>
      </c>
      <c r="L2066" s="11" t="s">
        <v>12626</v>
      </c>
      <c r="M2066" s="11"/>
      <c r="N2066" s="14" t="n">
        <v>3</v>
      </c>
      <c r="O2066" s="14" t="n">
        <v>3</v>
      </c>
      <c r="P2066" s="14" t="n">
        <v>4</v>
      </c>
      <c r="Q2066" s="14"/>
      <c r="R2066" s="12" t="n">
        <f aca="false">IF(OR(N2066="",P2066=""),"",ROUND(N2066*O2066/P2066,1))</f>
        <v>2.3</v>
      </c>
      <c r="S2066" s="13" t="n">
        <f aca="false">IF(R2066="","",IF(Q2066="Y",1,IF(P2066&gt;='Read me'!$B$16,3,IF(AND(R2066&gt;='Read me'!$B$14,P2066&lt;='Read me'!$B$15),1,2))))</f>
        <v>3</v>
      </c>
    </row>
    <row r="2067" customFormat="false" ht="23.85" hidden="false" customHeight="false" outlineLevel="0" collapsed="false">
      <c r="A2067" s="11" t="s">
        <v>12627</v>
      </c>
      <c r="B2067" s="11" t="s">
        <v>49</v>
      </c>
      <c r="C2067" s="11" t="s">
        <v>423</v>
      </c>
      <c r="D2067" s="11" t="s">
        <v>424</v>
      </c>
      <c r="E2067" s="11" t="s">
        <v>1372</v>
      </c>
      <c r="F2067" s="11" t="s">
        <v>12628</v>
      </c>
      <c r="G2067" s="11" t="s">
        <v>12629</v>
      </c>
      <c r="H2067" s="11"/>
      <c r="I2067" s="11" t="s">
        <v>12630</v>
      </c>
      <c r="J2067" s="11" t="s">
        <v>12631</v>
      </c>
      <c r="K2067" s="11" t="s">
        <v>12632</v>
      </c>
      <c r="L2067" s="11" t="s">
        <v>12633</v>
      </c>
      <c r="M2067" s="11" t="s">
        <v>12634</v>
      </c>
      <c r="N2067" s="14" t="n">
        <v>2</v>
      </c>
      <c r="O2067" s="14" t="n">
        <v>3</v>
      </c>
      <c r="P2067" s="14" t="n">
        <v>5</v>
      </c>
      <c r="Q2067" s="14"/>
      <c r="R2067" s="12" t="n">
        <f aca="false">IF(OR(N2067="",P2067=""),"",ROUND(N2067*O2067/P2067,1))</f>
        <v>1.2</v>
      </c>
      <c r="S2067" s="13" t="n">
        <f aca="false">IF(R2067="","",IF(Q2067="Y",1,IF(P2067&gt;='Read me'!$B$16,3,IF(AND(R2067&gt;='Read me'!$B$14,P2067&lt;='Read me'!$B$15),1,2))))</f>
        <v>3</v>
      </c>
    </row>
    <row r="2068" customFormat="false" ht="35.05" hidden="false" customHeight="false" outlineLevel="0" collapsed="false">
      <c r="A2068" s="11" t="s">
        <v>12635</v>
      </c>
      <c r="B2068" s="11" t="s">
        <v>49</v>
      </c>
      <c r="C2068" s="11" t="s">
        <v>423</v>
      </c>
      <c r="D2068" s="11" t="s">
        <v>424</v>
      </c>
      <c r="E2068" s="11" t="s">
        <v>1372</v>
      </c>
      <c r="F2068" s="11" t="s">
        <v>12636</v>
      </c>
      <c r="G2068" s="11" t="s">
        <v>12637</v>
      </c>
      <c r="H2068" s="11"/>
      <c r="I2068" s="11" t="s">
        <v>12638</v>
      </c>
      <c r="J2068" s="11" t="s">
        <v>12639</v>
      </c>
      <c r="K2068" s="11" t="s">
        <v>12640</v>
      </c>
      <c r="L2068" s="11" t="s">
        <v>12641</v>
      </c>
      <c r="M2068" s="11" t="s">
        <v>12642</v>
      </c>
      <c r="N2068" s="14" t="n">
        <v>2</v>
      </c>
      <c r="O2068" s="14" t="n">
        <v>3</v>
      </c>
      <c r="P2068" s="14" t="n">
        <v>3</v>
      </c>
      <c r="Q2068" s="14"/>
      <c r="R2068" s="12" t="n">
        <f aca="false">IF(OR(N2068="",P2068=""),"",ROUND(N2068*O2068/P2068,1))</f>
        <v>2</v>
      </c>
      <c r="S2068" s="13" t="n">
        <f aca="false">IF(R2068="","",IF(Q2068="Y",1,IF(P2068&gt;='Read me'!$B$16,3,IF(AND(R2068&gt;='Read me'!$B$14,P2068&lt;='Read me'!$B$15),1,2))))</f>
        <v>2</v>
      </c>
    </row>
    <row r="2069" customFormat="false" ht="23.85" hidden="false" customHeight="false" outlineLevel="0" collapsed="false">
      <c r="A2069" s="11" t="s">
        <v>12643</v>
      </c>
      <c r="B2069" s="11" t="s">
        <v>49</v>
      </c>
      <c r="C2069" s="11" t="s">
        <v>423</v>
      </c>
      <c r="D2069" s="11" t="s">
        <v>424</v>
      </c>
      <c r="E2069" s="11" t="s">
        <v>1372</v>
      </c>
      <c r="F2069" s="11" t="s">
        <v>12644</v>
      </c>
      <c r="G2069" s="11" t="s">
        <v>12645</v>
      </c>
      <c r="H2069" s="11"/>
      <c r="I2069" s="11" t="s">
        <v>12646</v>
      </c>
      <c r="J2069" s="11" t="s">
        <v>12647</v>
      </c>
      <c r="K2069" s="11" t="s">
        <v>12648</v>
      </c>
      <c r="L2069" s="11" t="s">
        <v>12649</v>
      </c>
      <c r="M2069" s="11" t="s">
        <v>1256</v>
      </c>
      <c r="N2069" s="14" t="n">
        <v>1</v>
      </c>
      <c r="O2069" s="14" t="n">
        <v>2</v>
      </c>
      <c r="P2069" s="14" t="n">
        <v>3</v>
      </c>
      <c r="Q2069" s="14"/>
      <c r="R2069" s="12" t="n">
        <f aca="false">IF(OR(N2069="",P2069=""),"",ROUND(N2069*O2069/P2069,1))</f>
        <v>0.7</v>
      </c>
      <c r="S2069" s="13" t="n">
        <f aca="false">IF(R2069="","",IF(Q2069="Y",1,IF(P2069&gt;='Read me'!$B$16,3,IF(AND(R2069&gt;='Read me'!$B$14,P2069&lt;='Read me'!$B$15),1,2))))</f>
        <v>2</v>
      </c>
    </row>
    <row r="2070" customFormat="false" ht="23.85" hidden="false" customHeight="false" outlineLevel="0" collapsed="false">
      <c r="A2070" s="11" t="s">
        <v>12650</v>
      </c>
      <c r="B2070" s="11" t="s">
        <v>49</v>
      </c>
      <c r="C2070" s="11" t="s">
        <v>423</v>
      </c>
      <c r="D2070" s="11" t="s">
        <v>424</v>
      </c>
      <c r="E2070" s="11" t="s">
        <v>1372</v>
      </c>
      <c r="F2070" s="11" t="s">
        <v>12651</v>
      </c>
      <c r="G2070" s="11" t="s">
        <v>8531</v>
      </c>
      <c r="H2070" s="11"/>
      <c r="I2070" s="11" t="s">
        <v>12652</v>
      </c>
      <c r="J2070" s="11" t="s">
        <v>12653</v>
      </c>
      <c r="K2070" s="11" t="s">
        <v>12654</v>
      </c>
      <c r="L2070" s="11" t="s">
        <v>12655</v>
      </c>
      <c r="M2070" s="11"/>
      <c r="N2070" s="14" t="n">
        <v>1</v>
      </c>
      <c r="O2070" s="14" t="n">
        <v>3</v>
      </c>
      <c r="P2070" s="14" t="n">
        <v>4</v>
      </c>
      <c r="Q2070" s="14"/>
      <c r="R2070" s="12" t="n">
        <f aca="false">IF(OR(N2070="",P2070=""),"",ROUND(N2070*O2070/P2070,1))</f>
        <v>0.8</v>
      </c>
      <c r="S2070" s="13" t="n">
        <f aca="false">IF(R2070="","",IF(Q2070="Y",1,IF(P2070&gt;='Read me'!$B$16,3,IF(AND(R2070&gt;='Read me'!$B$14,P2070&lt;='Read me'!$B$15),1,2))))</f>
        <v>3</v>
      </c>
    </row>
    <row r="2071" customFormat="false" ht="35.05" hidden="false" customHeight="false" outlineLevel="0" collapsed="false">
      <c r="A2071" s="11" t="s">
        <v>12656</v>
      </c>
      <c r="B2071" s="11" t="s">
        <v>49</v>
      </c>
      <c r="C2071" s="11" t="s">
        <v>426</v>
      </c>
      <c r="D2071" s="11" t="s">
        <v>427</v>
      </c>
      <c r="E2071" s="11" t="s">
        <v>476</v>
      </c>
      <c r="F2071" s="11" t="s">
        <v>12657</v>
      </c>
      <c r="G2071" s="11" t="s">
        <v>12658</v>
      </c>
      <c r="H2071" s="11"/>
      <c r="I2071" s="11" t="s">
        <v>512</v>
      </c>
      <c r="J2071" s="11" t="s">
        <v>12659</v>
      </c>
      <c r="K2071" s="11" t="s">
        <v>12660</v>
      </c>
      <c r="L2071" s="11" t="s">
        <v>12661</v>
      </c>
      <c r="M2071" s="11" t="s">
        <v>12662</v>
      </c>
      <c r="N2071" s="14" t="n">
        <v>1</v>
      </c>
      <c r="O2071" s="14" t="n">
        <v>4</v>
      </c>
      <c r="P2071" s="14" t="n">
        <v>5</v>
      </c>
      <c r="Q2071" s="14"/>
      <c r="R2071" s="12" t="n">
        <f aca="false">IF(OR(N2071="",P2071=""),"",ROUND(N2071*O2071/P2071,1))</f>
        <v>0.8</v>
      </c>
      <c r="S2071" s="13" t="n">
        <f aca="false">IF(R2071="","",IF(Q2071="Y",1,IF(P2071&gt;='Read me'!$B$16,3,IF(AND(R2071&gt;='Read me'!$B$14,P2071&lt;='Read me'!$B$15),1,2))))</f>
        <v>3</v>
      </c>
    </row>
    <row r="2072" customFormat="false" ht="23.85" hidden="false" customHeight="false" outlineLevel="0" collapsed="false">
      <c r="A2072" s="11" t="s">
        <v>12663</v>
      </c>
      <c r="B2072" s="11" t="s">
        <v>49</v>
      </c>
      <c r="C2072" s="11" t="s">
        <v>426</v>
      </c>
      <c r="D2072" s="11" t="s">
        <v>427</v>
      </c>
      <c r="E2072" s="11" t="s">
        <v>476</v>
      </c>
      <c r="F2072" s="11" t="s">
        <v>12664</v>
      </c>
      <c r="G2072" s="11" t="s">
        <v>12665</v>
      </c>
      <c r="H2072" s="11"/>
      <c r="I2072" s="11" t="s">
        <v>512</v>
      </c>
      <c r="J2072" s="11" t="s">
        <v>12666</v>
      </c>
      <c r="K2072" s="11" t="s">
        <v>8414</v>
      </c>
      <c r="L2072" s="11" t="s">
        <v>12667</v>
      </c>
      <c r="M2072" s="11"/>
      <c r="N2072" s="14" t="n">
        <v>1</v>
      </c>
      <c r="O2072" s="14" t="n">
        <v>3</v>
      </c>
      <c r="P2072" s="14" t="n">
        <v>2</v>
      </c>
      <c r="Q2072" s="14"/>
      <c r="R2072" s="12" t="n">
        <f aca="false">IF(OR(N2072="",P2072=""),"",ROUND(N2072*O2072/P2072,1))</f>
        <v>1.5</v>
      </c>
      <c r="S2072" s="13" t="n">
        <f aca="false">IF(R2072="","",IF(Q2072="Y",1,IF(P2072&gt;='Read me'!$B$16,3,IF(AND(R2072&gt;='Read me'!$B$14,P2072&lt;='Read me'!$B$15),1,2))))</f>
        <v>2</v>
      </c>
    </row>
    <row r="2073" customFormat="false" ht="35.05" hidden="false" customHeight="false" outlineLevel="0" collapsed="false">
      <c r="A2073" s="11" t="s">
        <v>12668</v>
      </c>
      <c r="B2073" s="11" t="s">
        <v>49</v>
      </c>
      <c r="C2073" s="11" t="s">
        <v>426</v>
      </c>
      <c r="D2073" s="11" t="s">
        <v>427</v>
      </c>
      <c r="E2073" s="11" t="s">
        <v>626</v>
      </c>
      <c r="F2073" s="11" t="s">
        <v>12669</v>
      </c>
      <c r="G2073" s="11" t="s">
        <v>12670</v>
      </c>
      <c r="H2073" s="11"/>
      <c r="I2073" s="11" t="s">
        <v>12671</v>
      </c>
      <c r="J2073" s="11" t="s">
        <v>12672</v>
      </c>
      <c r="K2073" s="11" t="s">
        <v>12673</v>
      </c>
      <c r="L2073" s="11" t="s">
        <v>12674</v>
      </c>
      <c r="M2073" s="11"/>
      <c r="N2073" s="14" t="n">
        <v>2</v>
      </c>
      <c r="O2073" s="14" t="n">
        <v>5</v>
      </c>
      <c r="P2073" s="14" t="n">
        <v>4</v>
      </c>
      <c r="Q2073" s="14"/>
      <c r="R2073" s="12" t="n">
        <f aca="false">IF(OR(N2073="",P2073=""),"",ROUND(N2073*O2073/P2073,1))</f>
        <v>2.5</v>
      </c>
      <c r="S2073" s="13" t="n">
        <f aca="false">IF(R2073="","",IF(Q2073="Y",1,IF(P2073&gt;='Read me'!$B$16,3,IF(AND(R2073&gt;='Read me'!$B$14,P2073&lt;='Read me'!$B$15),1,2))))</f>
        <v>3</v>
      </c>
    </row>
    <row r="2074" customFormat="false" ht="23.85" hidden="false" customHeight="false" outlineLevel="0" collapsed="false">
      <c r="A2074" s="11" t="s">
        <v>12675</v>
      </c>
      <c r="B2074" s="11" t="s">
        <v>49</v>
      </c>
      <c r="C2074" s="11" t="s">
        <v>426</v>
      </c>
      <c r="D2074" s="11" t="s">
        <v>427</v>
      </c>
      <c r="E2074" s="11" t="s">
        <v>626</v>
      </c>
      <c r="F2074" s="11" t="s">
        <v>12676</v>
      </c>
      <c r="G2074" s="11" t="s">
        <v>12677</v>
      </c>
      <c r="H2074" s="11"/>
      <c r="I2074" s="11" t="s">
        <v>12678</v>
      </c>
      <c r="J2074" s="11" t="s">
        <v>12679</v>
      </c>
      <c r="K2074" s="11" t="s">
        <v>12680</v>
      </c>
      <c r="L2074" s="11" t="s">
        <v>12681</v>
      </c>
      <c r="M2074" s="11" t="s">
        <v>12682</v>
      </c>
      <c r="N2074" s="14" t="n">
        <v>1</v>
      </c>
      <c r="O2074" s="14" t="n">
        <v>4</v>
      </c>
      <c r="P2074" s="14" t="n">
        <v>4</v>
      </c>
      <c r="Q2074" s="14"/>
      <c r="R2074" s="12" t="n">
        <f aca="false">IF(OR(N2074="",P2074=""),"",ROUND(N2074*O2074/P2074,1))</f>
        <v>1</v>
      </c>
      <c r="S2074" s="13" t="n">
        <f aca="false">IF(R2074="","",IF(Q2074="Y",1,IF(P2074&gt;='Read me'!$B$16,3,IF(AND(R2074&gt;='Read me'!$B$14,P2074&lt;='Read me'!$B$15),1,2))))</f>
        <v>3</v>
      </c>
    </row>
    <row r="2075" customFormat="false" ht="57.45" hidden="false" customHeight="false" outlineLevel="0" collapsed="false">
      <c r="A2075" s="11" t="s">
        <v>12683</v>
      </c>
      <c r="B2075" s="11" t="s">
        <v>49</v>
      </c>
      <c r="C2075" s="11" t="s">
        <v>426</v>
      </c>
      <c r="D2075" s="11" t="s">
        <v>427</v>
      </c>
      <c r="E2075" s="11" t="s">
        <v>626</v>
      </c>
      <c r="F2075" s="11" t="s">
        <v>12684</v>
      </c>
      <c r="G2075" s="11" t="s">
        <v>12685</v>
      </c>
      <c r="H2075" s="11"/>
      <c r="I2075" s="11" t="s">
        <v>12686</v>
      </c>
      <c r="J2075" s="11" t="s">
        <v>12687</v>
      </c>
      <c r="K2075" s="11" t="s">
        <v>12688</v>
      </c>
      <c r="L2075" s="11" t="s">
        <v>12689</v>
      </c>
      <c r="M2075" s="11" t="s">
        <v>12690</v>
      </c>
      <c r="N2075" s="14" t="n">
        <v>3</v>
      </c>
      <c r="O2075" s="14" t="n">
        <v>5</v>
      </c>
      <c r="P2075" s="14" t="n">
        <v>4</v>
      </c>
      <c r="Q2075" s="14"/>
      <c r="R2075" s="12" t="n">
        <f aca="false">IF(OR(N2075="",P2075=""),"",ROUND(N2075*O2075/P2075,1))</f>
        <v>3.8</v>
      </c>
      <c r="S2075" s="13" t="n">
        <f aca="false">IF(R2075="","",IF(Q2075="Y",1,IF(P2075&gt;='Read me'!$B$16,3,IF(AND(R2075&gt;='Read me'!$B$14,P2075&lt;='Read me'!$B$15),1,2))))</f>
        <v>3</v>
      </c>
    </row>
    <row r="2076" customFormat="false" ht="23.85" hidden="false" customHeight="false" outlineLevel="0" collapsed="false">
      <c r="A2076" s="11" t="s">
        <v>12691</v>
      </c>
      <c r="B2076" s="11" t="s">
        <v>49</v>
      </c>
      <c r="C2076" s="11" t="s">
        <v>426</v>
      </c>
      <c r="D2076" s="11" t="s">
        <v>427</v>
      </c>
      <c r="E2076" s="11" t="s">
        <v>626</v>
      </c>
      <c r="F2076" s="11" t="s">
        <v>12692</v>
      </c>
      <c r="G2076" s="11" t="s">
        <v>12693</v>
      </c>
      <c r="H2076" s="11"/>
      <c r="I2076" s="11" t="s">
        <v>12694</v>
      </c>
      <c r="J2076" s="11" t="s">
        <v>12695</v>
      </c>
      <c r="K2076" s="11" t="s">
        <v>12696</v>
      </c>
      <c r="L2076" s="11" t="s">
        <v>12697</v>
      </c>
      <c r="M2076" s="11" t="s">
        <v>1256</v>
      </c>
      <c r="N2076" s="14" t="n">
        <v>2</v>
      </c>
      <c r="O2076" s="14" t="n">
        <v>4</v>
      </c>
      <c r="P2076" s="14" t="n">
        <v>4</v>
      </c>
      <c r="Q2076" s="14"/>
      <c r="R2076" s="12" t="n">
        <f aca="false">IF(OR(N2076="",P2076=""),"",ROUND(N2076*O2076/P2076,1))</f>
        <v>2</v>
      </c>
      <c r="S2076" s="13" t="n">
        <f aca="false">IF(R2076="","",IF(Q2076="Y",1,IF(P2076&gt;='Read me'!$B$16,3,IF(AND(R2076&gt;='Read me'!$B$14,P2076&lt;='Read me'!$B$15),1,2))))</f>
        <v>3</v>
      </c>
    </row>
    <row r="2077" customFormat="false" ht="23.85" hidden="false" customHeight="false" outlineLevel="0" collapsed="false">
      <c r="A2077" s="11" t="s">
        <v>12698</v>
      </c>
      <c r="B2077" s="11" t="s">
        <v>49</v>
      </c>
      <c r="C2077" s="11" t="s">
        <v>426</v>
      </c>
      <c r="D2077" s="11" t="s">
        <v>427</v>
      </c>
      <c r="E2077" s="11" t="s">
        <v>751</v>
      </c>
      <c r="F2077" s="11" t="s">
        <v>12669</v>
      </c>
      <c r="G2077" s="11" t="s">
        <v>12699</v>
      </c>
      <c r="H2077" s="11"/>
      <c r="I2077" s="11" t="s">
        <v>12700</v>
      </c>
      <c r="J2077" s="11" t="s">
        <v>12701</v>
      </c>
      <c r="K2077" s="11" t="s">
        <v>12428</v>
      </c>
      <c r="L2077" s="11" t="s">
        <v>12702</v>
      </c>
      <c r="M2077" s="11" t="s">
        <v>1256</v>
      </c>
      <c r="N2077" s="14" t="n">
        <v>2</v>
      </c>
      <c r="O2077" s="14" t="n">
        <v>5</v>
      </c>
      <c r="P2077" s="14" t="n">
        <v>4</v>
      </c>
      <c r="Q2077" s="14"/>
      <c r="R2077" s="12" t="n">
        <f aca="false">IF(OR(N2077="",P2077=""),"",ROUND(N2077*O2077/P2077,1))</f>
        <v>2.5</v>
      </c>
      <c r="S2077" s="13" t="n">
        <f aca="false">IF(R2077="","",IF(Q2077="Y",1,IF(P2077&gt;='Read me'!$B$16,3,IF(AND(R2077&gt;='Read me'!$B$14,P2077&lt;='Read me'!$B$15),1,2))))</f>
        <v>3</v>
      </c>
    </row>
    <row r="2078" customFormat="false" ht="23.85" hidden="false" customHeight="false" outlineLevel="0" collapsed="false">
      <c r="A2078" s="11" t="s">
        <v>12703</v>
      </c>
      <c r="B2078" s="11" t="s">
        <v>49</v>
      </c>
      <c r="C2078" s="11" t="s">
        <v>426</v>
      </c>
      <c r="D2078" s="11" t="s">
        <v>427</v>
      </c>
      <c r="E2078" s="11" t="s">
        <v>751</v>
      </c>
      <c r="F2078" s="11" t="s">
        <v>12684</v>
      </c>
      <c r="G2078" s="11" t="s">
        <v>12699</v>
      </c>
      <c r="H2078" s="11"/>
      <c r="I2078" s="11" t="s">
        <v>12704</v>
      </c>
      <c r="J2078" s="11" t="s">
        <v>12705</v>
      </c>
      <c r="K2078" s="11" t="s">
        <v>990</v>
      </c>
      <c r="L2078" s="11" t="s">
        <v>12706</v>
      </c>
      <c r="M2078" s="11" t="s">
        <v>1256</v>
      </c>
      <c r="N2078" s="14" t="n">
        <v>3</v>
      </c>
      <c r="O2078" s="14" t="n">
        <v>5</v>
      </c>
      <c r="P2078" s="14" t="n">
        <v>4</v>
      </c>
      <c r="Q2078" s="14"/>
      <c r="R2078" s="12" t="n">
        <f aca="false">IF(OR(N2078="",P2078=""),"",ROUND(N2078*O2078/P2078,1))</f>
        <v>3.8</v>
      </c>
      <c r="S2078" s="13" t="n">
        <f aca="false">IF(R2078="","",IF(Q2078="Y",1,IF(P2078&gt;='Read me'!$B$16,3,IF(AND(R2078&gt;='Read me'!$B$14,P2078&lt;='Read me'!$B$15),1,2))))</f>
        <v>3</v>
      </c>
    </row>
    <row r="2079" customFormat="false" ht="23.85" hidden="false" customHeight="false" outlineLevel="0" collapsed="false">
      <c r="A2079" s="11" t="s">
        <v>12707</v>
      </c>
      <c r="B2079" s="11" t="s">
        <v>49</v>
      </c>
      <c r="C2079" s="11" t="s">
        <v>426</v>
      </c>
      <c r="D2079" s="11" t="s">
        <v>427</v>
      </c>
      <c r="E2079" s="11" t="s">
        <v>1187</v>
      </c>
      <c r="F2079" s="11" t="s">
        <v>12708</v>
      </c>
      <c r="G2079" s="11" t="s">
        <v>12709</v>
      </c>
      <c r="H2079" s="11" t="s">
        <v>12127</v>
      </c>
      <c r="I2079" s="11" t="s">
        <v>12710</v>
      </c>
      <c r="J2079" s="11" t="s">
        <v>12711</v>
      </c>
      <c r="K2079" s="11" t="s">
        <v>12130</v>
      </c>
      <c r="L2079" s="11" t="s">
        <v>12712</v>
      </c>
      <c r="M2079" s="11"/>
      <c r="N2079" s="14" t="n">
        <v>2</v>
      </c>
      <c r="O2079" s="14" t="n">
        <v>3</v>
      </c>
      <c r="P2079" s="14" t="n">
        <v>3</v>
      </c>
      <c r="Q2079" s="14"/>
      <c r="R2079" s="12" t="n">
        <f aca="false">IF(OR(N2079="",P2079=""),"",ROUND(N2079*O2079/P2079,1))</f>
        <v>2</v>
      </c>
      <c r="S2079" s="13" t="n">
        <f aca="false">IF(R2079="","",IF(Q2079="Y",1,IF(P2079&gt;='Read me'!$B$16,3,IF(AND(R2079&gt;='Read me'!$B$14,P2079&lt;='Read me'!$B$15),1,2))))</f>
        <v>2</v>
      </c>
    </row>
    <row r="2080" customFormat="false" ht="57.45" hidden="false" customHeight="false" outlineLevel="0" collapsed="false">
      <c r="A2080" s="11" t="s">
        <v>12713</v>
      </c>
      <c r="B2080" s="11" t="s">
        <v>49</v>
      </c>
      <c r="C2080" s="11" t="s">
        <v>426</v>
      </c>
      <c r="D2080" s="11" t="s">
        <v>427</v>
      </c>
      <c r="E2080" s="11" t="s">
        <v>1187</v>
      </c>
      <c r="F2080" s="11" t="s">
        <v>12708</v>
      </c>
      <c r="G2080" s="11" t="s">
        <v>12714</v>
      </c>
      <c r="H2080" s="11" t="s">
        <v>1286</v>
      </c>
      <c r="I2080" s="11" t="s">
        <v>12715</v>
      </c>
      <c r="J2080" s="11" t="s">
        <v>12716</v>
      </c>
      <c r="K2080" s="11" t="s">
        <v>9864</v>
      </c>
      <c r="L2080" s="11" t="s">
        <v>12717</v>
      </c>
      <c r="M2080" s="11" t="s">
        <v>12718</v>
      </c>
      <c r="N2080" s="14" t="n">
        <v>2</v>
      </c>
      <c r="O2080" s="14" t="n">
        <v>3</v>
      </c>
      <c r="P2080" s="14" t="n">
        <v>4</v>
      </c>
      <c r="Q2080" s="14"/>
      <c r="R2080" s="12" t="n">
        <f aca="false">IF(OR(N2080="",P2080=""),"",ROUND(N2080*O2080/P2080,1))</f>
        <v>1.5</v>
      </c>
      <c r="S2080" s="13" t="n">
        <f aca="false">IF(R2080="","",IF(Q2080="Y",1,IF(P2080&gt;='Read me'!$B$16,3,IF(AND(R2080&gt;='Read me'!$B$14,P2080&lt;='Read me'!$B$15),1,2))))</f>
        <v>3</v>
      </c>
    </row>
    <row r="2081" customFormat="false" ht="57.45" hidden="false" customHeight="false" outlineLevel="0" collapsed="false">
      <c r="A2081" s="11" t="s">
        <v>12719</v>
      </c>
      <c r="B2081" s="11" t="s">
        <v>49</v>
      </c>
      <c r="C2081" s="11" t="s">
        <v>426</v>
      </c>
      <c r="D2081" s="11" t="s">
        <v>427</v>
      </c>
      <c r="E2081" s="11" t="s">
        <v>1187</v>
      </c>
      <c r="F2081" s="11" t="s">
        <v>12708</v>
      </c>
      <c r="G2081" s="11" t="s">
        <v>12720</v>
      </c>
      <c r="H2081" s="11" t="s">
        <v>12721</v>
      </c>
      <c r="I2081" s="11" t="s">
        <v>12722</v>
      </c>
      <c r="J2081" s="11" t="s">
        <v>12723</v>
      </c>
      <c r="K2081" s="11" t="s">
        <v>12724</v>
      </c>
      <c r="L2081" s="11" t="s">
        <v>12725</v>
      </c>
      <c r="M2081" s="11" t="s">
        <v>12726</v>
      </c>
      <c r="N2081" s="14" t="n">
        <v>1</v>
      </c>
      <c r="O2081" s="14" t="n">
        <v>4</v>
      </c>
      <c r="P2081" s="14" t="n">
        <v>5</v>
      </c>
      <c r="Q2081" s="14"/>
      <c r="R2081" s="12" t="n">
        <f aca="false">IF(OR(N2081="",P2081=""),"",ROUND(N2081*O2081/P2081,1))</f>
        <v>0.8</v>
      </c>
      <c r="S2081" s="13" t="n">
        <f aca="false">IF(R2081="","",IF(Q2081="Y",1,IF(P2081&gt;='Read me'!$B$16,3,IF(AND(R2081&gt;='Read me'!$B$14,P2081&lt;='Read me'!$B$15),1,2))))</f>
        <v>3</v>
      </c>
    </row>
    <row r="2082" customFormat="false" ht="23.85" hidden="false" customHeight="false" outlineLevel="0" collapsed="false">
      <c r="A2082" s="11" t="s">
        <v>12727</v>
      </c>
      <c r="B2082" s="11" t="s">
        <v>49</v>
      </c>
      <c r="C2082" s="11" t="s">
        <v>426</v>
      </c>
      <c r="D2082" s="11" t="s">
        <v>427</v>
      </c>
      <c r="E2082" s="11" t="s">
        <v>1187</v>
      </c>
      <c r="F2082" s="11" t="s">
        <v>12669</v>
      </c>
      <c r="G2082" s="11" t="s">
        <v>12728</v>
      </c>
      <c r="H2082" s="11" t="s">
        <v>4903</v>
      </c>
      <c r="I2082" s="11" t="s">
        <v>12729</v>
      </c>
      <c r="J2082" s="11" t="s">
        <v>12730</v>
      </c>
      <c r="K2082" s="11" t="s">
        <v>935</v>
      </c>
      <c r="L2082" s="11" t="s">
        <v>12731</v>
      </c>
      <c r="M2082" s="11"/>
      <c r="N2082" s="14" t="n">
        <v>1</v>
      </c>
      <c r="O2082" s="14" t="n">
        <v>2</v>
      </c>
      <c r="P2082" s="14" t="n">
        <v>2</v>
      </c>
      <c r="Q2082" s="14"/>
      <c r="R2082" s="12" t="n">
        <f aca="false">IF(OR(N2082="",P2082=""),"",ROUND(N2082*O2082/P2082,1))</f>
        <v>1</v>
      </c>
      <c r="S2082" s="13" t="n">
        <f aca="false">IF(R2082="","",IF(Q2082="Y",1,IF(P2082&gt;='Read me'!$B$16,3,IF(AND(R2082&gt;='Read me'!$B$14,P2082&lt;='Read me'!$B$15),1,2))))</f>
        <v>2</v>
      </c>
    </row>
    <row r="2083" customFormat="false" ht="35.05" hidden="false" customHeight="false" outlineLevel="0" collapsed="false">
      <c r="A2083" s="11" t="s">
        <v>12732</v>
      </c>
      <c r="B2083" s="11" t="s">
        <v>49</v>
      </c>
      <c r="C2083" s="11" t="s">
        <v>426</v>
      </c>
      <c r="D2083" s="11" t="s">
        <v>427</v>
      </c>
      <c r="E2083" s="11" t="s">
        <v>1187</v>
      </c>
      <c r="F2083" s="11" t="s">
        <v>12733</v>
      </c>
      <c r="G2083" s="11" t="s">
        <v>12734</v>
      </c>
      <c r="H2083" s="11" t="s">
        <v>12735</v>
      </c>
      <c r="I2083" s="11" t="s">
        <v>12736</v>
      </c>
      <c r="J2083" s="11" t="s">
        <v>12737</v>
      </c>
      <c r="K2083" s="11" t="s">
        <v>12738</v>
      </c>
      <c r="L2083" s="11" t="s">
        <v>12739</v>
      </c>
      <c r="M2083" s="11"/>
      <c r="N2083" s="14" t="n">
        <v>1</v>
      </c>
      <c r="O2083" s="14" t="n">
        <v>4</v>
      </c>
      <c r="P2083" s="14" t="n">
        <v>4</v>
      </c>
      <c r="Q2083" s="14"/>
      <c r="R2083" s="12" t="n">
        <f aca="false">IF(OR(N2083="",P2083=""),"",ROUND(N2083*O2083/P2083,1))</f>
        <v>1</v>
      </c>
      <c r="S2083" s="13" t="n">
        <f aca="false">IF(R2083="","",IF(Q2083="Y",1,IF(P2083&gt;='Read me'!$B$16,3,IF(AND(R2083&gt;='Read me'!$B$14,P2083&lt;='Read me'!$B$15),1,2))))</f>
        <v>3</v>
      </c>
    </row>
    <row r="2084" customFormat="false" ht="23.85" hidden="false" customHeight="false" outlineLevel="0" collapsed="false">
      <c r="A2084" s="11" t="s">
        <v>12740</v>
      </c>
      <c r="B2084" s="11" t="s">
        <v>49</v>
      </c>
      <c r="C2084" s="11" t="s">
        <v>426</v>
      </c>
      <c r="D2084" s="11" t="s">
        <v>427</v>
      </c>
      <c r="E2084" s="11" t="s">
        <v>1187</v>
      </c>
      <c r="F2084" s="11" t="s">
        <v>12684</v>
      </c>
      <c r="G2084" s="11" t="s">
        <v>12741</v>
      </c>
      <c r="H2084" s="11" t="s">
        <v>2118</v>
      </c>
      <c r="I2084" s="11" t="s">
        <v>12742</v>
      </c>
      <c r="J2084" s="11" t="s">
        <v>12743</v>
      </c>
      <c r="K2084" s="11" t="s">
        <v>935</v>
      </c>
      <c r="L2084" s="11" t="s">
        <v>4535</v>
      </c>
      <c r="M2084" s="11"/>
      <c r="N2084" s="14" t="n">
        <v>2</v>
      </c>
      <c r="O2084" s="14" t="n">
        <v>2</v>
      </c>
      <c r="P2084" s="14" t="n">
        <v>2</v>
      </c>
      <c r="Q2084" s="14"/>
      <c r="R2084" s="12" t="n">
        <f aca="false">IF(OR(N2084="",P2084=""),"",ROUND(N2084*O2084/P2084,1))</f>
        <v>2</v>
      </c>
      <c r="S2084" s="13" t="n">
        <f aca="false">IF(R2084="","",IF(Q2084="Y",1,IF(P2084&gt;='Read me'!$B$16,3,IF(AND(R2084&gt;='Read me'!$B$14,P2084&lt;='Read me'!$B$15),1,2))))</f>
        <v>2</v>
      </c>
    </row>
    <row r="2085" customFormat="false" ht="23.85" hidden="false" customHeight="false" outlineLevel="0" collapsed="false">
      <c r="A2085" s="11" t="s">
        <v>12744</v>
      </c>
      <c r="B2085" s="11" t="s">
        <v>49</v>
      </c>
      <c r="C2085" s="11" t="s">
        <v>426</v>
      </c>
      <c r="D2085" s="11" t="s">
        <v>427</v>
      </c>
      <c r="E2085" s="11" t="s">
        <v>1187</v>
      </c>
      <c r="F2085" s="11" t="s">
        <v>12684</v>
      </c>
      <c r="G2085" s="11" t="s">
        <v>12745</v>
      </c>
      <c r="H2085" s="11" t="s">
        <v>12746</v>
      </c>
      <c r="I2085" s="11" t="s">
        <v>12747</v>
      </c>
      <c r="J2085" s="11" t="s">
        <v>12748</v>
      </c>
      <c r="K2085" s="11" t="s">
        <v>12749</v>
      </c>
      <c r="L2085" s="11" t="s">
        <v>12750</v>
      </c>
      <c r="M2085" s="11"/>
      <c r="N2085" s="14" t="n">
        <v>1</v>
      </c>
      <c r="O2085" s="14" t="n">
        <v>2</v>
      </c>
      <c r="P2085" s="14" t="n">
        <v>2</v>
      </c>
      <c r="Q2085" s="14"/>
      <c r="R2085" s="12" t="n">
        <f aca="false">IF(OR(N2085="",P2085=""),"",ROUND(N2085*O2085/P2085,1))</f>
        <v>1</v>
      </c>
      <c r="S2085" s="13" t="n">
        <f aca="false">IF(R2085="","",IF(Q2085="Y",1,IF(P2085&gt;='Read me'!$B$16,3,IF(AND(R2085&gt;='Read me'!$B$14,P2085&lt;='Read me'!$B$15),1,2))))</f>
        <v>2</v>
      </c>
    </row>
    <row r="2086" customFormat="false" ht="23.85" hidden="false" customHeight="false" outlineLevel="0" collapsed="false">
      <c r="A2086" s="11" t="s">
        <v>12751</v>
      </c>
      <c r="B2086" s="11" t="s">
        <v>49</v>
      </c>
      <c r="C2086" s="11" t="s">
        <v>426</v>
      </c>
      <c r="D2086" s="11" t="s">
        <v>427</v>
      </c>
      <c r="E2086" s="11" t="s">
        <v>1187</v>
      </c>
      <c r="F2086" s="11" t="s">
        <v>12752</v>
      </c>
      <c r="G2086" s="11" t="s">
        <v>12753</v>
      </c>
      <c r="H2086" s="11" t="s">
        <v>12754</v>
      </c>
      <c r="I2086" s="11" t="s">
        <v>12755</v>
      </c>
      <c r="J2086" s="11" t="s">
        <v>12756</v>
      </c>
      <c r="K2086" s="11" t="s">
        <v>916</v>
      </c>
      <c r="L2086" s="11" t="s">
        <v>12757</v>
      </c>
      <c r="M2086" s="11"/>
      <c r="N2086" s="14" t="n">
        <v>1</v>
      </c>
      <c r="O2086" s="14" t="n">
        <v>3</v>
      </c>
      <c r="P2086" s="14" t="n">
        <v>4</v>
      </c>
      <c r="Q2086" s="14"/>
      <c r="R2086" s="12" t="n">
        <f aca="false">IF(OR(N2086="",P2086=""),"",ROUND(N2086*O2086/P2086,1))</f>
        <v>0.8</v>
      </c>
      <c r="S2086" s="13" t="n">
        <f aca="false">IF(R2086="","",IF(Q2086="Y",1,IF(P2086&gt;='Read me'!$B$16,3,IF(AND(R2086&gt;='Read me'!$B$14,P2086&lt;='Read me'!$B$15),1,2))))</f>
        <v>3</v>
      </c>
    </row>
    <row r="2087" customFormat="false" ht="23.85" hidden="false" customHeight="false" outlineLevel="0" collapsed="false">
      <c r="A2087" s="11" t="s">
        <v>12758</v>
      </c>
      <c r="B2087" s="11" t="s">
        <v>49</v>
      </c>
      <c r="C2087" s="11" t="s">
        <v>426</v>
      </c>
      <c r="D2087" s="11" t="s">
        <v>427</v>
      </c>
      <c r="E2087" s="11" t="s">
        <v>1187</v>
      </c>
      <c r="F2087" s="11" t="s">
        <v>12759</v>
      </c>
      <c r="G2087" s="11" t="s">
        <v>12760</v>
      </c>
      <c r="H2087" s="11" t="s">
        <v>12761</v>
      </c>
      <c r="I2087" s="11" t="s">
        <v>12762</v>
      </c>
      <c r="J2087" s="11" t="s">
        <v>12763</v>
      </c>
      <c r="K2087" s="11" t="s">
        <v>12764</v>
      </c>
      <c r="L2087" s="11" t="s">
        <v>12765</v>
      </c>
      <c r="M2087" s="11"/>
      <c r="N2087" s="14" t="n">
        <v>3</v>
      </c>
      <c r="O2087" s="14" t="n">
        <v>4</v>
      </c>
      <c r="P2087" s="14" t="n">
        <v>3</v>
      </c>
      <c r="Q2087" s="14"/>
      <c r="R2087" s="12" t="n">
        <f aca="false">IF(OR(N2087="",P2087=""),"",ROUND(N2087*O2087/P2087,1))</f>
        <v>4</v>
      </c>
      <c r="S2087" s="13" t="n">
        <f aca="false">IF(R2087="","",IF(Q2087="Y",1,IF(P2087&gt;='Read me'!$B$16,3,IF(AND(R2087&gt;='Read me'!$B$14,P2087&lt;='Read me'!$B$15),1,2))))</f>
        <v>2</v>
      </c>
    </row>
    <row r="2088" customFormat="false" ht="57.45" hidden="false" customHeight="false" outlineLevel="0" collapsed="false">
      <c r="A2088" s="11" t="s">
        <v>12766</v>
      </c>
      <c r="B2088" s="11" t="s">
        <v>49</v>
      </c>
      <c r="C2088" s="11" t="s">
        <v>426</v>
      </c>
      <c r="D2088" s="11" t="s">
        <v>427</v>
      </c>
      <c r="E2088" s="11" t="s">
        <v>1187</v>
      </c>
      <c r="F2088" s="11" t="s">
        <v>12767</v>
      </c>
      <c r="G2088" s="11" t="s">
        <v>12768</v>
      </c>
      <c r="H2088" s="11" t="s">
        <v>12769</v>
      </c>
      <c r="I2088" s="11" t="s">
        <v>12770</v>
      </c>
      <c r="J2088" s="11" t="s">
        <v>12771</v>
      </c>
      <c r="K2088" s="11" t="s">
        <v>12772</v>
      </c>
      <c r="L2088" s="11" t="s">
        <v>12773</v>
      </c>
      <c r="M2088" s="11" t="s">
        <v>12718</v>
      </c>
      <c r="N2088" s="14" t="n">
        <v>1</v>
      </c>
      <c r="O2088" s="14" t="n">
        <v>2</v>
      </c>
      <c r="P2088" s="14" t="n">
        <v>3</v>
      </c>
      <c r="Q2088" s="14"/>
      <c r="R2088" s="12" t="n">
        <f aca="false">IF(OR(N2088="",P2088=""),"",ROUND(N2088*O2088/P2088,1))</f>
        <v>0.7</v>
      </c>
      <c r="S2088" s="13" t="n">
        <f aca="false">IF(R2088="","",IF(Q2088="Y",1,IF(P2088&gt;='Read me'!$B$16,3,IF(AND(R2088&gt;='Read me'!$B$14,P2088&lt;='Read me'!$B$15),1,2))))</f>
        <v>2</v>
      </c>
    </row>
    <row r="2089" customFormat="false" ht="57.45" hidden="false" customHeight="false" outlineLevel="0" collapsed="false">
      <c r="A2089" s="11" t="s">
        <v>12774</v>
      </c>
      <c r="B2089" s="11" t="s">
        <v>49</v>
      </c>
      <c r="C2089" s="11" t="s">
        <v>426</v>
      </c>
      <c r="D2089" s="11" t="s">
        <v>427</v>
      </c>
      <c r="E2089" s="11" t="s">
        <v>1187</v>
      </c>
      <c r="F2089" s="11" t="s">
        <v>12775</v>
      </c>
      <c r="G2089" s="11" t="s">
        <v>12776</v>
      </c>
      <c r="H2089" s="11" t="s">
        <v>12777</v>
      </c>
      <c r="I2089" s="11" t="s">
        <v>12778</v>
      </c>
      <c r="J2089" s="11" t="s">
        <v>12779</v>
      </c>
      <c r="K2089" s="11" t="s">
        <v>12764</v>
      </c>
      <c r="L2089" s="11" t="s">
        <v>12780</v>
      </c>
      <c r="M2089" s="11" t="s">
        <v>12718</v>
      </c>
      <c r="N2089" s="14" t="n">
        <v>1</v>
      </c>
      <c r="O2089" s="14" t="n">
        <v>3</v>
      </c>
      <c r="P2089" s="14" t="n">
        <v>4</v>
      </c>
      <c r="Q2089" s="14"/>
      <c r="R2089" s="12" t="n">
        <f aca="false">IF(OR(N2089="",P2089=""),"",ROUND(N2089*O2089/P2089,1))</f>
        <v>0.8</v>
      </c>
      <c r="S2089" s="13" t="n">
        <f aca="false">IF(R2089="","",IF(Q2089="Y",1,IF(P2089&gt;='Read me'!$B$16,3,IF(AND(R2089&gt;='Read me'!$B$14,P2089&lt;='Read me'!$B$15),1,2))))</f>
        <v>3</v>
      </c>
    </row>
    <row r="2090" customFormat="false" ht="57.45" hidden="false" customHeight="false" outlineLevel="0" collapsed="false">
      <c r="A2090" s="11" t="s">
        <v>12781</v>
      </c>
      <c r="B2090" s="11" t="s">
        <v>49</v>
      </c>
      <c r="C2090" s="11" t="s">
        <v>426</v>
      </c>
      <c r="D2090" s="11" t="s">
        <v>427</v>
      </c>
      <c r="E2090" s="11" t="s">
        <v>1372</v>
      </c>
      <c r="F2090" s="11" t="s">
        <v>12708</v>
      </c>
      <c r="G2090" s="11" t="s">
        <v>12782</v>
      </c>
      <c r="H2090" s="11"/>
      <c r="I2090" s="11" t="s">
        <v>12783</v>
      </c>
      <c r="J2090" s="11" t="s">
        <v>12784</v>
      </c>
      <c r="K2090" s="11" t="s">
        <v>12785</v>
      </c>
      <c r="L2090" s="11" t="s">
        <v>12786</v>
      </c>
      <c r="M2090" s="11" t="s">
        <v>12787</v>
      </c>
      <c r="N2090" s="14" t="n">
        <v>3</v>
      </c>
      <c r="O2090" s="14" t="n">
        <v>4</v>
      </c>
      <c r="P2090" s="14" t="n">
        <v>5</v>
      </c>
      <c r="Q2090" s="14"/>
      <c r="R2090" s="12" t="n">
        <f aca="false">IF(OR(N2090="",P2090=""),"",ROUND(N2090*O2090/P2090,1))</f>
        <v>2.4</v>
      </c>
      <c r="S2090" s="13" t="n">
        <f aca="false">IF(R2090="","",IF(Q2090="Y",1,IF(P2090&gt;='Read me'!$B$16,3,IF(AND(R2090&gt;='Read me'!$B$14,P2090&lt;='Read me'!$B$15),1,2))))</f>
        <v>3</v>
      </c>
    </row>
    <row r="2091" customFormat="false" ht="23.85" hidden="false" customHeight="false" outlineLevel="0" collapsed="false">
      <c r="A2091" s="11" t="s">
        <v>12788</v>
      </c>
      <c r="B2091" s="11" t="s">
        <v>49</v>
      </c>
      <c r="C2091" s="11" t="s">
        <v>426</v>
      </c>
      <c r="D2091" s="11" t="s">
        <v>427</v>
      </c>
      <c r="E2091" s="11" t="s">
        <v>1372</v>
      </c>
      <c r="F2091" s="11" t="s">
        <v>12708</v>
      </c>
      <c r="G2091" s="11" t="s">
        <v>12789</v>
      </c>
      <c r="H2091" s="11" t="s">
        <v>12790</v>
      </c>
      <c r="I2091" s="11" t="s">
        <v>12791</v>
      </c>
      <c r="J2091" s="11" t="s">
        <v>12792</v>
      </c>
      <c r="K2091" s="11" t="s">
        <v>12793</v>
      </c>
      <c r="L2091" s="11" t="s">
        <v>12794</v>
      </c>
      <c r="M2091" s="11"/>
      <c r="N2091" s="14" t="n">
        <v>2</v>
      </c>
      <c r="O2091" s="14" t="n">
        <v>3</v>
      </c>
      <c r="P2091" s="14" t="n">
        <v>3</v>
      </c>
      <c r="Q2091" s="14"/>
      <c r="R2091" s="12" t="n">
        <f aca="false">IF(OR(N2091="",P2091=""),"",ROUND(N2091*O2091/P2091,1))</f>
        <v>2</v>
      </c>
      <c r="S2091" s="13" t="n">
        <f aca="false">IF(R2091="","",IF(Q2091="Y",1,IF(P2091&gt;='Read me'!$B$16,3,IF(AND(R2091&gt;='Read me'!$B$14,P2091&lt;='Read me'!$B$15),1,2))))</f>
        <v>2</v>
      </c>
    </row>
    <row r="2092" customFormat="false" ht="23.85" hidden="false" customHeight="false" outlineLevel="0" collapsed="false">
      <c r="A2092" s="11" t="s">
        <v>12795</v>
      </c>
      <c r="B2092" s="11" t="s">
        <v>49</v>
      </c>
      <c r="C2092" s="11" t="s">
        <v>426</v>
      </c>
      <c r="D2092" s="11" t="s">
        <v>427</v>
      </c>
      <c r="E2092" s="11" t="s">
        <v>1372</v>
      </c>
      <c r="F2092" s="11" t="s">
        <v>12708</v>
      </c>
      <c r="G2092" s="11" t="s">
        <v>12796</v>
      </c>
      <c r="H2092" s="11" t="s">
        <v>12797</v>
      </c>
      <c r="I2092" s="11" t="s">
        <v>12798</v>
      </c>
      <c r="J2092" s="11" t="s">
        <v>12799</v>
      </c>
      <c r="K2092" s="11" t="s">
        <v>696</v>
      </c>
      <c r="L2092" s="11" t="s">
        <v>12800</v>
      </c>
      <c r="M2092" s="11"/>
      <c r="N2092" s="14" t="n">
        <v>2</v>
      </c>
      <c r="O2092" s="14" t="n">
        <v>3</v>
      </c>
      <c r="P2092" s="14" t="n">
        <v>4</v>
      </c>
      <c r="Q2092" s="14"/>
      <c r="R2092" s="12" t="n">
        <f aca="false">IF(OR(N2092="",P2092=""),"",ROUND(N2092*O2092/P2092,1))</f>
        <v>1.5</v>
      </c>
      <c r="S2092" s="13" t="n">
        <f aca="false">IF(R2092="","",IF(Q2092="Y",1,IF(P2092&gt;='Read me'!$B$16,3,IF(AND(R2092&gt;='Read me'!$B$14,P2092&lt;='Read me'!$B$15),1,2))))</f>
        <v>3</v>
      </c>
    </row>
    <row r="2093" customFormat="false" ht="23.85" hidden="false" customHeight="false" outlineLevel="0" collapsed="false">
      <c r="A2093" s="11" t="s">
        <v>12801</v>
      </c>
      <c r="B2093" s="11" t="s">
        <v>49</v>
      </c>
      <c r="C2093" s="11" t="s">
        <v>426</v>
      </c>
      <c r="D2093" s="11" t="s">
        <v>427</v>
      </c>
      <c r="E2093" s="11" t="s">
        <v>1372</v>
      </c>
      <c r="F2093" s="11" t="s">
        <v>12802</v>
      </c>
      <c r="G2093" s="11" t="s">
        <v>12645</v>
      </c>
      <c r="H2093" s="11"/>
      <c r="I2093" s="11" t="s">
        <v>12803</v>
      </c>
      <c r="J2093" s="11" t="s">
        <v>12804</v>
      </c>
      <c r="K2093" s="11" t="s">
        <v>12805</v>
      </c>
      <c r="L2093" s="11" t="s">
        <v>12806</v>
      </c>
      <c r="M2093" s="11" t="s">
        <v>1256</v>
      </c>
      <c r="N2093" s="14" t="n">
        <v>2</v>
      </c>
      <c r="O2093" s="14" t="n">
        <v>3</v>
      </c>
      <c r="P2093" s="14" t="n">
        <v>3</v>
      </c>
      <c r="Q2093" s="14"/>
      <c r="R2093" s="12" t="n">
        <f aca="false">IF(OR(N2093="",P2093=""),"",ROUND(N2093*O2093/P2093,1))</f>
        <v>2</v>
      </c>
      <c r="S2093" s="13" t="n">
        <f aca="false">IF(R2093="","",IF(Q2093="Y",1,IF(P2093&gt;='Read me'!$B$16,3,IF(AND(R2093&gt;='Read me'!$B$14,P2093&lt;='Read me'!$B$15),1,2))))</f>
        <v>2</v>
      </c>
    </row>
    <row r="2094" customFormat="false" ht="23.85" hidden="false" customHeight="false" outlineLevel="0" collapsed="false">
      <c r="A2094" s="11" t="s">
        <v>12807</v>
      </c>
      <c r="B2094" s="11" t="s">
        <v>49</v>
      </c>
      <c r="C2094" s="11" t="s">
        <v>426</v>
      </c>
      <c r="D2094" s="11" t="s">
        <v>427</v>
      </c>
      <c r="E2094" s="11" t="s">
        <v>1372</v>
      </c>
      <c r="F2094" s="11" t="s">
        <v>12808</v>
      </c>
      <c r="G2094" s="11" t="s">
        <v>12809</v>
      </c>
      <c r="H2094" s="11"/>
      <c r="I2094" s="11" t="s">
        <v>12810</v>
      </c>
      <c r="J2094" s="11" t="s">
        <v>12811</v>
      </c>
      <c r="K2094" s="11" t="s">
        <v>11806</v>
      </c>
      <c r="L2094" s="11" t="s">
        <v>12812</v>
      </c>
      <c r="M2094" s="11" t="s">
        <v>12813</v>
      </c>
      <c r="N2094" s="14" t="n">
        <v>1</v>
      </c>
      <c r="O2094" s="14" t="n">
        <v>3</v>
      </c>
      <c r="P2094" s="14" t="n">
        <v>3</v>
      </c>
      <c r="Q2094" s="14"/>
      <c r="R2094" s="12" t="n">
        <f aca="false">IF(OR(N2094="",P2094=""),"",ROUND(N2094*O2094/P2094,1))</f>
        <v>1</v>
      </c>
      <c r="S2094" s="13" t="n">
        <f aca="false">IF(R2094="","",IF(Q2094="Y",1,IF(P2094&gt;='Read me'!$B$16,3,IF(AND(R2094&gt;='Read me'!$B$14,P2094&lt;='Read me'!$B$15),1,2))))</f>
        <v>2</v>
      </c>
    </row>
    <row r="2095" customFormat="false" ht="23.85" hidden="false" customHeight="false" outlineLevel="0" collapsed="false">
      <c r="A2095" s="11" t="s">
        <v>12814</v>
      </c>
      <c r="B2095" s="11" t="s">
        <v>49</v>
      </c>
      <c r="C2095" s="11" t="s">
        <v>426</v>
      </c>
      <c r="D2095" s="11" t="s">
        <v>427</v>
      </c>
      <c r="E2095" s="11" t="s">
        <v>1372</v>
      </c>
      <c r="F2095" s="11" t="s">
        <v>12815</v>
      </c>
      <c r="G2095" s="11" t="s">
        <v>12816</v>
      </c>
      <c r="H2095" s="11"/>
      <c r="I2095" s="11" t="s">
        <v>12817</v>
      </c>
      <c r="J2095" s="11" t="s">
        <v>12818</v>
      </c>
      <c r="K2095" s="11" t="s">
        <v>916</v>
      </c>
      <c r="L2095" s="11" t="s">
        <v>12819</v>
      </c>
      <c r="M2095" s="11"/>
      <c r="N2095" s="14" t="n">
        <v>1</v>
      </c>
      <c r="O2095" s="14" t="n">
        <v>3</v>
      </c>
      <c r="P2095" s="14" t="n">
        <v>4</v>
      </c>
      <c r="Q2095" s="14"/>
      <c r="R2095" s="12" t="n">
        <f aca="false">IF(OR(N2095="",P2095=""),"",ROUND(N2095*O2095/P2095,1))</f>
        <v>0.8</v>
      </c>
      <c r="S2095" s="13" t="n">
        <f aca="false">IF(R2095="","",IF(Q2095="Y",1,IF(P2095&gt;='Read me'!$B$16,3,IF(AND(R2095&gt;='Read me'!$B$14,P2095&lt;='Read me'!$B$15),1,2))))</f>
        <v>3</v>
      </c>
    </row>
    <row r="2096" customFormat="false" ht="35.05" hidden="false" customHeight="false" outlineLevel="0" collapsed="false">
      <c r="A2096" s="11" t="s">
        <v>12820</v>
      </c>
      <c r="B2096" s="11" t="s">
        <v>49</v>
      </c>
      <c r="C2096" s="11" t="s">
        <v>426</v>
      </c>
      <c r="D2096" s="11" t="s">
        <v>427</v>
      </c>
      <c r="E2096" s="11" t="s">
        <v>1372</v>
      </c>
      <c r="F2096" s="11" t="s">
        <v>12821</v>
      </c>
      <c r="G2096" s="11" t="s">
        <v>11876</v>
      </c>
      <c r="H2096" s="11"/>
      <c r="I2096" s="11" t="s">
        <v>12822</v>
      </c>
      <c r="J2096" s="11" t="s">
        <v>12823</v>
      </c>
      <c r="K2096" s="11" t="s">
        <v>12824</v>
      </c>
      <c r="L2096" s="11" t="s">
        <v>12825</v>
      </c>
      <c r="M2096" s="11" t="s">
        <v>11885</v>
      </c>
      <c r="N2096" s="14" t="n">
        <v>2</v>
      </c>
      <c r="O2096" s="14" t="n">
        <v>4</v>
      </c>
      <c r="P2096" s="14" t="n">
        <v>3</v>
      </c>
      <c r="Q2096" s="14"/>
      <c r="R2096" s="12" t="n">
        <f aca="false">IF(OR(N2096="",P2096=""),"",ROUND(N2096*O2096/P2096,1))</f>
        <v>2.7</v>
      </c>
      <c r="S2096" s="13" t="n">
        <f aca="false">IF(R2096="","",IF(Q2096="Y",1,IF(P2096&gt;='Read me'!$B$16,3,IF(AND(R2096&gt;='Read me'!$B$14,P2096&lt;='Read me'!$B$15),1,2))))</f>
        <v>2</v>
      </c>
    </row>
    <row r="2097" customFormat="false" ht="23.85" hidden="false" customHeight="false" outlineLevel="0" collapsed="false">
      <c r="A2097" s="11" t="s">
        <v>12826</v>
      </c>
      <c r="B2097" s="11" t="s">
        <v>49</v>
      </c>
      <c r="C2097" s="11" t="s">
        <v>426</v>
      </c>
      <c r="D2097" s="11" t="s">
        <v>427</v>
      </c>
      <c r="E2097" s="11" t="s">
        <v>1372</v>
      </c>
      <c r="F2097" s="11" t="s">
        <v>12827</v>
      </c>
      <c r="G2097" s="11" t="s">
        <v>12828</v>
      </c>
      <c r="H2097" s="11"/>
      <c r="I2097" s="11" t="s">
        <v>12829</v>
      </c>
      <c r="J2097" s="11" t="s">
        <v>12830</v>
      </c>
      <c r="K2097" s="11" t="s">
        <v>12831</v>
      </c>
      <c r="L2097" s="11" t="s">
        <v>12832</v>
      </c>
      <c r="M2097" s="11"/>
      <c r="N2097" s="14" t="n">
        <v>3</v>
      </c>
      <c r="O2097" s="14" t="n">
        <v>3</v>
      </c>
      <c r="P2097" s="14" t="n">
        <v>2</v>
      </c>
      <c r="Q2097" s="14"/>
      <c r="R2097" s="12" t="n">
        <f aca="false">IF(OR(N2097="",P2097=""),"",ROUND(N2097*O2097/P2097,1))</f>
        <v>4.5</v>
      </c>
      <c r="S2097" s="13" t="n">
        <f aca="false">IF(R2097="","",IF(Q2097="Y",1,IF(P2097&gt;='Read me'!$B$16,3,IF(AND(R2097&gt;='Read me'!$B$14,P2097&lt;='Read me'!$B$15),1,2))))</f>
        <v>2</v>
      </c>
    </row>
    <row r="2098" customFormat="false" ht="35.05" hidden="false" customHeight="false" outlineLevel="0" collapsed="false">
      <c r="A2098" s="11" t="s">
        <v>12833</v>
      </c>
      <c r="B2098" s="11" t="s">
        <v>49</v>
      </c>
      <c r="C2098" s="11" t="s">
        <v>426</v>
      </c>
      <c r="D2098" s="11" t="s">
        <v>427</v>
      </c>
      <c r="E2098" s="11" t="s">
        <v>1372</v>
      </c>
      <c r="F2098" s="11" t="s">
        <v>12834</v>
      </c>
      <c r="G2098" s="11" t="s">
        <v>12835</v>
      </c>
      <c r="H2098" s="11"/>
      <c r="I2098" s="11" t="s">
        <v>12836</v>
      </c>
      <c r="J2098" s="11" t="s">
        <v>12837</v>
      </c>
      <c r="K2098" s="11" t="s">
        <v>12838</v>
      </c>
      <c r="L2098" s="11" t="s">
        <v>12839</v>
      </c>
      <c r="M2098" s="11" t="s">
        <v>12840</v>
      </c>
      <c r="N2098" s="14" t="n">
        <v>1</v>
      </c>
      <c r="O2098" s="14" t="n">
        <v>3</v>
      </c>
      <c r="P2098" s="14" t="n">
        <v>4</v>
      </c>
      <c r="Q2098" s="14"/>
      <c r="R2098" s="12" t="n">
        <f aca="false">IF(OR(N2098="",P2098=""),"",ROUND(N2098*O2098/P2098,1))</f>
        <v>0.8</v>
      </c>
      <c r="S2098" s="13" t="n">
        <f aca="false">IF(R2098="","",IF(Q2098="Y",1,IF(P2098&gt;='Read me'!$B$16,3,IF(AND(R2098&gt;='Read me'!$B$14,P2098&lt;='Read me'!$B$15),1,2))))</f>
        <v>3</v>
      </c>
    </row>
    <row r="2099" customFormat="false" ht="35.05" hidden="false" customHeight="false" outlineLevel="0" collapsed="false">
      <c r="A2099" s="11" t="s">
        <v>12841</v>
      </c>
      <c r="B2099" s="11" t="s">
        <v>49</v>
      </c>
      <c r="C2099" s="11" t="s">
        <v>426</v>
      </c>
      <c r="D2099" s="11" t="s">
        <v>427</v>
      </c>
      <c r="E2099" s="11" t="s">
        <v>1372</v>
      </c>
      <c r="F2099" s="11" t="s">
        <v>12842</v>
      </c>
      <c r="G2099" s="11" t="s">
        <v>12843</v>
      </c>
      <c r="H2099" s="11"/>
      <c r="I2099" s="11" t="s">
        <v>12844</v>
      </c>
      <c r="J2099" s="11" t="s">
        <v>12845</v>
      </c>
      <c r="K2099" s="11" t="s">
        <v>3180</v>
      </c>
      <c r="L2099" s="11" t="s">
        <v>12846</v>
      </c>
      <c r="M2099" s="11" t="s">
        <v>12073</v>
      </c>
      <c r="N2099" s="14" t="n">
        <v>3</v>
      </c>
      <c r="O2099" s="14" t="n">
        <v>3</v>
      </c>
      <c r="P2099" s="14" t="n">
        <v>4</v>
      </c>
      <c r="Q2099" s="14"/>
      <c r="R2099" s="12" t="n">
        <f aca="false">IF(OR(N2099="",P2099=""),"",ROUND(N2099*O2099/P2099,1))</f>
        <v>2.3</v>
      </c>
      <c r="S2099" s="13" t="n">
        <f aca="false">IF(R2099="","",IF(Q2099="Y",1,IF(P2099&gt;='Read me'!$B$16,3,IF(AND(R2099&gt;='Read me'!$B$14,P2099&lt;='Read me'!$B$15),1,2))))</f>
        <v>3</v>
      </c>
    </row>
    <row r="2100" customFormat="false" ht="23.85" hidden="false" customHeight="false" outlineLevel="0" collapsed="false">
      <c r="A2100" s="11" t="s">
        <v>12847</v>
      </c>
      <c r="B2100" s="11" t="s">
        <v>49</v>
      </c>
      <c r="C2100" s="11" t="s">
        <v>426</v>
      </c>
      <c r="D2100" s="11" t="s">
        <v>427</v>
      </c>
      <c r="E2100" s="11" t="s">
        <v>1372</v>
      </c>
      <c r="F2100" s="11" t="s">
        <v>12848</v>
      </c>
      <c r="G2100" s="11" t="s">
        <v>11475</v>
      </c>
      <c r="H2100" s="11"/>
      <c r="I2100" s="11" t="s">
        <v>12849</v>
      </c>
      <c r="J2100" s="11" t="s">
        <v>12850</v>
      </c>
      <c r="K2100" s="11" t="s">
        <v>12851</v>
      </c>
      <c r="L2100" s="11" t="s">
        <v>12852</v>
      </c>
      <c r="M2100" s="11"/>
      <c r="N2100" s="14" t="n">
        <v>4</v>
      </c>
      <c r="O2100" s="14" t="n">
        <v>3</v>
      </c>
      <c r="P2100" s="14" t="n">
        <v>3</v>
      </c>
      <c r="Q2100" s="14"/>
      <c r="R2100" s="12" t="n">
        <f aca="false">IF(OR(N2100="",P2100=""),"",ROUND(N2100*O2100/P2100,1))</f>
        <v>4</v>
      </c>
      <c r="S2100" s="13" t="n">
        <f aca="false">IF(R2100="","",IF(Q2100="Y",1,IF(P2100&gt;='Read me'!$B$16,3,IF(AND(R2100&gt;='Read me'!$B$14,P2100&lt;='Read me'!$B$15),1,2))))</f>
        <v>2</v>
      </c>
    </row>
    <row r="2101" customFormat="false" ht="23.85" hidden="false" customHeight="false" outlineLevel="0" collapsed="false">
      <c r="A2101" s="11" t="s">
        <v>12853</v>
      </c>
      <c r="B2101" s="11" t="s">
        <v>49</v>
      </c>
      <c r="C2101" s="11" t="s">
        <v>426</v>
      </c>
      <c r="D2101" s="11" t="s">
        <v>427</v>
      </c>
      <c r="E2101" s="11" t="s">
        <v>1372</v>
      </c>
      <c r="F2101" s="11" t="s">
        <v>12854</v>
      </c>
      <c r="G2101" s="11" t="s">
        <v>12855</v>
      </c>
      <c r="H2101" s="11"/>
      <c r="I2101" s="11" t="s">
        <v>12856</v>
      </c>
      <c r="J2101" s="11" t="s">
        <v>12857</v>
      </c>
      <c r="K2101" s="11" t="s">
        <v>1028</v>
      </c>
      <c r="L2101" s="11" t="s">
        <v>12858</v>
      </c>
      <c r="M2101" s="11" t="s">
        <v>12859</v>
      </c>
      <c r="N2101" s="14" t="n">
        <v>1</v>
      </c>
      <c r="O2101" s="14" t="n">
        <v>2</v>
      </c>
      <c r="P2101" s="14" t="n">
        <v>3</v>
      </c>
      <c r="Q2101" s="14"/>
      <c r="R2101" s="12" t="n">
        <f aca="false">IF(OR(N2101="",P2101=""),"",ROUND(N2101*O2101/P2101,1))</f>
        <v>0.7</v>
      </c>
      <c r="S2101" s="13" t="n">
        <f aca="false">IF(R2101="","",IF(Q2101="Y",1,IF(P2101&gt;='Read me'!$B$16,3,IF(AND(R2101&gt;='Read me'!$B$14,P2101&lt;='Read me'!$B$15),1,2))))</f>
        <v>2</v>
      </c>
    </row>
    <row r="2102" customFormat="false" ht="35.05" hidden="false" customHeight="false" outlineLevel="0" collapsed="false">
      <c r="A2102" s="11" t="s">
        <v>12860</v>
      </c>
      <c r="B2102" s="11" t="s">
        <v>49</v>
      </c>
      <c r="C2102" s="11" t="s">
        <v>426</v>
      </c>
      <c r="D2102" s="11" t="s">
        <v>427</v>
      </c>
      <c r="E2102" s="11" t="s">
        <v>1372</v>
      </c>
      <c r="F2102" s="11" t="s">
        <v>12861</v>
      </c>
      <c r="G2102" s="11" t="s">
        <v>12862</v>
      </c>
      <c r="H2102" s="11"/>
      <c r="I2102" s="11" t="s">
        <v>12863</v>
      </c>
      <c r="J2102" s="11" t="s">
        <v>12864</v>
      </c>
      <c r="K2102" s="11" t="s">
        <v>3180</v>
      </c>
      <c r="L2102" s="11" t="s">
        <v>12865</v>
      </c>
      <c r="M2102" s="11"/>
      <c r="N2102" s="14" t="n">
        <v>2</v>
      </c>
      <c r="O2102" s="14" t="n">
        <v>2</v>
      </c>
      <c r="P2102" s="14" t="n">
        <v>3</v>
      </c>
      <c r="Q2102" s="14"/>
      <c r="R2102" s="12" t="n">
        <f aca="false">IF(OR(N2102="",P2102=""),"",ROUND(N2102*O2102/P2102,1))</f>
        <v>1.3</v>
      </c>
      <c r="S2102" s="13" t="n">
        <f aca="false">IF(R2102="","",IF(Q2102="Y",1,IF(P2102&gt;='Read me'!$B$16,3,IF(AND(R2102&gt;='Read me'!$B$14,P2102&lt;='Read me'!$B$15),1,2))))</f>
        <v>2</v>
      </c>
    </row>
    <row r="2103" customFormat="false" ht="23.85" hidden="false" customHeight="false" outlineLevel="0" collapsed="false">
      <c r="A2103" s="11" t="s">
        <v>12866</v>
      </c>
      <c r="B2103" s="11" t="s">
        <v>49</v>
      </c>
      <c r="C2103" s="11" t="s">
        <v>426</v>
      </c>
      <c r="D2103" s="11" t="s">
        <v>427</v>
      </c>
      <c r="E2103" s="11" t="s">
        <v>1372</v>
      </c>
      <c r="F2103" s="11" t="s">
        <v>12867</v>
      </c>
      <c r="G2103" s="11" t="s">
        <v>12868</v>
      </c>
      <c r="H2103" s="11"/>
      <c r="I2103" s="11" t="s">
        <v>12869</v>
      </c>
      <c r="J2103" s="11" t="s">
        <v>12870</v>
      </c>
      <c r="K2103" s="11" t="s">
        <v>12871</v>
      </c>
      <c r="L2103" s="11" t="s">
        <v>12872</v>
      </c>
      <c r="M2103" s="11"/>
      <c r="N2103" s="14" t="n">
        <v>3</v>
      </c>
      <c r="O2103" s="14" t="n">
        <v>4</v>
      </c>
      <c r="P2103" s="14" t="n">
        <v>3</v>
      </c>
      <c r="Q2103" s="14"/>
      <c r="R2103" s="12" t="n">
        <f aca="false">IF(OR(N2103="",P2103=""),"",ROUND(N2103*O2103/P2103,1))</f>
        <v>4</v>
      </c>
      <c r="S2103" s="13" t="n">
        <f aca="false">IF(R2103="","",IF(Q2103="Y",1,IF(P2103&gt;='Read me'!$B$16,3,IF(AND(R2103&gt;='Read me'!$B$14,P2103&lt;='Read me'!$B$15),1,2))))</f>
        <v>2</v>
      </c>
    </row>
    <row r="2104" customFormat="false" ht="57.45" hidden="false" customHeight="false" outlineLevel="0" collapsed="false">
      <c r="A2104" s="11" t="s">
        <v>12873</v>
      </c>
      <c r="B2104" s="11" t="s">
        <v>49</v>
      </c>
      <c r="C2104" s="11" t="s">
        <v>426</v>
      </c>
      <c r="D2104" s="11" t="s">
        <v>427</v>
      </c>
      <c r="E2104" s="11" t="s">
        <v>1372</v>
      </c>
      <c r="F2104" s="11" t="s">
        <v>12874</v>
      </c>
      <c r="G2104" s="11" t="s">
        <v>12875</v>
      </c>
      <c r="H2104" s="11" t="s">
        <v>12876</v>
      </c>
      <c r="I2104" s="11" t="s">
        <v>12877</v>
      </c>
      <c r="J2104" s="11" t="s">
        <v>12878</v>
      </c>
      <c r="K2104" s="11" t="s">
        <v>12724</v>
      </c>
      <c r="L2104" s="11" t="s">
        <v>12879</v>
      </c>
      <c r="M2104" s="11" t="s">
        <v>12726</v>
      </c>
      <c r="N2104" s="14" t="n">
        <v>1</v>
      </c>
      <c r="O2104" s="14" t="n">
        <v>3</v>
      </c>
      <c r="P2104" s="14" t="n">
        <v>5</v>
      </c>
      <c r="Q2104" s="14"/>
      <c r="R2104" s="12" t="n">
        <f aca="false">IF(OR(N2104="",P2104=""),"",ROUND(N2104*O2104/P2104,1))</f>
        <v>0.6</v>
      </c>
      <c r="S2104" s="13" t="n">
        <f aca="false">IF(R2104="","",IF(Q2104="Y",1,IF(P2104&gt;='Read me'!$B$16,3,IF(AND(R2104&gt;='Read me'!$B$14,P2104&lt;='Read me'!$B$15),1,2))))</f>
        <v>3</v>
      </c>
    </row>
    <row r="2105" customFormat="false" ht="79.85" hidden="false" customHeight="false" outlineLevel="0" collapsed="false">
      <c r="A2105" s="11" t="s">
        <v>12880</v>
      </c>
      <c r="B2105" s="11" t="s">
        <v>49</v>
      </c>
      <c r="C2105" s="11" t="s">
        <v>426</v>
      </c>
      <c r="D2105" s="11" t="s">
        <v>427</v>
      </c>
      <c r="E2105" s="11" t="s">
        <v>1372</v>
      </c>
      <c r="F2105" s="11" t="s">
        <v>12881</v>
      </c>
      <c r="G2105" s="11" t="s">
        <v>12882</v>
      </c>
      <c r="H2105" s="11"/>
      <c r="I2105" s="11" t="s">
        <v>12883</v>
      </c>
      <c r="J2105" s="11" t="s">
        <v>12884</v>
      </c>
      <c r="K2105" s="11" t="s">
        <v>12772</v>
      </c>
      <c r="L2105" s="11" t="s">
        <v>12885</v>
      </c>
      <c r="M2105" s="11" t="s">
        <v>12886</v>
      </c>
      <c r="N2105" s="14" t="n">
        <v>3</v>
      </c>
      <c r="O2105" s="14" t="n">
        <v>3</v>
      </c>
      <c r="P2105" s="14" t="n">
        <v>3</v>
      </c>
      <c r="Q2105" s="14"/>
      <c r="R2105" s="12" t="n">
        <f aca="false">IF(OR(N2105="",P2105=""),"",ROUND(N2105*O2105/P2105,1))</f>
        <v>3</v>
      </c>
      <c r="S2105" s="13" t="n">
        <f aca="false">IF(R2105="","",IF(Q2105="Y",1,IF(P2105&gt;='Read me'!$B$16,3,IF(AND(R2105&gt;='Read me'!$B$14,P2105&lt;='Read me'!$B$15),1,2))))</f>
        <v>2</v>
      </c>
    </row>
    <row r="2106" customFormat="false" ht="35.05" hidden="false" customHeight="false" outlineLevel="0" collapsed="false">
      <c r="A2106" s="11" t="s">
        <v>12887</v>
      </c>
      <c r="B2106" s="11" t="s">
        <v>49</v>
      </c>
      <c r="C2106" s="11" t="s">
        <v>426</v>
      </c>
      <c r="D2106" s="11" t="s">
        <v>427</v>
      </c>
      <c r="E2106" s="11" t="s">
        <v>1372</v>
      </c>
      <c r="F2106" s="11" t="s">
        <v>12888</v>
      </c>
      <c r="G2106" s="11" t="s">
        <v>12889</v>
      </c>
      <c r="H2106" s="11"/>
      <c r="I2106" s="11" t="s">
        <v>12890</v>
      </c>
      <c r="J2106" s="11" t="s">
        <v>12891</v>
      </c>
      <c r="K2106" s="11" t="s">
        <v>4369</v>
      </c>
      <c r="L2106" s="11" t="s">
        <v>12892</v>
      </c>
      <c r="M2106" s="11" t="s">
        <v>11662</v>
      </c>
      <c r="N2106" s="14" t="n">
        <v>1</v>
      </c>
      <c r="O2106" s="14" t="n">
        <v>1</v>
      </c>
      <c r="P2106" s="14" t="n">
        <v>2</v>
      </c>
      <c r="Q2106" s="14"/>
      <c r="R2106" s="12" t="n">
        <f aca="false">IF(OR(N2106="",P2106=""),"",ROUND(N2106*O2106/P2106,1))</f>
        <v>0.5</v>
      </c>
      <c r="S2106" s="13" t="n">
        <f aca="false">IF(R2106="","",IF(Q2106="Y",1,IF(P2106&gt;='Read me'!$B$16,3,IF(AND(R2106&gt;='Read me'!$B$14,P2106&lt;='Read me'!$B$15),1,2))))</f>
        <v>2</v>
      </c>
    </row>
    <row r="2107" customFormat="false" ht="23.85" hidden="false" customHeight="false" outlineLevel="0" collapsed="false">
      <c r="A2107" s="11" t="s">
        <v>12893</v>
      </c>
      <c r="B2107" s="11" t="s">
        <v>49</v>
      </c>
      <c r="C2107" s="11" t="s">
        <v>426</v>
      </c>
      <c r="D2107" s="11" t="s">
        <v>427</v>
      </c>
      <c r="E2107" s="11" t="s">
        <v>1372</v>
      </c>
      <c r="F2107" s="11" t="s">
        <v>12894</v>
      </c>
      <c r="G2107" s="11" t="s">
        <v>12895</v>
      </c>
      <c r="H2107" s="11"/>
      <c r="I2107" s="11" t="s">
        <v>12896</v>
      </c>
      <c r="J2107" s="11" t="s">
        <v>12897</v>
      </c>
      <c r="K2107" s="11" t="s">
        <v>12898</v>
      </c>
      <c r="L2107" s="11" t="s">
        <v>12899</v>
      </c>
      <c r="M2107" s="11" t="s">
        <v>12900</v>
      </c>
      <c r="N2107" s="14" t="n">
        <v>1</v>
      </c>
      <c r="O2107" s="14" t="n">
        <v>3</v>
      </c>
      <c r="P2107" s="14" t="n">
        <v>3</v>
      </c>
      <c r="Q2107" s="14"/>
      <c r="R2107" s="12" t="n">
        <f aca="false">IF(OR(N2107="",P2107=""),"",ROUND(N2107*O2107/P2107,1))</f>
        <v>1</v>
      </c>
      <c r="S2107" s="13" t="n">
        <f aca="false">IF(R2107="","",IF(Q2107="Y",1,IF(P2107&gt;='Read me'!$B$16,3,IF(AND(R2107&gt;='Read me'!$B$14,P2107&lt;='Read me'!$B$15),1,2))))</f>
        <v>2</v>
      </c>
    </row>
    <row r="2108" customFormat="false" ht="23.85" hidden="false" customHeight="false" outlineLevel="0" collapsed="false">
      <c r="A2108" s="11" t="s">
        <v>12901</v>
      </c>
      <c r="B2108" s="11" t="s">
        <v>49</v>
      </c>
      <c r="C2108" s="11" t="s">
        <v>429</v>
      </c>
      <c r="D2108" s="11" t="s">
        <v>430</v>
      </c>
      <c r="E2108" s="11" t="s">
        <v>626</v>
      </c>
      <c r="F2108" s="11" t="s">
        <v>12902</v>
      </c>
      <c r="G2108" s="11" t="s">
        <v>11850</v>
      </c>
      <c r="H2108" s="11"/>
      <c r="I2108" s="11" t="s">
        <v>12903</v>
      </c>
      <c r="J2108" s="11" t="s">
        <v>12904</v>
      </c>
      <c r="K2108" s="11" t="s">
        <v>9507</v>
      </c>
      <c r="L2108" s="11" t="s">
        <v>12905</v>
      </c>
      <c r="M2108" s="11"/>
      <c r="N2108" s="14" t="n">
        <v>2</v>
      </c>
      <c r="O2108" s="14" t="n">
        <v>4</v>
      </c>
      <c r="P2108" s="14" t="n">
        <v>2</v>
      </c>
      <c r="Q2108" s="14"/>
      <c r="R2108" s="12" t="n">
        <f aca="false">IF(OR(N2108="",P2108=""),"",ROUND(N2108*O2108/P2108,1))</f>
        <v>4</v>
      </c>
      <c r="S2108" s="13" t="n">
        <f aca="false">IF(R2108="","",IF(Q2108="Y",1,IF(P2108&gt;='Read me'!$B$16,3,IF(AND(R2108&gt;='Read me'!$B$14,P2108&lt;='Read me'!$B$15),1,2))))</f>
        <v>2</v>
      </c>
    </row>
    <row r="2109" customFormat="false" ht="46.25" hidden="false" customHeight="false" outlineLevel="0" collapsed="false">
      <c r="A2109" s="11" t="s">
        <v>12906</v>
      </c>
      <c r="B2109" s="11" t="s">
        <v>49</v>
      </c>
      <c r="C2109" s="11" t="s">
        <v>429</v>
      </c>
      <c r="D2109" s="11" t="s">
        <v>430</v>
      </c>
      <c r="E2109" s="11" t="s">
        <v>751</v>
      </c>
      <c r="F2109" s="11" t="s">
        <v>12907</v>
      </c>
      <c r="G2109" s="11" t="s">
        <v>12908</v>
      </c>
      <c r="H2109" s="11"/>
      <c r="I2109" s="11" t="s">
        <v>12909</v>
      </c>
      <c r="J2109" s="11" t="s">
        <v>12910</v>
      </c>
      <c r="K2109" s="11" t="s">
        <v>11902</v>
      </c>
      <c r="L2109" s="11" t="s">
        <v>12911</v>
      </c>
      <c r="M2109" s="11" t="s">
        <v>12912</v>
      </c>
      <c r="N2109" s="14" t="n">
        <v>2</v>
      </c>
      <c r="O2109" s="14" t="n">
        <v>3</v>
      </c>
      <c r="P2109" s="14" t="n">
        <v>4</v>
      </c>
      <c r="Q2109" s="14"/>
      <c r="R2109" s="12" t="n">
        <f aca="false">IF(OR(N2109="",P2109=""),"",ROUND(N2109*O2109/P2109,1))</f>
        <v>1.5</v>
      </c>
      <c r="S2109" s="13" t="n">
        <f aca="false">IF(R2109="","",IF(Q2109="Y",1,IF(P2109&gt;='Read me'!$B$16,3,IF(AND(R2109&gt;='Read me'!$B$14,P2109&lt;='Read me'!$B$15),1,2))))</f>
        <v>3</v>
      </c>
    </row>
    <row r="2110" customFormat="false" ht="35.05" hidden="false" customHeight="false" outlineLevel="0" collapsed="false">
      <c r="A2110" s="11" t="s">
        <v>12913</v>
      </c>
      <c r="B2110" s="11" t="s">
        <v>49</v>
      </c>
      <c r="C2110" s="11" t="s">
        <v>429</v>
      </c>
      <c r="D2110" s="11" t="s">
        <v>430</v>
      </c>
      <c r="E2110" s="11" t="s">
        <v>765</v>
      </c>
      <c r="F2110" s="11" t="s">
        <v>12914</v>
      </c>
      <c r="G2110" s="11" t="s">
        <v>12915</v>
      </c>
      <c r="H2110" s="11"/>
      <c r="I2110" s="11" t="s">
        <v>12916</v>
      </c>
      <c r="J2110" s="11" t="s">
        <v>12917</v>
      </c>
      <c r="K2110" s="11" t="s">
        <v>3172</v>
      </c>
      <c r="L2110" s="11" t="s">
        <v>12918</v>
      </c>
      <c r="M2110" s="11" t="s">
        <v>12919</v>
      </c>
      <c r="N2110" s="14" t="n">
        <v>4</v>
      </c>
      <c r="O2110" s="14" t="n">
        <v>4</v>
      </c>
      <c r="P2110" s="14" t="n">
        <v>2</v>
      </c>
      <c r="Q2110" s="14"/>
      <c r="R2110" s="12" t="n">
        <f aca="false">IF(OR(N2110="",P2110=""),"",ROUND(N2110*O2110/P2110,1))</f>
        <v>8</v>
      </c>
      <c r="S2110" s="13" t="n">
        <f aca="false">IF(R2110="","",IF(Q2110="Y",1,IF(P2110&gt;='Read me'!$B$16,3,IF(AND(R2110&gt;='Read me'!$B$14,P2110&lt;='Read me'!$B$15),1,2))))</f>
        <v>1</v>
      </c>
    </row>
    <row r="2111" customFormat="false" ht="46.25" hidden="false" customHeight="false" outlineLevel="0" collapsed="false">
      <c r="A2111" s="11" t="s">
        <v>12920</v>
      </c>
      <c r="B2111" s="11" t="s">
        <v>49</v>
      </c>
      <c r="C2111" s="11" t="s">
        <v>429</v>
      </c>
      <c r="D2111" s="11" t="s">
        <v>430</v>
      </c>
      <c r="E2111" s="11" t="s">
        <v>765</v>
      </c>
      <c r="F2111" s="11" t="s">
        <v>12914</v>
      </c>
      <c r="G2111" s="11" t="s">
        <v>12921</v>
      </c>
      <c r="H2111" s="11"/>
      <c r="I2111" s="11" t="s">
        <v>12922</v>
      </c>
      <c r="J2111" s="11" t="s">
        <v>12923</v>
      </c>
      <c r="K2111" s="11" t="s">
        <v>12924</v>
      </c>
      <c r="L2111" s="11" t="s">
        <v>12925</v>
      </c>
      <c r="M2111" s="11" t="s">
        <v>12926</v>
      </c>
      <c r="N2111" s="14" t="n">
        <v>3</v>
      </c>
      <c r="O2111" s="14" t="n">
        <v>4</v>
      </c>
      <c r="P2111" s="14" t="n">
        <v>3</v>
      </c>
      <c r="Q2111" s="14"/>
      <c r="R2111" s="12" t="n">
        <f aca="false">IF(OR(N2111="",P2111=""),"",ROUND(N2111*O2111/P2111,1))</f>
        <v>4</v>
      </c>
      <c r="S2111" s="13" t="n">
        <f aca="false">IF(R2111="","",IF(Q2111="Y",1,IF(P2111&gt;='Read me'!$B$16,3,IF(AND(R2111&gt;='Read me'!$B$14,P2111&lt;='Read me'!$B$15),1,2))))</f>
        <v>2</v>
      </c>
    </row>
    <row r="2112" customFormat="false" ht="23.85" hidden="false" customHeight="false" outlineLevel="0" collapsed="false">
      <c r="A2112" s="11" t="s">
        <v>12927</v>
      </c>
      <c r="B2112" s="11" t="s">
        <v>49</v>
      </c>
      <c r="C2112" s="11" t="s">
        <v>429</v>
      </c>
      <c r="D2112" s="11" t="s">
        <v>430</v>
      </c>
      <c r="E2112" s="11" t="s">
        <v>765</v>
      </c>
      <c r="F2112" s="11" t="s">
        <v>12928</v>
      </c>
      <c r="G2112" s="11" t="s">
        <v>12929</v>
      </c>
      <c r="H2112" s="11"/>
      <c r="I2112" s="11" t="s">
        <v>12930</v>
      </c>
      <c r="J2112" s="11" t="s">
        <v>12931</v>
      </c>
      <c r="K2112" s="11" t="s">
        <v>3180</v>
      </c>
      <c r="L2112" s="11" t="s">
        <v>12932</v>
      </c>
      <c r="M2112" s="11"/>
      <c r="N2112" s="14" t="n">
        <v>2</v>
      </c>
      <c r="O2112" s="14" t="n">
        <v>3</v>
      </c>
      <c r="P2112" s="14" t="n">
        <v>2</v>
      </c>
      <c r="Q2112" s="14"/>
      <c r="R2112" s="12" t="n">
        <f aca="false">IF(OR(N2112="",P2112=""),"",ROUND(N2112*O2112/P2112,1))</f>
        <v>3</v>
      </c>
      <c r="S2112" s="13" t="n">
        <f aca="false">IF(R2112="","",IF(Q2112="Y",1,IF(P2112&gt;='Read me'!$B$16,3,IF(AND(R2112&gt;='Read me'!$B$14,P2112&lt;='Read me'!$B$15),1,2))))</f>
        <v>2</v>
      </c>
    </row>
    <row r="2113" customFormat="false" ht="35.05" hidden="false" customHeight="false" outlineLevel="0" collapsed="false">
      <c r="A2113" s="11" t="s">
        <v>12933</v>
      </c>
      <c r="B2113" s="11" t="s">
        <v>49</v>
      </c>
      <c r="C2113" s="11" t="s">
        <v>429</v>
      </c>
      <c r="D2113" s="11" t="s">
        <v>430</v>
      </c>
      <c r="E2113" s="11" t="s">
        <v>765</v>
      </c>
      <c r="F2113" s="11" t="s">
        <v>12934</v>
      </c>
      <c r="G2113" s="11" t="s">
        <v>12935</v>
      </c>
      <c r="H2113" s="11"/>
      <c r="I2113" s="11" t="s">
        <v>12936</v>
      </c>
      <c r="J2113" s="11" t="s">
        <v>12937</v>
      </c>
      <c r="K2113" s="11" t="s">
        <v>3996</v>
      </c>
      <c r="L2113" s="11" t="s">
        <v>12938</v>
      </c>
      <c r="M2113" s="11" t="s">
        <v>12939</v>
      </c>
      <c r="N2113" s="14" t="n">
        <v>3</v>
      </c>
      <c r="O2113" s="14" t="n">
        <v>3</v>
      </c>
      <c r="P2113" s="14" t="n">
        <v>2</v>
      </c>
      <c r="Q2113" s="14"/>
      <c r="R2113" s="12" t="n">
        <f aca="false">IF(OR(N2113="",P2113=""),"",ROUND(N2113*O2113/P2113,1))</f>
        <v>4.5</v>
      </c>
      <c r="S2113" s="13" t="n">
        <f aca="false">IF(R2113="","",IF(Q2113="Y",1,IF(P2113&gt;='Read me'!$B$16,3,IF(AND(R2113&gt;='Read me'!$B$14,P2113&lt;='Read me'!$B$15),1,2))))</f>
        <v>2</v>
      </c>
    </row>
    <row r="2114" customFormat="false" ht="35.05" hidden="false" customHeight="false" outlineLevel="0" collapsed="false">
      <c r="A2114" s="11" t="s">
        <v>12940</v>
      </c>
      <c r="B2114" s="11" t="s">
        <v>49</v>
      </c>
      <c r="C2114" s="11" t="s">
        <v>429</v>
      </c>
      <c r="D2114" s="11" t="s">
        <v>430</v>
      </c>
      <c r="E2114" s="11" t="s">
        <v>765</v>
      </c>
      <c r="F2114" s="11" t="s">
        <v>12941</v>
      </c>
      <c r="G2114" s="11" t="s">
        <v>12942</v>
      </c>
      <c r="H2114" s="11"/>
      <c r="I2114" s="11" t="s">
        <v>512</v>
      </c>
      <c r="J2114" s="11" t="s">
        <v>12943</v>
      </c>
      <c r="K2114" s="11" t="s">
        <v>12944</v>
      </c>
      <c r="L2114" s="11" t="s">
        <v>12945</v>
      </c>
      <c r="M2114" s="11"/>
      <c r="N2114" s="14" t="n">
        <v>3</v>
      </c>
      <c r="O2114" s="14" t="n">
        <v>4</v>
      </c>
      <c r="P2114" s="14" t="n">
        <v>2</v>
      </c>
      <c r="Q2114" s="14"/>
      <c r="R2114" s="12" t="n">
        <f aca="false">IF(OR(N2114="",P2114=""),"",ROUND(N2114*O2114/P2114,1))</f>
        <v>6</v>
      </c>
      <c r="S2114" s="13" t="n">
        <f aca="false">IF(R2114="","",IF(Q2114="Y",1,IF(P2114&gt;='Read me'!$B$16,3,IF(AND(R2114&gt;='Read me'!$B$14,P2114&lt;='Read me'!$B$15),1,2))))</f>
        <v>1</v>
      </c>
    </row>
    <row r="2115" customFormat="false" ht="23.85" hidden="false" customHeight="false" outlineLevel="0" collapsed="false">
      <c r="A2115" s="11" t="s">
        <v>12946</v>
      </c>
      <c r="B2115" s="11" t="s">
        <v>49</v>
      </c>
      <c r="C2115" s="11" t="s">
        <v>429</v>
      </c>
      <c r="D2115" s="11" t="s">
        <v>430</v>
      </c>
      <c r="E2115" s="11" t="s">
        <v>765</v>
      </c>
      <c r="F2115" s="11" t="s">
        <v>12947</v>
      </c>
      <c r="G2115" s="11" t="s">
        <v>12948</v>
      </c>
      <c r="H2115" s="11"/>
      <c r="I2115" s="11" t="s">
        <v>12949</v>
      </c>
      <c r="J2115" s="11" t="s">
        <v>12950</v>
      </c>
      <c r="K2115" s="11" t="s">
        <v>12951</v>
      </c>
      <c r="L2115" s="11" t="s">
        <v>12952</v>
      </c>
      <c r="M2115" s="11"/>
      <c r="N2115" s="14" t="n">
        <v>2</v>
      </c>
      <c r="O2115" s="14" t="n">
        <v>3</v>
      </c>
      <c r="P2115" s="14" t="n">
        <v>3</v>
      </c>
      <c r="Q2115" s="14"/>
      <c r="R2115" s="12" t="n">
        <f aca="false">IF(OR(N2115="",P2115=""),"",ROUND(N2115*O2115/P2115,1))</f>
        <v>2</v>
      </c>
      <c r="S2115" s="13" t="n">
        <f aca="false">IF(R2115="","",IF(Q2115="Y",1,IF(P2115&gt;='Read me'!$B$16,3,IF(AND(R2115&gt;='Read me'!$B$14,P2115&lt;='Read me'!$B$15),1,2))))</f>
        <v>2</v>
      </c>
    </row>
    <row r="2116" customFormat="false" ht="35.05" hidden="false" customHeight="false" outlineLevel="0" collapsed="false">
      <c r="A2116" s="11" t="s">
        <v>12953</v>
      </c>
      <c r="B2116" s="11" t="s">
        <v>49</v>
      </c>
      <c r="C2116" s="11" t="s">
        <v>429</v>
      </c>
      <c r="D2116" s="11" t="s">
        <v>430</v>
      </c>
      <c r="E2116" s="11" t="s">
        <v>765</v>
      </c>
      <c r="F2116" s="11" t="s">
        <v>12954</v>
      </c>
      <c r="G2116" s="11" t="s">
        <v>12955</v>
      </c>
      <c r="H2116" s="11"/>
      <c r="I2116" s="11" t="s">
        <v>12956</v>
      </c>
      <c r="J2116" s="11" t="s">
        <v>12957</v>
      </c>
      <c r="K2116" s="11" t="s">
        <v>1028</v>
      </c>
      <c r="L2116" s="11" t="s">
        <v>12958</v>
      </c>
      <c r="M2116" s="11" t="s">
        <v>12959</v>
      </c>
      <c r="N2116" s="14" t="n">
        <v>2</v>
      </c>
      <c r="O2116" s="14" t="n">
        <v>3</v>
      </c>
      <c r="P2116" s="14" t="n">
        <v>3</v>
      </c>
      <c r="Q2116" s="14"/>
      <c r="R2116" s="12" t="n">
        <f aca="false">IF(OR(N2116="",P2116=""),"",ROUND(N2116*O2116/P2116,1))</f>
        <v>2</v>
      </c>
      <c r="S2116" s="13" t="n">
        <f aca="false">IF(R2116="","",IF(Q2116="Y",1,IF(P2116&gt;='Read me'!$B$16,3,IF(AND(R2116&gt;='Read me'!$B$14,P2116&lt;='Read me'!$B$15),1,2))))</f>
        <v>2</v>
      </c>
    </row>
    <row r="2117" customFormat="false" ht="23.85" hidden="false" customHeight="false" outlineLevel="0" collapsed="false">
      <c r="A2117" s="11" t="s">
        <v>12960</v>
      </c>
      <c r="B2117" s="11" t="s">
        <v>49</v>
      </c>
      <c r="C2117" s="11" t="s">
        <v>429</v>
      </c>
      <c r="D2117" s="11" t="s">
        <v>430</v>
      </c>
      <c r="E2117" s="11" t="s">
        <v>1081</v>
      </c>
      <c r="F2117" s="11" t="s">
        <v>12961</v>
      </c>
      <c r="G2117" s="11" t="s">
        <v>9561</v>
      </c>
      <c r="H2117" s="11"/>
      <c r="I2117" s="11" t="s">
        <v>12962</v>
      </c>
      <c r="J2117" s="11" t="s">
        <v>12963</v>
      </c>
      <c r="K2117" s="11" t="s">
        <v>1028</v>
      </c>
      <c r="L2117" s="11" t="s">
        <v>12964</v>
      </c>
      <c r="M2117" s="11"/>
      <c r="N2117" s="14" t="n">
        <v>4</v>
      </c>
      <c r="O2117" s="14" t="n">
        <v>3</v>
      </c>
      <c r="P2117" s="14" t="n">
        <v>2</v>
      </c>
      <c r="Q2117" s="14"/>
      <c r="R2117" s="12" t="n">
        <f aca="false">IF(OR(N2117="",P2117=""),"",ROUND(N2117*O2117/P2117,1))</f>
        <v>6</v>
      </c>
      <c r="S2117" s="13" t="n">
        <f aca="false">IF(R2117="","",IF(Q2117="Y",1,IF(P2117&gt;='Read me'!$B$16,3,IF(AND(R2117&gt;='Read me'!$B$14,P2117&lt;='Read me'!$B$15),1,2))))</f>
        <v>1</v>
      </c>
    </row>
    <row r="2118" customFormat="false" ht="23.85" hidden="false" customHeight="false" outlineLevel="0" collapsed="false">
      <c r="A2118" s="11" t="s">
        <v>12965</v>
      </c>
      <c r="B2118" s="11" t="s">
        <v>49</v>
      </c>
      <c r="C2118" s="11" t="s">
        <v>429</v>
      </c>
      <c r="D2118" s="11" t="s">
        <v>430</v>
      </c>
      <c r="E2118" s="11" t="s">
        <v>1081</v>
      </c>
      <c r="F2118" s="11" t="s">
        <v>12966</v>
      </c>
      <c r="G2118" s="11" t="s">
        <v>12967</v>
      </c>
      <c r="H2118" s="11"/>
      <c r="I2118" s="11" t="s">
        <v>12968</v>
      </c>
      <c r="J2118" s="11" t="s">
        <v>12969</v>
      </c>
      <c r="K2118" s="11" t="s">
        <v>3180</v>
      </c>
      <c r="L2118" s="11" t="s">
        <v>12970</v>
      </c>
      <c r="M2118" s="11"/>
      <c r="N2118" s="14" t="n">
        <v>3</v>
      </c>
      <c r="O2118" s="14" t="n">
        <v>3</v>
      </c>
      <c r="P2118" s="14" t="n">
        <v>3</v>
      </c>
      <c r="Q2118" s="14"/>
      <c r="R2118" s="12" t="n">
        <f aca="false">IF(OR(N2118="",P2118=""),"",ROUND(N2118*O2118/P2118,1))</f>
        <v>3</v>
      </c>
      <c r="S2118" s="13" t="n">
        <f aca="false">IF(R2118="","",IF(Q2118="Y",1,IF(P2118&gt;='Read me'!$B$16,3,IF(AND(R2118&gt;='Read me'!$B$14,P2118&lt;='Read me'!$B$15),1,2))))</f>
        <v>2</v>
      </c>
    </row>
    <row r="2119" customFormat="false" ht="23.85" hidden="false" customHeight="false" outlineLevel="0" collapsed="false">
      <c r="A2119" s="11" t="s">
        <v>12971</v>
      </c>
      <c r="B2119" s="11" t="s">
        <v>49</v>
      </c>
      <c r="C2119" s="11" t="s">
        <v>429</v>
      </c>
      <c r="D2119" s="11" t="s">
        <v>430</v>
      </c>
      <c r="E2119" s="11" t="s">
        <v>1081</v>
      </c>
      <c r="F2119" s="11" t="s">
        <v>12972</v>
      </c>
      <c r="G2119" s="11" t="s">
        <v>12973</v>
      </c>
      <c r="H2119" s="11"/>
      <c r="I2119" s="11" t="s">
        <v>12974</v>
      </c>
      <c r="J2119" s="11" t="s">
        <v>12975</v>
      </c>
      <c r="K2119" s="11" t="s">
        <v>11217</v>
      </c>
      <c r="L2119" s="11" t="s">
        <v>12976</v>
      </c>
      <c r="M2119" s="11"/>
      <c r="N2119" s="14" t="n">
        <v>2</v>
      </c>
      <c r="O2119" s="14" t="n">
        <v>2</v>
      </c>
      <c r="P2119" s="14" t="n">
        <v>2</v>
      </c>
      <c r="Q2119" s="14"/>
      <c r="R2119" s="12" t="n">
        <f aca="false">IF(OR(N2119="",P2119=""),"",ROUND(N2119*O2119/P2119,1))</f>
        <v>2</v>
      </c>
      <c r="S2119" s="13" t="n">
        <f aca="false">IF(R2119="","",IF(Q2119="Y",1,IF(P2119&gt;='Read me'!$B$16,3,IF(AND(R2119&gt;='Read me'!$B$14,P2119&lt;='Read me'!$B$15),1,2))))</f>
        <v>2</v>
      </c>
    </row>
    <row r="2120" customFormat="false" ht="23.85" hidden="false" customHeight="false" outlineLevel="0" collapsed="false">
      <c r="A2120" s="11" t="s">
        <v>12977</v>
      </c>
      <c r="B2120" s="11" t="s">
        <v>49</v>
      </c>
      <c r="C2120" s="11" t="s">
        <v>429</v>
      </c>
      <c r="D2120" s="11" t="s">
        <v>430</v>
      </c>
      <c r="E2120" s="11" t="s">
        <v>1187</v>
      </c>
      <c r="F2120" s="11" t="s">
        <v>12978</v>
      </c>
      <c r="G2120" s="11" t="s">
        <v>12979</v>
      </c>
      <c r="H2120" s="11" t="s">
        <v>12980</v>
      </c>
      <c r="I2120" s="11" t="s">
        <v>12981</v>
      </c>
      <c r="J2120" s="11" t="s">
        <v>12982</v>
      </c>
      <c r="K2120" s="11" t="s">
        <v>12983</v>
      </c>
      <c r="L2120" s="11" t="s">
        <v>12396</v>
      </c>
      <c r="M2120" s="11"/>
      <c r="N2120" s="14" t="n">
        <v>3</v>
      </c>
      <c r="O2120" s="14" t="n">
        <v>5</v>
      </c>
      <c r="P2120" s="14" t="n">
        <v>4</v>
      </c>
      <c r="Q2120" s="14"/>
      <c r="R2120" s="12" t="n">
        <f aca="false">IF(OR(N2120="",P2120=""),"",ROUND(N2120*O2120/P2120,1))</f>
        <v>3.8</v>
      </c>
      <c r="S2120" s="13" t="n">
        <f aca="false">IF(R2120="","",IF(Q2120="Y",1,IF(P2120&gt;='Read me'!$B$16,3,IF(AND(R2120&gt;='Read me'!$B$14,P2120&lt;='Read me'!$B$15),1,2))))</f>
        <v>3</v>
      </c>
    </row>
    <row r="2121" customFormat="false" ht="35.05" hidden="false" customHeight="false" outlineLevel="0" collapsed="false">
      <c r="A2121" s="11" t="s">
        <v>12984</v>
      </c>
      <c r="B2121" s="11" t="s">
        <v>49</v>
      </c>
      <c r="C2121" s="11" t="s">
        <v>429</v>
      </c>
      <c r="D2121" s="11" t="s">
        <v>430</v>
      </c>
      <c r="E2121" s="11" t="s">
        <v>1187</v>
      </c>
      <c r="F2121" s="11" t="s">
        <v>12978</v>
      </c>
      <c r="G2121" s="11" t="s">
        <v>12985</v>
      </c>
      <c r="H2121" s="11" t="s">
        <v>5469</v>
      </c>
      <c r="I2121" s="11" t="s">
        <v>12986</v>
      </c>
      <c r="J2121" s="11" t="s">
        <v>12987</v>
      </c>
      <c r="K2121" s="11" t="s">
        <v>12988</v>
      </c>
      <c r="L2121" s="11" t="s">
        <v>12989</v>
      </c>
      <c r="M2121" s="11"/>
      <c r="N2121" s="14" t="n">
        <v>2</v>
      </c>
      <c r="O2121" s="14" t="n">
        <v>5</v>
      </c>
      <c r="P2121" s="14" t="n">
        <v>5</v>
      </c>
      <c r="Q2121" s="14"/>
      <c r="R2121" s="12" t="n">
        <f aca="false">IF(OR(N2121="",P2121=""),"",ROUND(N2121*O2121/P2121,1))</f>
        <v>2</v>
      </c>
      <c r="S2121" s="13" t="n">
        <f aca="false">IF(R2121="","",IF(Q2121="Y",1,IF(P2121&gt;='Read me'!$B$16,3,IF(AND(R2121&gt;='Read me'!$B$14,P2121&lt;='Read me'!$B$15),1,2))))</f>
        <v>3</v>
      </c>
    </row>
    <row r="2122" customFormat="false" ht="35.05" hidden="false" customHeight="false" outlineLevel="0" collapsed="false">
      <c r="A2122" s="11" t="s">
        <v>12990</v>
      </c>
      <c r="B2122" s="11" t="s">
        <v>49</v>
      </c>
      <c r="C2122" s="11" t="s">
        <v>429</v>
      </c>
      <c r="D2122" s="11" t="s">
        <v>430</v>
      </c>
      <c r="E2122" s="11" t="s">
        <v>1187</v>
      </c>
      <c r="F2122" s="11" t="s">
        <v>12991</v>
      </c>
      <c r="G2122" s="11" t="s">
        <v>3515</v>
      </c>
      <c r="H2122" s="11" t="s">
        <v>12992</v>
      </c>
      <c r="I2122" s="11" t="s">
        <v>12993</v>
      </c>
      <c r="J2122" s="11" t="s">
        <v>12994</v>
      </c>
      <c r="K2122" s="11" t="s">
        <v>12995</v>
      </c>
      <c r="L2122" s="11" t="s">
        <v>12996</v>
      </c>
      <c r="M2122" s="11" t="s">
        <v>12997</v>
      </c>
      <c r="N2122" s="14" t="n">
        <v>1</v>
      </c>
      <c r="O2122" s="14" t="n">
        <v>5</v>
      </c>
      <c r="P2122" s="14" t="n">
        <v>5</v>
      </c>
      <c r="Q2122" s="14"/>
      <c r="R2122" s="12" t="n">
        <f aca="false">IF(OR(N2122="",P2122=""),"",ROUND(N2122*O2122/P2122,1))</f>
        <v>1</v>
      </c>
      <c r="S2122" s="13" t="n">
        <f aca="false">IF(R2122="","",IF(Q2122="Y",1,IF(P2122&gt;='Read me'!$B$16,3,IF(AND(R2122&gt;='Read me'!$B$14,P2122&lt;='Read me'!$B$15),1,2))))</f>
        <v>3</v>
      </c>
    </row>
    <row r="2123" customFormat="false" ht="23.85" hidden="false" customHeight="false" outlineLevel="0" collapsed="false">
      <c r="A2123" s="11" t="s">
        <v>12998</v>
      </c>
      <c r="B2123" s="11" t="s">
        <v>49</v>
      </c>
      <c r="C2123" s="11" t="s">
        <v>429</v>
      </c>
      <c r="D2123" s="11" t="s">
        <v>430</v>
      </c>
      <c r="E2123" s="11" t="s">
        <v>1187</v>
      </c>
      <c r="F2123" s="11" t="s">
        <v>12999</v>
      </c>
      <c r="G2123" s="11" t="s">
        <v>13000</v>
      </c>
      <c r="H2123" s="11"/>
      <c r="I2123" s="11" t="s">
        <v>13001</v>
      </c>
      <c r="J2123" s="11" t="s">
        <v>13002</v>
      </c>
      <c r="K2123" s="11" t="s">
        <v>13003</v>
      </c>
      <c r="L2123" s="11" t="s">
        <v>13004</v>
      </c>
      <c r="M2123" s="11"/>
      <c r="N2123" s="14" t="n">
        <v>2</v>
      </c>
      <c r="O2123" s="14" t="n">
        <v>3</v>
      </c>
      <c r="P2123" s="14" t="n">
        <v>4</v>
      </c>
      <c r="Q2123" s="14"/>
      <c r="R2123" s="12" t="n">
        <f aca="false">IF(OR(N2123="",P2123=""),"",ROUND(N2123*O2123/P2123,1))</f>
        <v>1.5</v>
      </c>
      <c r="S2123" s="13" t="n">
        <f aca="false">IF(R2123="","",IF(Q2123="Y",1,IF(P2123&gt;='Read me'!$B$16,3,IF(AND(R2123&gt;='Read me'!$B$14,P2123&lt;='Read me'!$B$15),1,2))))</f>
        <v>3</v>
      </c>
    </row>
    <row r="2124" customFormat="false" ht="23.85" hidden="false" customHeight="false" outlineLevel="0" collapsed="false">
      <c r="A2124" s="11" t="s">
        <v>13005</v>
      </c>
      <c r="B2124" s="11" t="s">
        <v>49</v>
      </c>
      <c r="C2124" s="11" t="s">
        <v>429</v>
      </c>
      <c r="D2124" s="11" t="s">
        <v>430</v>
      </c>
      <c r="E2124" s="11" t="s">
        <v>1187</v>
      </c>
      <c r="F2124" s="11" t="s">
        <v>13006</v>
      </c>
      <c r="G2124" s="11" t="s">
        <v>13007</v>
      </c>
      <c r="H2124" s="11" t="s">
        <v>13008</v>
      </c>
      <c r="I2124" s="11" t="s">
        <v>13009</v>
      </c>
      <c r="J2124" s="11" t="s">
        <v>13010</v>
      </c>
      <c r="K2124" s="11" t="s">
        <v>13011</v>
      </c>
      <c r="L2124" s="11" t="s">
        <v>13012</v>
      </c>
      <c r="M2124" s="11"/>
      <c r="N2124" s="14" t="n">
        <v>1</v>
      </c>
      <c r="O2124" s="14" t="n">
        <v>3</v>
      </c>
      <c r="P2124" s="14" t="n">
        <v>4</v>
      </c>
      <c r="Q2124" s="14"/>
      <c r="R2124" s="12" t="n">
        <f aca="false">IF(OR(N2124="",P2124=""),"",ROUND(N2124*O2124/P2124,1))</f>
        <v>0.8</v>
      </c>
      <c r="S2124" s="13" t="n">
        <f aca="false">IF(R2124="","",IF(Q2124="Y",1,IF(P2124&gt;='Read me'!$B$16,3,IF(AND(R2124&gt;='Read me'!$B$14,P2124&lt;='Read me'!$B$15),1,2))))</f>
        <v>3</v>
      </c>
    </row>
    <row r="2125" customFormat="false" ht="23.85" hidden="false" customHeight="false" outlineLevel="0" collapsed="false">
      <c r="A2125" s="11" t="s">
        <v>13013</v>
      </c>
      <c r="B2125" s="11" t="s">
        <v>49</v>
      </c>
      <c r="C2125" s="11" t="s">
        <v>429</v>
      </c>
      <c r="D2125" s="11" t="s">
        <v>430</v>
      </c>
      <c r="E2125" s="11" t="s">
        <v>1187</v>
      </c>
      <c r="F2125" s="11" t="s">
        <v>13014</v>
      </c>
      <c r="G2125" s="11" t="s">
        <v>13015</v>
      </c>
      <c r="H2125" s="11" t="s">
        <v>13016</v>
      </c>
      <c r="I2125" s="11" t="s">
        <v>13017</v>
      </c>
      <c r="J2125" s="11" t="s">
        <v>13018</v>
      </c>
      <c r="K2125" s="11" t="s">
        <v>12235</v>
      </c>
      <c r="L2125" s="11" t="s">
        <v>13019</v>
      </c>
      <c r="M2125" s="11"/>
      <c r="N2125" s="14" t="n">
        <v>2</v>
      </c>
      <c r="O2125" s="14" t="n">
        <v>3</v>
      </c>
      <c r="P2125" s="14" t="n">
        <v>3</v>
      </c>
      <c r="Q2125" s="14"/>
      <c r="R2125" s="12" t="n">
        <f aca="false">IF(OR(N2125="",P2125=""),"",ROUND(N2125*O2125/P2125,1))</f>
        <v>2</v>
      </c>
      <c r="S2125" s="13" t="n">
        <f aca="false">IF(R2125="","",IF(Q2125="Y",1,IF(P2125&gt;='Read me'!$B$16,3,IF(AND(R2125&gt;='Read me'!$B$14,P2125&lt;='Read me'!$B$15),1,2))))</f>
        <v>2</v>
      </c>
    </row>
    <row r="2126" customFormat="false" ht="35.05" hidden="false" customHeight="false" outlineLevel="0" collapsed="false">
      <c r="A2126" s="11" t="s">
        <v>13020</v>
      </c>
      <c r="B2126" s="11" t="s">
        <v>49</v>
      </c>
      <c r="C2126" s="11" t="s">
        <v>429</v>
      </c>
      <c r="D2126" s="11" t="s">
        <v>430</v>
      </c>
      <c r="E2126" s="11" t="s">
        <v>1187</v>
      </c>
      <c r="F2126" s="11" t="s">
        <v>13021</v>
      </c>
      <c r="G2126" s="11" t="s">
        <v>10936</v>
      </c>
      <c r="H2126" s="11" t="s">
        <v>13022</v>
      </c>
      <c r="I2126" s="11" t="s">
        <v>13023</v>
      </c>
      <c r="J2126" s="11" t="s">
        <v>13024</v>
      </c>
      <c r="K2126" s="11" t="s">
        <v>13025</v>
      </c>
      <c r="L2126" s="11" t="s">
        <v>13026</v>
      </c>
      <c r="M2126" s="11" t="s">
        <v>13027</v>
      </c>
      <c r="N2126" s="14" t="n">
        <v>1</v>
      </c>
      <c r="O2126" s="14" t="n">
        <v>4</v>
      </c>
      <c r="P2126" s="14" t="n">
        <v>4</v>
      </c>
      <c r="Q2126" s="14"/>
      <c r="R2126" s="12" t="n">
        <f aca="false">IF(OR(N2126="",P2126=""),"",ROUND(N2126*O2126/P2126,1))</f>
        <v>1</v>
      </c>
      <c r="S2126" s="13" t="n">
        <f aca="false">IF(R2126="","",IF(Q2126="Y",1,IF(P2126&gt;='Read me'!$B$16,3,IF(AND(R2126&gt;='Read me'!$B$14,P2126&lt;='Read me'!$B$15),1,2))))</f>
        <v>3</v>
      </c>
    </row>
    <row r="2127" customFormat="false" ht="23.85" hidden="false" customHeight="false" outlineLevel="0" collapsed="false">
      <c r="A2127" s="11" t="s">
        <v>13028</v>
      </c>
      <c r="B2127" s="11" t="s">
        <v>49</v>
      </c>
      <c r="C2127" s="11" t="s">
        <v>429</v>
      </c>
      <c r="D2127" s="11" t="s">
        <v>430</v>
      </c>
      <c r="E2127" s="11" t="s">
        <v>1133</v>
      </c>
      <c r="F2127" s="11" t="s">
        <v>13029</v>
      </c>
      <c r="G2127" s="11" t="s">
        <v>9595</v>
      </c>
      <c r="H2127" s="11"/>
      <c r="I2127" s="11" t="s">
        <v>13030</v>
      </c>
      <c r="J2127" s="11" t="s">
        <v>13031</v>
      </c>
      <c r="K2127" s="11" t="s">
        <v>13032</v>
      </c>
      <c r="L2127" s="11" t="s">
        <v>13033</v>
      </c>
      <c r="M2127" s="11"/>
      <c r="N2127" s="14" t="n">
        <v>3</v>
      </c>
      <c r="O2127" s="14" t="n">
        <v>3</v>
      </c>
      <c r="P2127" s="14" t="n">
        <v>1</v>
      </c>
      <c r="Q2127" s="14"/>
      <c r="R2127" s="12" t="n">
        <f aca="false">IF(OR(N2127="",P2127=""),"",ROUND(N2127*O2127/P2127,1))</f>
        <v>9</v>
      </c>
      <c r="S2127" s="13" t="n">
        <f aca="false">IF(R2127="","",IF(Q2127="Y",1,IF(P2127&gt;='Read me'!$B$16,3,IF(AND(R2127&gt;='Read me'!$B$14,P2127&lt;='Read me'!$B$15),1,2))))</f>
        <v>1</v>
      </c>
    </row>
    <row r="2128" customFormat="false" ht="23.85" hidden="false" customHeight="false" outlineLevel="0" collapsed="false">
      <c r="A2128" s="11" t="s">
        <v>13034</v>
      </c>
      <c r="B2128" s="11" t="s">
        <v>49</v>
      </c>
      <c r="C2128" s="11" t="s">
        <v>429</v>
      </c>
      <c r="D2128" s="11" t="s">
        <v>430</v>
      </c>
      <c r="E2128" s="11" t="s">
        <v>1133</v>
      </c>
      <c r="F2128" s="11" t="s">
        <v>13035</v>
      </c>
      <c r="G2128" s="11" t="s">
        <v>10812</v>
      </c>
      <c r="H2128" s="11" t="s">
        <v>9525</v>
      </c>
      <c r="I2128" s="11" t="s">
        <v>13036</v>
      </c>
      <c r="J2128" s="11" t="s">
        <v>13037</v>
      </c>
      <c r="K2128" s="11" t="s">
        <v>13038</v>
      </c>
      <c r="L2128" s="11" t="s">
        <v>13039</v>
      </c>
      <c r="M2128" s="11"/>
      <c r="N2128" s="14" t="n">
        <v>1</v>
      </c>
      <c r="O2128" s="14" t="n">
        <v>2</v>
      </c>
      <c r="P2128" s="14" t="n">
        <v>3</v>
      </c>
      <c r="Q2128" s="14"/>
      <c r="R2128" s="12" t="n">
        <f aca="false">IF(OR(N2128="",P2128=""),"",ROUND(N2128*O2128/P2128,1))</f>
        <v>0.7</v>
      </c>
      <c r="S2128" s="13" t="n">
        <f aca="false">IF(R2128="","",IF(Q2128="Y",1,IF(P2128&gt;='Read me'!$B$16,3,IF(AND(R2128&gt;='Read me'!$B$14,P2128&lt;='Read me'!$B$15),1,2))))</f>
        <v>2</v>
      </c>
    </row>
    <row r="2129" customFormat="false" ht="23.85" hidden="false" customHeight="false" outlineLevel="0" collapsed="false">
      <c r="A2129" s="11" t="s">
        <v>13040</v>
      </c>
      <c r="B2129" s="11" t="s">
        <v>49</v>
      </c>
      <c r="C2129" s="11" t="s">
        <v>429</v>
      </c>
      <c r="D2129" s="11" t="s">
        <v>430</v>
      </c>
      <c r="E2129" s="11" t="s">
        <v>1133</v>
      </c>
      <c r="F2129" s="11" t="s">
        <v>13041</v>
      </c>
      <c r="G2129" s="11" t="s">
        <v>13042</v>
      </c>
      <c r="H2129" s="11"/>
      <c r="I2129" s="11" t="s">
        <v>13043</v>
      </c>
      <c r="J2129" s="11" t="s">
        <v>13044</v>
      </c>
      <c r="K2129" s="11" t="s">
        <v>4587</v>
      </c>
      <c r="L2129" s="11" t="s">
        <v>13045</v>
      </c>
      <c r="M2129" s="11"/>
      <c r="N2129" s="14" t="n">
        <v>1</v>
      </c>
      <c r="O2129" s="14" t="n">
        <v>2</v>
      </c>
      <c r="P2129" s="14" t="n">
        <v>2</v>
      </c>
      <c r="Q2129" s="14"/>
      <c r="R2129" s="12" t="n">
        <f aca="false">IF(OR(N2129="",P2129=""),"",ROUND(N2129*O2129/P2129,1))</f>
        <v>1</v>
      </c>
      <c r="S2129" s="13" t="n">
        <f aca="false">IF(R2129="","",IF(Q2129="Y",1,IF(P2129&gt;='Read me'!$B$16,3,IF(AND(R2129&gt;='Read me'!$B$14,P2129&lt;='Read me'!$B$15),1,2))))</f>
        <v>2</v>
      </c>
    </row>
    <row r="2130" customFormat="false" ht="23.85" hidden="false" customHeight="false" outlineLevel="0" collapsed="false">
      <c r="A2130" s="11" t="s">
        <v>13046</v>
      </c>
      <c r="B2130" s="11" t="s">
        <v>49</v>
      </c>
      <c r="C2130" s="11" t="s">
        <v>429</v>
      </c>
      <c r="D2130" s="11" t="s">
        <v>430</v>
      </c>
      <c r="E2130" s="11" t="s">
        <v>1133</v>
      </c>
      <c r="F2130" s="11" t="s">
        <v>13047</v>
      </c>
      <c r="G2130" s="11" t="s">
        <v>9595</v>
      </c>
      <c r="H2130" s="11"/>
      <c r="I2130" s="11" t="s">
        <v>512</v>
      </c>
      <c r="J2130" s="11" t="s">
        <v>13048</v>
      </c>
      <c r="K2130" s="11" t="s">
        <v>13049</v>
      </c>
      <c r="L2130" s="11" t="s">
        <v>12925</v>
      </c>
      <c r="M2130" s="11" t="s">
        <v>13050</v>
      </c>
      <c r="N2130" s="14" t="n">
        <v>2</v>
      </c>
      <c r="O2130" s="14" t="n">
        <v>2</v>
      </c>
      <c r="P2130" s="14" t="n">
        <v>2</v>
      </c>
      <c r="Q2130" s="14"/>
      <c r="R2130" s="12" t="n">
        <f aca="false">IF(OR(N2130="",P2130=""),"",ROUND(N2130*O2130/P2130,1))</f>
        <v>2</v>
      </c>
      <c r="S2130" s="13" t="n">
        <f aca="false">IF(R2130="","",IF(Q2130="Y",1,IF(P2130&gt;='Read me'!$B$16,3,IF(AND(R2130&gt;='Read me'!$B$14,P2130&lt;='Read me'!$B$15),1,2))))</f>
        <v>2</v>
      </c>
    </row>
    <row r="2131" customFormat="false" ht="23.85" hidden="false" customHeight="false" outlineLevel="0" collapsed="false">
      <c r="A2131" s="11" t="s">
        <v>13051</v>
      </c>
      <c r="B2131" s="11" t="s">
        <v>49</v>
      </c>
      <c r="C2131" s="11" t="s">
        <v>432</v>
      </c>
      <c r="D2131" s="11" t="s">
        <v>433</v>
      </c>
      <c r="E2131" s="11" t="s">
        <v>476</v>
      </c>
      <c r="F2131" s="11" t="s">
        <v>13052</v>
      </c>
      <c r="G2131" s="11" t="s">
        <v>13053</v>
      </c>
      <c r="H2131" s="11"/>
      <c r="I2131" s="11" t="s">
        <v>512</v>
      </c>
      <c r="J2131" s="11" t="s">
        <v>13054</v>
      </c>
      <c r="K2131" s="11" t="s">
        <v>13055</v>
      </c>
      <c r="L2131" s="11" t="s">
        <v>13056</v>
      </c>
      <c r="M2131" s="11"/>
      <c r="N2131" s="14" t="n">
        <v>1</v>
      </c>
      <c r="O2131" s="14" t="n">
        <v>5</v>
      </c>
      <c r="P2131" s="14" t="n">
        <v>5</v>
      </c>
      <c r="Q2131" s="14"/>
      <c r="R2131" s="12" t="n">
        <f aca="false">IF(OR(N2131="",P2131=""),"",ROUND(N2131*O2131/P2131,1))</f>
        <v>1</v>
      </c>
      <c r="S2131" s="13" t="n">
        <f aca="false">IF(R2131="","",IF(Q2131="Y",1,IF(P2131&gt;='Read me'!$B$16,3,IF(AND(R2131&gt;='Read me'!$B$14,P2131&lt;='Read me'!$B$15),1,2))))</f>
        <v>3</v>
      </c>
    </row>
    <row r="2132" customFormat="false" ht="35.05" hidden="false" customHeight="false" outlineLevel="0" collapsed="false">
      <c r="A2132" s="11" t="s">
        <v>13057</v>
      </c>
      <c r="B2132" s="11" t="s">
        <v>49</v>
      </c>
      <c r="C2132" s="11" t="s">
        <v>432</v>
      </c>
      <c r="D2132" s="11" t="s">
        <v>433</v>
      </c>
      <c r="E2132" s="11" t="s">
        <v>751</v>
      </c>
      <c r="F2132" s="11" t="s">
        <v>13058</v>
      </c>
      <c r="G2132" s="11" t="s">
        <v>10565</v>
      </c>
      <c r="H2132" s="11"/>
      <c r="I2132" s="11" t="s">
        <v>13059</v>
      </c>
      <c r="J2132" s="11" t="s">
        <v>13060</v>
      </c>
      <c r="K2132" s="11" t="s">
        <v>13061</v>
      </c>
      <c r="L2132" s="11" t="s">
        <v>13062</v>
      </c>
      <c r="M2132" s="11" t="s">
        <v>1256</v>
      </c>
      <c r="N2132" s="14" t="n">
        <v>1</v>
      </c>
      <c r="O2132" s="14" t="n">
        <v>4</v>
      </c>
      <c r="P2132" s="14" t="n">
        <v>4</v>
      </c>
      <c r="Q2132" s="14"/>
      <c r="R2132" s="12" t="n">
        <f aca="false">IF(OR(N2132="",P2132=""),"",ROUND(N2132*O2132/P2132,1))</f>
        <v>1</v>
      </c>
      <c r="S2132" s="13" t="n">
        <f aca="false">IF(R2132="","",IF(Q2132="Y",1,IF(P2132&gt;='Read me'!$B$16,3,IF(AND(R2132&gt;='Read me'!$B$14,P2132&lt;='Read me'!$B$15),1,2))))</f>
        <v>3</v>
      </c>
    </row>
    <row r="2133" customFormat="false" ht="23.85" hidden="false" customHeight="false" outlineLevel="0" collapsed="false">
      <c r="A2133" s="11" t="s">
        <v>13063</v>
      </c>
      <c r="B2133" s="11" t="s">
        <v>49</v>
      </c>
      <c r="C2133" s="11" t="s">
        <v>432</v>
      </c>
      <c r="D2133" s="11" t="s">
        <v>433</v>
      </c>
      <c r="E2133" s="11" t="s">
        <v>1187</v>
      </c>
      <c r="F2133" s="11" t="s">
        <v>13064</v>
      </c>
      <c r="G2133" s="11" t="s">
        <v>13065</v>
      </c>
      <c r="H2133" s="11" t="s">
        <v>13066</v>
      </c>
      <c r="I2133" s="11" t="s">
        <v>13067</v>
      </c>
      <c r="J2133" s="11" t="s">
        <v>13068</v>
      </c>
      <c r="K2133" s="11" t="s">
        <v>1151</v>
      </c>
      <c r="L2133" s="11" t="s">
        <v>13069</v>
      </c>
      <c r="M2133" s="11"/>
      <c r="N2133" s="14" t="n">
        <v>3</v>
      </c>
      <c r="O2133" s="14" t="n">
        <v>5</v>
      </c>
      <c r="P2133" s="14" t="n">
        <v>3</v>
      </c>
      <c r="Q2133" s="14"/>
      <c r="R2133" s="12" t="n">
        <f aca="false">IF(OR(N2133="",P2133=""),"",ROUND(N2133*O2133/P2133,1))</f>
        <v>5</v>
      </c>
      <c r="S2133" s="13" t="n">
        <f aca="false">IF(R2133="","",IF(Q2133="Y",1,IF(P2133&gt;='Read me'!$B$16,3,IF(AND(R2133&gt;='Read me'!$B$14,P2133&lt;='Read me'!$B$15),1,2))))</f>
        <v>2</v>
      </c>
    </row>
    <row r="2134" customFormat="false" ht="23.85" hidden="false" customHeight="false" outlineLevel="0" collapsed="false">
      <c r="A2134" s="11" t="s">
        <v>13070</v>
      </c>
      <c r="B2134" s="11" t="s">
        <v>49</v>
      </c>
      <c r="C2134" s="11" t="s">
        <v>432</v>
      </c>
      <c r="D2134" s="11" t="s">
        <v>433</v>
      </c>
      <c r="E2134" s="11" t="s">
        <v>1187</v>
      </c>
      <c r="F2134" s="11" t="s">
        <v>13064</v>
      </c>
      <c r="G2134" s="11" t="s">
        <v>13071</v>
      </c>
      <c r="H2134" s="11" t="s">
        <v>11870</v>
      </c>
      <c r="I2134" s="11" t="s">
        <v>13072</v>
      </c>
      <c r="J2134" s="11" t="s">
        <v>13073</v>
      </c>
      <c r="K2134" s="11" t="s">
        <v>13074</v>
      </c>
      <c r="L2134" s="11" t="s">
        <v>13075</v>
      </c>
      <c r="M2134" s="11"/>
      <c r="N2134" s="14" t="n">
        <v>3</v>
      </c>
      <c r="O2134" s="14" t="n">
        <v>4</v>
      </c>
      <c r="P2134" s="14" t="n">
        <v>3</v>
      </c>
      <c r="Q2134" s="14"/>
      <c r="R2134" s="12" t="n">
        <f aca="false">IF(OR(N2134="",P2134=""),"",ROUND(N2134*O2134/P2134,1))</f>
        <v>4</v>
      </c>
      <c r="S2134" s="13" t="n">
        <f aca="false">IF(R2134="","",IF(Q2134="Y",1,IF(P2134&gt;='Read me'!$B$16,3,IF(AND(R2134&gt;='Read me'!$B$14,P2134&lt;='Read me'!$B$15),1,2))))</f>
        <v>2</v>
      </c>
    </row>
    <row r="2135" customFormat="false" ht="68.65" hidden="false" customHeight="false" outlineLevel="0" collapsed="false">
      <c r="A2135" s="11" t="s">
        <v>13076</v>
      </c>
      <c r="B2135" s="11" t="s">
        <v>49</v>
      </c>
      <c r="C2135" s="11" t="s">
        <v>432</v>
      </c>
      <c r="D2135" s="11" t="s">
        <v>433</v>
      </c>
      <c r="E2135" s="11" t="s">
        <v>1187</v>
      </c>
      <c r="F2135" s="11" t="s">
        <v>13077</v>
      </c>
      <c r="G2135" s="11" t="s">
        <v>7498</v>
      </c>
      <c r="H2135" s="11"/>
      <c r="I2135" s="11" t="s">
        <v>13078</v>
      </c>
      <c r="J2135" s="11" t="s">
        <v>13079</v>
      </c>
      <c r="K2135" s="11" t="s">
        <v>12724</v>
      </c>
      <c r="L2135" s="11" t="s">
        <v>13080</v>
      </c>
      <c r="M2135" s="11" t="s">
        <v>13081</v>
      </c>
      <c r="N2135" s="14" t="n">
        <v>2</v>
      </c>
      <c r="O2135" s="14" t="n">
        <v>5</v>
      </c>
      <c r="P2135" s="14" t="n">
        <v>5</v>
      </c>
      <c r="Q2135" s="14"/>
      <c r="R2135" s="12" t="n">
        <f aca="false">IF(OR(N2135="",P2135=""),"",ROUND(N2135*O2135/P2135,1))</f>
        <v>2</v>
      </c>
      <c r="S2135" s="13" t="n">
        <f aca="false">IF(R2135="","",IF(Q2135="Y",1,IF(P2135&gt;='Read me'!$B$16,3,IF(AND(R2135&gt;='Read me'!$B$14,P2135&lt;='Read me'!$B$15),1,2))))</f>
        <v>3</v>
      </c>
    </row>
    <row r="2136" customFormat="false" ht="57.45" hidden="false" customHeight="false" outlineLevel="0" collapsed="false">
      <c r="A2136" s="11" t="s">
        <v>13082</v>
      </c>
      <c r="B2136" s="11" t="s">
        <v>49</v>
      </c>
      <c r="C2136" s="11" t="s">
        <v>432</v>
      </c>
      <c r="D2136" s="11" t="s">
        <v>433</v>
      </c>
      <c r="E2136" s="11" t="s">
        <v>1187</v>
      </c>
      <c r="F2136" s="11" t="s">
        <v>13077</v>
      </c>
      <c r="G2136" s="11" t="s">
        <v>13083</v>
      </c>
      <c r="H2136" s="11"/>
      <c r="I2136" s="11" t="s">
        <v>13084</v>
      </c>
      <c r="J2136" s="11" t="s">
        <v>13085</v>
      </c>
      <c r="K2136" s="11" t="s">
        <v>13086</v>
      </c>
      <c r="L2136" s="11" t="s">
        <v>13087</v>
      </c>
      <c r="M2136" s="11" t="s">
        <v>12726</v>
      </c>
      <c r="N2136" s="14" t="n">
        <v>2</v>
      </c>
      <c r="O2136" s="14" t="n">
        <v>5</v>
      </c>
      <c r="P2136" s="14" t="n">
        <v>5</v>
      </c>
      <c r="Q2136" s="14"/>
      <c r="R2136" s="12" t="n">
        <f aca="false">IF(OR(N2136="",P2136=""),"",ROUND(N2136*O2136/P2136,1))</f>
        <v>2</v>
      </c>
      <c r="S2136" s="13" t="n">
        <f aca="false">IF(R2136="","",IF(Q2136="Y",1,IF(P2136&gt;='Read me'!$B$16,3,IF(AND(R2136&gt;='Read me'!$B$14,P2136&lt;='Read me'!$B$15),1,2))))</f>
        <v>3</v>
      </c>
    </row>
    <row r="2137" customFormat="false" ht="35.05" hidden="false" customHeight="false" outlineLevel="0" collapsed="false">
      <c r="A2137" s="11" t="s">
        <v>13088</v>
      </c>
      <c r="B2137" s="11" t="s">
        <v>49</v>
      </c>
      <c r="C2137" s="11" t="s">
        <v>432</v>
      </c>
      <c r="D2137" s="11" t="s">
        <v>433</v>
      </c>
      <c r="E2137" s="11" t="s">
        <v>1187</v>
      </c>
      <c r="F2137" s="11" t="s">
        <v>13077</v>
      </c>
      <c r="G2137" s="11" t="s">
        <v>13089</v>
      </c>
      <c r="H2137" s="11" t="s">
        <v>13090</v>
      </c>
      <c r="I2137" s="11" t="s">
        <v>13091</v>
      </c>
      <c r="J2137" s="11" t="s">
        <v>13092</v>
      </c>
      <c r="K2137" s="11" t="s">
        <v>916</v>
      </c>
      <c r="L2137" s="11" t="s">
        <v>13093</v>
      </c>
      <c r="M2137" s="11" t="s">
        <v>13094</v>
      </c>
      <c r="N2137" s="14" t="n">
        <v>1</v>
      </c>
      <c r="O2137" s="14" t="n">
        <v>5</v>
      </c>
      <c r="P2137" s="14" t="n">
        <v>5</v>
      </c>
      <c r="Q2137" s="14"/>
      <c r="R2137" s="12" t="n">
        <f aca="false">IF(OR(N2137="",P2137=""),"",ROUND(N2137*O2137/P2137,1))</f>
        <v>1</v>
      </c>
      <c r="S2137" s="13" t="n">
        <f aca="false">IF(R2137="","",IF(Q2137="Y",1,IF(P2137&gt;='Read me'!$B$16,3,IF(AND(R2137&gt;='Read me'!$B$14,P2137&lt;='Read me'!$B$15),1,2))))</f>
        <v>3</v>
      </c>
    </row>
    <row r="2138" customFormat="false" ht="23.85" hidden="false" customHeight="false" outlineLevel="0" collapsed="false">
      <c r="A2138" s="11" t="s">
        <v>13095</v>
      </c>
      <c r="B2138" s="11" t="s">
        <v>49</v>
      </c>
      <c r="C2138" s="11" t="s">
        <v>432</v>
      </c>
      <c r="D2138" s="11" t="s">
        <v>433</v>
      </c>
      <c r="E2138" s="11" t="s">
        <v>1187</v>
      </c>
      <c r="F2138" s="11" t="s">
        <v>13077</v>
      </c>
      <c r="G2138" s="11" t="s">
        <v>13096</v>
      </c>
      <c r="H2138" s="11" t="s">
        <v>13097</v>
      </c>
      <c r="I2138" s="11" t="s">
        <v>13098</v>
      </c>
      <c r="J2138" s="11" t="s">
        <v>13099</v>
      </c>
      <c r="K2138" s="11" t="s">
        <v>12724</v>
      </c>
      <c r="L2138" s="11" t="s">
        <v>13100</v>
      </c>
      <c r="M2138" s="11"/>
      <c r="N2138" s="14" t="n">
        <v>1</v>
      </c>
      <c r="O2138" s="14" t="n">
        <v>5</v>
      </c>
      <c r="P2138" s="14" t="n">
        <v>5</v>
      </c>
      <c r="Q2138" s="14"/>
      <c r="R2138" s="12" t="n">
        <f aca="false">IF(OR(N2138="",P2138=""),"",ROUND(N2138*O2138/P2138,1))</f>
        <v>1</v>
      </c>
      <c r="S2138" s="13" t="n">
        <f aca="false">IF(R2138="","",IF(Q2138="Y",1,IF(P2138&gt;='Read me'!$B$16,3,IF(AND(R2138&gt;='Read me'!$B$14,P2138&lt;='Read me'!$B$15),1,2))))</f>
        <v>3</v>
      </c>
    </row>
    <row r="2139" customFormat="false" ht="46.25" hidden="false" customHeight="false" outlineLevel="0" collapsed="false">
      <c r="A2139" s="11" t="s">
        <v>13101</v>
      </c>
      <c r="B2139" s="11" t="s">
        <v>49</v>
      </c>
      <c r="C2139" s="11" t="s">
        <v>432</v>
      </c>
      <c r="D2139" s="11" t="s">
        <v>433</v>
      </c>
      <c r="E2139" s="11" t="s">
        <v>1187</v>
      </c>
      <c r="F2139" s="11" t="s">
        <v>13102</v>
      </c>
      <c r="G2139" s="11" t="s">
        <v>13103</v>
      </c>
      <c r="H2139" s="11" t="s">
        <v>10355</v>
      </c>
      <c r="I2139" s="11" t="s">
        <v>13104</v>
      </c>
      <c r="J2139" s="11" t="s">
        <v>13105</v>
      </c>
      <c r="K2139" s="11" t="s">
        <v>916</v>
      </c>
      <c r="L2139" s="11" t="s">
        <v>13106</v>
      </c>
      <c r="M2139" s="11" t="s">
        <v>13107</v>
      </c>
      <c r="N2139" s="14" t="n">
        <v>1</v>
      </c>
      <c r="O2139" s="14" t="n">
        <v>5</v>
      </c>
      <c r="P2139" s="14" t="n">
        <v>5</v>
      </c>
      <c r="Q2139" s="14"/>
      <c r="R2139" s="12" t="n">
        <f aca="false">IF(OR(N2139="",P2139=""),"",ROUND(N2139*O2139/P2139,1))</f>
        <v>1</v>
      </c>
      <c r="S2139" s="13" t="n">
        <f aca="false">IF(R2139="","",IF(Q2139="Y",1,IF(P2139&gt;='Read me'!$B$16,3,IF(AND(R2139&gt;='Read me'!$B$14,P2139&lt;='Read me'!$B$15),1,2))))</f>
        <v>3</v>
      </c>
    </row>
    <row r="2140" customFormat="false" ht="23.85" hidden="false" customHeight="false" outlineLevel="0" collapsed="false">
      <c r="A2140" s="11" t="s">
        <v>13108</v>
      </c>
      <c r="B2140" s="11" t="s">
        <v>49</v>
      </c>
      <c r="C2140" s="11" t="s">
        <v>432</v>
      </c>
      <c r="D2140" s="11" t="s">
        <v>433</v>
      </c>
      <c r="E2140" s="11" t="s">
        <v>1187</v>
      </c>
      <c r="F2140" s="11" t="s">
        <v>13109</v>
      </c>
      <c r="G2140" s="11" t="s">
        <v>13110</v>
      </c>
      <c r="H2140" s="11" t="s">
        <v>13111</v>
      </c>
      <c r="I2140" s="11" t="s">
        <v>13112</v>
      </c>
      <c r="J2140" s="11" t="s">
        <v>13113</v>
      </c>
      <c r="K2140" s="11" t="s">
        <v>675</v>
      </c>
      <c r="L2140" s="11" t="s">
        <v>13114</v>
      </c>
      <c r="M2140" s="11"/>
      <c r="N2140" s="14" t="n">
        <v>1</v>
      </c>
      <c r="O2140" s="14" t="n">
        <v>5</v>
      </c>
      <c r="P2140" s="14" t="n">
        <v>5</v>
      </c>
      <c r="Q2140" s="14"/>
      <c r="R2140" s="12" t="n">
        <f aca="false">IF(OR(N2140="",P2140=""),"",ROUND(N2140*O2140/P2140,1))</f>
        <v>1</v>
      </c>
      <c r="S2140" s="13" t="n">
        <f aca="false">IF(R2140="","",IF(Q2140="Y",1,IF(P2140&gt;='Read me'!$B$16,3,IF(AND(R2140&gt;='Read me'!$B$14,P2140&lt;='Read me'!$B$15),1,2))))</f>
        <v>3</v>
      </c>
    </row>
    <row r="2141" customFormat="false" ht="35.05" hidden="false" customHeight="false" outlineLevel="0" collapsed="false">
      <c r="A2141" s="11" t="s">
        <v>13115</v>
      </c>
      <c r="B2141" s="11" t="s">
        <v>49</v>
      </c>
      <c r="C2141" s="11" t="s">
        <v>432</v>
      </c>
      <c r="D2141" s="11" t="s">
        <v>433</v>
      </c>
      <c r="E2141" s="11" t="s">
        <v>1187</v>
      </c>
      <c r="F2141" s="11" t="s">
        <v>13116</v>
      </c>
      <c r="G2141" s="11" t="s">
        <v>13117</v>
      </c>
      <c r="H2141" s="11" t="s">
        <v>13118</v>
      </c>
      <c r="I2141" s="11" t="s">
        <v>13119</v>
      </c>
      <c r="J2141" s="11" t="s">
        <v>13120</v>
      </c>
      <c r="K2141" s="11" t="s">
        <v>916</v>
      </c>
      <c r="L2141" s="11" t="s">
        <v>13121</v>
      </c>
      <c r="M2141" s="11" t="s">
        <v>13122</v>
      </c>
      <c r="N2141" s="14" t="n">
        <v>1</v>
      </c>
      <c r="O2141" s="14" t="n">
        <v>5</v>
      </c>
      <c r="P2141" s="14" t="n">
        <v>5</v>
      </c>
      <c r="Q2141" s="14"/>
      <c r="R2141" s="12" t="n">
        <f aca="false">IF(OR(N2141="",P2141=""),"",ROUND(N2141*O2141/P2141,1))</f>
        <v>1</v>
      </c>
      <c r="S2141" s="13" t="n">
        <f aca="false">IF(R2141="","",IF(Q2141="Y",1,IF(P2141&gt;='Read me'!$B$16,3,IF(AND(R2141&gt;='Read me'!$B$14,P2141&lt;='Read me'!$B$15),1,2))))</f>
        <v>3</v>
      </c>
    </row>
    <row r="2142" customFormat="false" ht="35.05" hidden="false" customHeight="false" outlineLevel="0" collapsed="false">
      <c r="A2142" s="11" t="s">
        <v>13123</v>
      </c>
      <c r="B2142" s="11" t="s">
        <v>49</v>
      </c>
      <c r="C2142" s="11" t="s">
        <v>432</v>
      </c>
      <c r="D2142" s="11" t="s">
        <v>433</v>
      </c>
      <c r="E2142" s="11" t="s">
        <v>1187</v>
      </c>
      <c r="F2142" s="11" t="s">
        <v>13124</v>
      </c>
      <c r="G2142" s="11" t="s">
        <v>13125</v>
      </c>
      <c r="H2142" s="11" t="s">
        <v>13126</v>
      </c>
      <c r="I2142" s="11" t="s">
        <v>13127</v>
      </c>
      <c r="J2142" s="11" t="s">
        <v>13128</v>
      </c>
      <c r="K2142" s="11" t="s">
        <v>916</v>
      </c>
      <c r="L2142" s="11" t="s">
        <v>13129</v>
      </c>
      <c r="M2142" s="11" t="s">
        <v>13130</v>
      </c>
      <c r="N2142" s="14" t="n">
        <v>1</v>
      </c>
      <c r="O2142" s="14" t="n">
        <v>5</v>
      </c>
      <c r="P2142" s="14" t="n">
        <v>5</v>
      </c>
      <c r="Q2142" s="14"/>
      <c r="R2142" s="12" t="n">
        <f aca="false">IF(OR(N2142="",P2142=""),"",ROUND(N2142*O2142/P2142,1))</f>
        <v>1</v>
      </c>
      <c r="S2142" s="13" t="n">
        <f aca="false">IF(R2142="","",IF(Q2142="Y",1,IF(P2142&gt;='Read me'!$B$16,3,IF(AND(R2142&gt;='Read me'!$B$14,P2142&lt;='Read me'!$B$15),1,2))))</f>
        <v>3</v>
      </c>
    </row>
    <row r="2143" customFormat="false" ht="35.05" hidden="false" customHeight="false" outlineLevel="0" collapsed="false">
      <c r="A2143" s="11" t="s">
        <v>13131</v>
      </c>
      <c r="B2143" s="11" t="s">
        <v>49</v>
      </c>
      <c r="C2143" s="11" t="s">
        <v>432</v>
      </c>
      <c r="D2143" s="11" t="s">
        <v>433</v>
      </c>
      <c r="E2143" s="11" t="s">
        <v>1187</v>
      </c>
      <c r="F2143" s="11" t="s">
        <v>13132</v>
      </c>
      <c r="G2143" s="11" t="s">
        <v>13133</v>
      </c>
      <c r="H2143" s="11"/>
      <c r="I2143" s="11" t="s">
        <v>13134</v>
      </c>
      <c r="J2143" s="11" t="s">
        <v>13135</v>
      </c>
      <c r="K2143" s="11" t="s">
        <v>13136</v>
      </c>
      <c r="L2143" s="11" t="s">
        <v>13137</v>
      </c>
      <c r="M2143" s="11" t="s">
        <v>13138</v>
      </c>
      <c r="N2143" s="14" t="n">
        <v>1</v>
      </c>
      <c r="O2143" s="14" t="n">
        <v>5</v>
      </c>
      <c r="P2143" s="14" t="n">
        <v>5</v>
      </c>
      <c r="Q2143" s="14"/>
      <c r="R2143" s="12" t="n">
        <f aca="false">IF(OR(N2143="",P2143=""),"",ROUND(N2143*O2143/P2143,1))</f>
        <v>1</v>
      </c>
      <c r="S2143" s="13" t="n">
        <f aca="false">IF(R2143="","",IF(Q2143="Y",1,IF(P2143&gt;='Read me'!$B$16,3,IF(AND(R2143&gt;='Read me'!$B$14,P2143&lt;='Read me'!$B$15),1,2))))</f>
        <v>3</v>
      </c>
    </row>
    <row r="2144" customFormat="false" ht="23.85" hidden="false" customHeight="false" outlineLevel="0" collapsed="false">
      <c r="A2144" s="11" t="s">
        <v>13139</v>
      </c>
      <c r="B2144" s="11" t="s">
        <v>49</v>
      </c>
      <c r="C2144" s="11" t="s">
        <v>432</v>
      </c>
      <c r="D2144" s="11" t="s">
        <v>433</v>
      </c>
      <c r="E2144" s="11" t="s">
        <v>1187</v>
      </c>
      <c r="F2144" s="11" t="s">
        <v>13140</v>
      </c>
      <c r="G2144" s="11" t="s">
        <v>13133</v>
      </c>
      <c r="H2144" s="11" t="s">
        <v>13141</v>
      </c>
      <c r="I2144" s="11" t="s">
        <v>13142</v>
      </c>
      <c r="J2144" s="11" t="s">
        <v>13143</v>
      </c>
      <c r="K2144" s="11" t="s">
        <v>13074</v>
      </c>
      <c r="L2144" s="11" t="s">
        <v>13144</v>
      </c>
      <c r="M2144" s="11"/>
      <c r="N2144" s="14" t="n">
        <v>1</v>
      </c>
      <c r="O2144" s="14" t="n">
        <v>5</v>
      </c>
      <c r="P2144" s="14" t="n">
        <v>5</v>
      </c>
      <c r="Q2144" s="14"/>
      <c r="R2144" s="12" t="n">
        <f aca="false">IF(OR(N2144="",P2144=""),"",ROUND(N2144*O2144/P2144,1))</f>
        <v>1</v>
      </c>
      <c r="S2144" s="13" t="n">
        <f aca="false">IF(R2144="","",IF(Q2144="Y",1,IF(P2144&gt;='Read me'!$B$16,3,IF(AND(R2144&gt;='Read me'!$B$14,P2144&lt;='Read me'!$B$15),1,2))))</f>
        <v>3</v>
      </c>
    </row>
    <row r="2145" customFormat="false" ht="35.05" hidden="false" customHeight="false" outlineLevel="0" collapsed="false">
      <c r="A2145" s="11" t="s">
        <v>13145</v>
      </c>
      <c r="B2145" s="11" t="s">
        <v>49</v>
      </c>
      <c r="C2145" s="11" t="s">
        <v>432</v>
      </c>
      <c r="D2145" s="11" t="s">
        <v>433</v>
      </c>
      <c r="E2145" s="11" t="s">
        <v>1187</v>
      </c>
      <c r="F2145" s="11" t="s">
        <v>13146</v>
      </c>
      <c r="G2145" s="11" t="s">
        <v>10559</v>
      </c>
      <c r="H2145" s="11" t="s">
        <v>13133</v>
      </c>
      <c r="I2145" s="11" t="s">
        <v>13147</v>
      </c>
      <c r="J2145" s="11" t="s">
        <v>13148</v>
      </c>
      <c r="K2145" s="11" t="s">
        <v>916</v>
      </c>
      <c r="L2145" s="11" t="s">
        <v>13149</v>
      </c>
      <c r="M2145" s="11"/>
      <c r="N2145" s="14" t="n">
        <v>1</v>
      </c>
      <c r="O2145" s="14" t="n">
        <v>5</v>
      </c>
      <c r="P2145" s="14" t="n">
        <v>5</v>
      </c>
      <c r="Q2145" s="14"/>
      <c r="R2145" s="12" t="n">
        <f aca="false">IF(OR(N2145="",P2145=""),"",ROUND(N2145*O2145/P2145,1))</f>
        <v>1</v>
      </c>
      <c r="S2145" s="13" t="n">
        <f aca="false">IF(R2145="","",IF(Q2145="Y",1,IF(P2145&gt;='Read me'!$B$16,3,IF(AND(R2145&gt;='Read me'!$B$14,P2145&lt;='Read me'!$B$15),1,2))))</f>
        <v>3</v>
      </c>
    </row>
    <row r="2146" customFormat="false" ht="35.05" hidden="false" customHeight="false" outlineLevel="0" collapsed="false">
      <c r="A2146" s="11" t="s">
        <v>13150</v>
      </c>
      <c r="B2146" s="11" t="s">
        <v>49</v>
      </c>
      <c r="C2146" s="11" t="s">
        <v>432</v>
      </c>
      <c r="D2146" s="11" t="s">
        <v>433</v>
      </c>
      <c r="E2146" s="11" t="s">
        <v>1187</v>
      </c>
      <c r="F2146" s="11" t="s">
        <v>13151</v>
      </c>
      <c r="G2146" s="11" t="s">
        <v>13152</v>
      </c>
      <c r="H2146" s="11" t="s">
        <v>13153</v>
      </c>
      <c r="I2146" s="11" t="s">
        <v>13154</v>
      </c>
      <c r="J2146" s="11" t="s">
        <v>13155</v>
      </c>
      <c r="K2146" s="11" t="s">
        <v>1028</v>
      </c>
      <c r="L2146" s="11" t="s">
        <v>13156</v>
      </c>
      <c r="M2146" s="11" t="s">
        <v>11662</v>
      </c>
      <c r="N2146" s="14" t="n">
        <v>1</v>
      </c>
      <c r="O2146" s="14" t="n">
        <v>3</v>
      </c>
      <c r="P2146" s="14" t="n">
        <v>5</v>
      </c>
      <c r="Q2146" s="14"/>
      <c r="R2146" s="12" t="n">
        <f aca="false">IF(OR(N2146="",P2146=""),"",ROUND(N2146*O2146/P2146,1))</f>
        <v>0.6</v>
      </c>
      <c r="S2146" s="13" t="n">
        <f aca="false">IF(R2146="","",IF(Q2146="Y",1,IF(P2146&gt;='Read me'!$B$16,3,IF(AND(R2146&gt;='Read me'!$B$14,P2146&lt;='Read me'!$B$15),1,2))))</f>
        <v>3</v>
      </c>
    </row>
    <row r="2147" customFormat="false" ht="68.65" hidden="false" customHeight="false" outlineLevel="0" collapsed="false">
      <c r="A2147" s="11" t="s">
        <v>13157</v>
      </c>
      <c r="B2147" s="11" t="s">
        <v>49</v>
      </c>
      <c r="C2147" s="11" t="s">
        <v>432</v>
      </c>
      <c r="D2147" s="11" t="s">
        <v>433</v>
      </c>
      <c r="E2147" s="11" t="s">
        <v>1187</v>
      </c>
      <c r="F2147" s="11" t="s">
        <v>11529</v>
      </c>
      <c r="G2147" s="11" t="s">
        <v>11530</v>
      </c>
      <c r="H2147" s="11" t="s">
        <v>13158</v>
      </c>
      <c r="I2147" s="11" t="s">
        <v>13159</v>
      </c>
      <c r="J2147" s="11" t="s">
        <v>13160</v>
      </c>
      <c r="K2147" s="11" t="s">
        <v>13161</v>
      </c>
      <c r="L2147" s="11" t="s">
        <v>13162</v>
      </c>
      <c r="M2147" s="11" t="s">
        <v>13163</v>
      </c>
      <c r="N2147" s="14" t="n">
        <v>2</v>
      </c>
      <c r="O2147" s="14" t="n">
        <v>5</v>
      </c>
      <c r="P2147" s="14" t="n">
        <v>5</v>
      </c>
      <c r="Q2147" s="14"/>
      <c r="R2147" s="12" t="n">
        <f aca="false">IF(OR(N2147="",P2147=""),"",ROUND(N2147*O2147/P2147,1))</f>
        <v>2</v>
      </c>
      <c r="S2147" s="13" t="n">
        <f aca="false">IF(R2147="","",IF(Q2147="Y",1,IF(P2147&gt;='Read me'!$B$16,3,IF(AND(R2147&gt;='Read me'!$B$14,P2147&lt;='Read me'!$B$15),1,2))))</f>
        <v>3</v>
      </c>
    </row>
    <row r="2148" customFormat="false" ht="68.65" hidden="false" customHeight="false" outlineLevel="0" collapsed="false">
      <c r="A2148" s="11" t="s">
        <v>13164</v>
      </c>
      <c r="B2148" s="11" t="s">
        <v>49</v>
      </c>
      <c r="C2148" s="11" t="s">
        <v>432</v>
      </c>
      <c r="D2148" s="11" t="s">
        <v>433</v>
      </c>
      <c r="E2148" s="11" t="s">
        <v>1187</v>
      </c>
      <c r="F2148" s="11" t="s">
        <v>11529</v>
      </c>
      <c r="G2148" s="11" t="s">
        <v>13165</v>
      </c>
      <c r="H2148" s="11" t="s">
        <v>13158</v>
      </c>
      <c r="I2148" s="11" t="s">
        <v>13166</v>
      </c>
      <c r="J2148" s="11" t="s">
        <v>13167</v>
      </c>
      <c r="K2148" s="11" t="s">
        <v>13168</v>
      </c>
      <c r="L2148" s="11" t="s">
        <v>13169</v>
      </c>
      <c r="M2148" s="11" t="s">
        <v>13163</v>
      </c>
      <c r="N2148" s="14" t="n">
        <v>1</v>
      </c>
      <c r="O2148" s="14" t="n">
        <v>5</v>
      </c>
      <c r="P2148" s="14" t="n">
        <v>5</v>
      </c>
      <c r="Q2148" s="14"/>
      <c r="R2148" s="12" t="n">
        <f aca="false">IF(OR(N2148="",P2148=""),"",ROUND(N2148*O2148/P2148,1))</f>
        <v>1</v>
      </c>
      <c r="S2148" s="13" t="n">
        <f aca="false">IF(R2148="","",IF(Q2148="Y",1,IF(P2148&gt;='Read me'!$B$16,3,IF(AND(R2148&gt;='Read me'!$B$14,P2148&lt;='Read me'!$B$15),1,2))))</f>
        <v>3</v>
      </c>
    </row>
    <row r="2149" customFormat="false" ht="68.65" hidden="false" customHeight="false" outlineLevel="0" collapsed="false">
      <c r="A2149" s="11" t="s">
        <v>13170</v>
      </c>
      <c r="B2149" s="11" t="s">
        <v>49</v>
      </c>
      <c r="C2149" s="11" t="s">
        <v>432</v>
      </c>
      <c r="D2149" s="11" t="s">
        <v>433</v>
      </c>
      <c r="E2149" s="11" t="s">
        <v>1187</v>
      </c>
      <c r="F2149" s="11" t="s">
        <v>13171</v>
      </c>
      <c r="G2149" s="11" t="s">
        <v>13172</v>
      </c>
      <c r="H2149" s="11"/>
      <c r="I2149" s="11" t="s">
        <v>13173</v>
      </c>
      <c r="J2149" s="11" t="s">
        <v>13174</v>
      </c>
      <c r="K2149" s="11" t="s">
        <v>9467</v>
      </c>
      <c r="L2149" s="11" t="s">
        <v>13175</v>
      </c>
      <c r="M2149" s="11" t="s">
        <v>13163</v>
      </c>
      <c r="N2149" s="14" t="n">
        <v>1</v>
      </c>
      <c r="O2149" s="14" t="n">
        <v>4</v>
      </c>
      <c r="P2149" s="14" t="n">
        <v>4</v>
      </c>
      <c r="Q2149" s="14"/>
      <c r="R2149" s="12" t="n">
        <f aca="false">IF(OR(N2149="",P2149=""),"",ROUND(N2149*O2149/P2149,1))</f>
        <v>1</v>
      </c>
      <c r="S2149" s="13" t="n">
        <f aca="false">IF(R2149="","",IF(Q2149="Y",1,IF(P2149&gt;='Read me'!$B$16,3,IF(AND(R2149&gt;='Read me'!$B$14,P2149&lt;='Read me'!$B$15),1,2))))</f>
        <v>3</v>
      </c>
    </row>
    <row r="2150" customFormat="false" ht="68.65" hidden="false" customHeight="false" outlineLevel="0" collapsed="false">
      <c r="A2150" s="11" t="s">
        <v>13176</v>
      </c>
      <c r="B2150" s="11" t="s">
        <v>49</v>
      </c>
      <c r="C2150" s="11" t="s">
        <v>432</v>
      </c>
      <c r="D2150" s="11" t="s">
        <v>433</v>
      </c>
      <c r="E2150" s="11" t="s">
        <v>1187</v>
      </c>
      <c r="F2150" s="11" t="s">
        <v>13177</v>
      </c>
      <c r="G2150" s="11" t="s">
        <v>13178</v>
      </c>
      <c r="H2150" s="11" t="s">
        <v>13179</v>
      </c>
      <c r="I2150" s="11" t="s">
        <v>13180</v>
      </c>
      <c r="J2150" s="11" t="s">
        <v>13181</v>
      </c>
      <c r="K2150" s="11" t="s">
        <v>13182</v>
      </c>
      <c r="L2150" s="11" t="s">
        <v>13183</v>
      </c>
      <c r="M2150" s="11" t="s">
        <v>13163</v>
      </c>
      <c r="N2150" s="14" t="n">
        <v>1</v>
      </c>
      <c r="O2150" s="14" t="n">
        <v>4</v>
      </c>
      <c r="P2150" s="14" t="n">
        <v>4</v>
      </c>
      <c r="Q2150" s="14"/>
      <c r="R2150" s="12" t="n">
        <f aca="false">IF(OR(N2150="",P2150=""),"",ROUND(N2150*O2150/P2150,1))</f>
        <v>1</v>
      </c>
      <c r="S2150" s="13" t="n">
        <f aca="false">IF(R2150="","",IF(Q2150="Y",1,IF(P2150&gt;='Read me'!$B$16,3,IF(AND(R2150&gt;='Read me'!$B$14,P2150&lt;='Read me'!$B$15),1,2))))</f>
        <v>3</v>
      </c>
    </row>
    <row r="2151" customFormat="false" ht="23.85" hidden="false" customHeight="false" outlineLevel="0" collapsed="false">
      <c r="A2151" s="11" t="s">
        <v>13184</v>
      </c>
      <c r="B2151" s="11" t="s">
        <v>49</v>
      </c>
      <c r="C2151" s="11" t="s">
        <v>432</v>
      </c>
      <c r="D2151" s="11" t="s">
        <v>433</v>
      </c>
      <c r="E2151" s="11" t="s">
        <v>1187</v>
      </c>
      <c r="F2151" s="11" t="s">
        <v>13185</v>
      </c>
      <c r="G2151" s="11" t="s">
        <v>13186</v>
      </c>
      <c r="H2151" s="11" t="s">
        <v>13187</v>
      </c>
      <c r="I2151" s="11" t="s">
        <v>13188</v>
      </c>
      <c r="J2151" s="11" t="s">
        <v>13189</v>
      </c>
      <c r="K2151" s="11" t="s">
        <v>1151</v>
      </c>
      <c r="L2151" s="11" t="s">
        <v>13190</v>
      </c>
      <c r="M2151" s="11"/>
      <c r="N2151" s="14" t="n">
        <v>2</v>
      </c>
      <c r="O2151" s="14" t="n">
        <v>4</v>
      </c>
      <c r="P2151" s="14" t="n">
        <v>3</v>
      </c>
      <c r="Q2151" s="14"/>
      <c r="R2151" s="12" t="n">
        <f aca="false">IF(OR(N2151="",P2151=""),"",ROUND(N2151*O2151/P2151,1))</f>
        <v>2.7</v>
      </c>
      <c r="S2151" s="13" t="n">
        <f aca="false">IF(R2151="","",IF(Q2151="Y",1,IF(P2151&gt;='Read me'!$B$16,3,IF(AND(R2151&gt;='Read me'!$B$14,P2151&lt;='Read me'!$B$15),1,2))))</f>
        <v>2</v>
      </c>
    </row>
    <row r="2152" customFormat="false" ht="23.85" hidden="false" customHeight="false" outlineLevel="0" collapsed="false">
      <c r="A2152" s="11" t="s">
        <v>13191</v>
      </c>
      <c r="B2152" s="11" t="s">
        <v>49</v>
      </c>
      <c r="C2152" s="11" t="s">
        <v>432</v>
      </c>
      <c r="D2152" s="11" t="s">
        <v>433</v>
      </c>
      <c r="E2152" s="11" t="s">
        <v>1187</v>
      </c>
      <c r="F2152" s="11" t="s">
        <v>13192</v>
      </c>
      <c r="G2152" s="11" t="s">
        <v>13193</v>
      </c>
      <c r="H2152" s="11" t="s">
        <v>13194</v>
      </c>
      <c r="I2152" s="11" t="s">
        <v>13195</v>
      </c>
      <c r="J2152" s="11" t="s">
        <v>13196</v>
      </c>
      <c r="K2152" s="11" t="s">
        <v>916</v>
      </c>
      <c r="L2152" s="11" t="s">
        <v>13197</v>
      </c>
      <c r="M2152" s="11"/>
      <c r="N2152" s="14" t="n">
        <v>1</v>
      </c>
      <c r="O2152" s="14" t="n">
        <v>4</v>
      </c>
      <c r="P2152" s="14" t="n">
        <v>4</v>
      </c>
      <c r="Q2152" s="14"/>
      <c r="R2152" s="12" t="n">
        <f aca="false">IF(OR(N2152="",P2152=""),"",ROUND(N2152*O2152/P2152,1))</f>
        <v>1</v>
      </c>
      <c r="S2152" s="13" t="n">
        <f aca="false">IF(R2152="","",IF(Q2152="Y",1,IF(P2152&gt;='Read me'!$B$16,3,IF(AND(R2152&gt;='Read me'!$B$14,P2152&lt;='Read me'!$B$15),1,2))))</f>
        <v>3</v>
      </c>
    </row>
    <row r="2153" customFormat="false" ht="35.05" hidden="false" customHeight="false" outlineLevel="0" collapsed="false">
      <c r="A2153" s="11" t="s">
        <v>13198</v>
      </c>
      <c r="B2153" s="11" t="s">
        <v>49</v>
      </c>
      <c r="C2153" s="11" t="s">
        <v>432</v>
      </c>
      <c r="D2153" s="11" t="s">
        <v>433</v>
      </c>
      <c r="E2153" s="11" t="s">
        <v>1372</v>
      </c>
      <c r="F2153" s="11" t="s">
        <v>13064</v>
      </c>
      <c r="G2153" s="11" t="s">
        <v>13199</v>
      </c>
      <c r="H2153" s="11"/>
      <c r="I2153" s="11" t="s">
        <v>13200</v>
      </c>
      <c r="J2153" s="11" t="s">
        <v>13201</v>
      </c>
      <c r="K2153" s="11" t="s">
        <v>13202</v>
      </c>
      <c r="L2153" s="11" t="s">
        <v>13203</v>
      </c>
      <c r="M2153" s="11"/>
      <c r="N2153" s="14" t="n">
        <v>5</v>
      </c>
      <c r="O2153" s="14" t="n">
        <v>5</v>
      </c>
      <c r="P2153" s="14" t="n">
        <v>3</v>
      </c>
      <c r="Q2153" s="14"/>
      <c r="R2153" s="12" t="n">
        <f aca="false">IF(OR(N2153="",P2153=""),"",ROUND(N2153*O2153/P2153,1))</f>
        <v>8.3</v>
      </c>
      <c r="S2153" s="13" t="n">
        <f aca="false">IF(R2153="","",IF(Q2153="Y",1,IF(P2153&gt;='Read me'!$B$16,3,IF(AND(R2153&gt;='Read me'!$B$14,P2153&lt;='Read me'!$B$15),1,2))))</f>
        <v>2</v>
      </c>
    </row>
    <row r="2154" customFormat="false" ht="35.05" hidden="false" customHeight="false" outlineLevel="0" collapsed="false">
      <c r="A2154" s="11" t="s">
        <v>13204</v>
      </c>
      <c r="B2154" s="11" t="s">
        <v>49</v>
      </c>
      <c r="C2154" s="11" t="s">
        <v>432</v>
      </c>
      <c r="D2154" s="11" t="s">
        <v>433</v>
      </c>
      <c r="E2154" s="11" t="s">
        <v>1372</v>
      </c>
      <c r="F2154" s="11" t="s">
        <v>13064</v>
      </c>
      <c r="G2154" s="11" t="s">
        <v>13205</v>
      </c>
      <c r="H2154" s="11" t="s">
        <v>13206</v>
      </c>
      <c r="I2154" s="11" t="s">
        <v>13207</v>
      </c>
      <c r="J2154" s="11" t="s">
        <v>13208</v>
      </c>
      <c r="K2154" s="11" t="s">
        <v>13209</v>
      </c>
      <c r="L2154" s="11" t="s">
        <v>13210</v>
      </c>
      <c r="M2154" s="11" t="s">
        <v>13211</v>
      </c>
      <c r="N2154" s="14" t="n">
        <v>3</v>
      </c>
      <c r="O2154" s="14" t="n">
        <v>4</v>
      </c>
      <c r="P2154" s="14" t="n">
        <v>3</v>
      </c>
      <c r="Q2154" s="14"/>
      <c r="R2154" s="12" t="n">
        <f aca="false">IF(OR(N2154="",P2154=""),"",ROUND(N2154*O2154/P2154,1))</f>
        <v>4</v>
      </c>
      <c r="S2154" s="13" t="n">
        <f aca="false">IF(R2154="","",IF(Q2154="Y",1,IF(P2154&gt;='Read me'!$B$16,3,IF(AND(R2154&gt;='Read me'!$B$14,P2154&lt;='Read me'!$B$15),1,2))))</f>
        <v>2</v>
      </c>
    </row>
    <row r="2155" customFormat="false" ht="23.85" hidden="false" customHeight="false" outlineLevel="0" collapsed="false">
      <c r="A2155" s="11" t="s">
        <v>13212</v>
      </c>
      <c r="B2155" s="11" t="s">
        <v>49</v>
      </c>
      <c r="C2155" s="11" t="s">
        <v>432</v>
      </c>
      <c r="D2155" s="11" t="s">
        <v>433</v>
      </c>
      <c r="E2155" s="11" t="s">
        <v>1372</v>
      </c>
      <c r="F2155" s="11" t="s">
        <v>13213</v>
      </c>
      <c r="G2155" s="11" t="s">
        <v>13214</v>
      </c>
      <c r="H2155" s="11"/>
      <c r="I2155" s="11" t="s">
        <v>13215</v>
      </c>
      <c r="J2155" s="11" t="s">
        <v>13216</v>
      </c>
      <c r="K2155" s="11" t="s">
        <v>13217</v>
      </c>
      <c r="L2155" s="11" t="s">
        <v>13218</v>
      </c>
      <c r="M2155" s="11"/>
      <c r="N2155" s="14" t="n">
        <v>3</v>
      </c>
      <c r="O2155" s="14" t="n">
        <v>3</v>
      </c>
      <c r="P2155" s="14" t="n">
        <v>2</v>
      </c>
      <c r="Q2155" s="14"/>
      <c r="R2155" s="12" t="n">
        <f aca="false">IF(OR(N2155="",P2155=""),"",ROUND(N2155*O2155/P2155,1))</f>
        <v>4.5</v>
      </c>
      <c r="S2155" s="13" t="n">
        <f aca="false">IF(R2155="","",IF(Q2155="Y",1,IF(P2155&gt;='Read me'!$B$16,3,IF(AND(R2155&gt;='Read me'!$B$14,P2155&lt;='Read me'!$B$15),1,2))))</f>
        <v>2</v>
      </c>
    </row>
    <row r="2156" customFormat="false" ht="35.05" hidden="false" customHeight="false" outlineLevel="0" collapsed="false">
      <c r="A2156" s="11" t="s">
        <v>13219</v>
      </c>
      <c r="B2156" s="11" t="s">
        <v>49</v>
      </c>
      <c r="C2156" s="11" t="s">
        <v>432</v>
      </c>
      <c r="D2156" s="11" t="s">
        <v>433</v>
      </c>
      <c r="E2156" s="11" t="s">
        <v>1372</v>
      </c>
      <c r="F2156" s="11" t="s">
        <v>13220</v>
      </c>
      <c r="G2156" s="11" t="s">
        <v>13221</v>
      </c>
      <c r="H2156" s="11"/>
      <c r="I2156" s="11" t="s">
        <v>13222</v>
      </c>
      <c r="J2156" s="11" t="s">
        <v>13223</v>
      </c>
      <c r="K2156" s="11" t="s">
        <v>916</v>
      </c>
      <c r="L2156" s="11" t="s">
        <v>13224</v>
      </c>
      <c r="M2156" s="11" t="s">
        <v>13225</v>
      </c>
      <c r="N2156" s="14" t="n">
        <v>1</v>
      </c>
      <c r="O2156" s="14" t="n">
        <v>4</v>
      </c>
      <c r="P2156" s="14" t="n">
        <v>5</v>
      </c>
      <c r="Q2156" s="14"/>
      <c r="R2156" s="12" t="n">
        <f aca="false">IF(OR(N2156="",P2156=""),"",ROUND(N2156*O2156/P2156,1))</f>
        <v>0.8</v>
      </c>
      <c r="S2156" s="13" t="n">
        <f aca="false">IF(R2156="","",IF(Q2156="Y",1,IF(P2156&gt;='Read me'!$B$16,3,IF(AND(R2156&gt;='Read me'!$B$14,P2156&lt;='Read me'!$B$15),1,2))))</f>
        <v>3</v>
      </c>
    </row>
    <row r="2157" customFormat="false" ht="35.05" hidden="false" customHeight="false" outlineLevel="0" collapsed="false">
      <c r="A2157" s="11" t="s">
        <v>13226</v>
      </c>
      <c r="B2157" s="11" t="s">
        <v>49</v>
      </c>
      <c r="C2157" s="11" t="s">
        <v>432</v>
      </c>
      <c r="D2157" s="11" t="s">
        <v>433</v>
      </c>
      <c r="E2157" s="11" t="s">
        <v>1372</v>
      </c>
      <c r="F2157" s="11" t="s">
        <v>13227</v>
      </c>
      <c r="G2157" s="11" t="s">
        <v>1473</v>
      </c>
      <c r="H2157" s="11"/>
      <c r="I2157" s="11" t="s">
        <v>13228</v>
      </c>
      <c r="J2157" s="11" t="s">
        <v>13229</v>
      </c>
      <c r="K2157" s="11" t="s">
        <v>13230</v>
      </c>
      <c r="L2157" s="11" t="s">
        <v>13231</v>
      </c>
      <c r="M2157" s="11" t="s">
        <v>13232</v>
      </c>
      <c r="N2157" s="14" t="n">
        <v>1</v>
      </c>
      <c r="O2157" s="14" t="n">
        <v>3</v>
      </c>
      <c r="P2157" s="14" t="n">
        <v>3</v>
      </c>
      <c r="Q2157" s="14"/>
      <c r="R2157" s="12" t="n">
        <f aca="false">IF(OR(N2157="",P2157=""),"",ROUND(N2157*O2157/P2157,1))</f>
        <v>1</v>
      </c>
      <c r="S2157" s="13" t="n">
        <f aca="false">IF(R2157="","",IF(Q2157="Y",1,IF(P2157&gt;='Read me'!$B$16,3,IF(AND(R2157&gt;='Read me'!$B$14,P2157&lt;='Read me'!$B$15),1,2))))</f>
        <v>2</v>
      </c>
    </row>
    <row r="2158" customFormat="false" ht="23.85" hidden="false" customHeight="false" outlineLevel="0" collapsed="false">
      <c r="A2158" s="11" t="s">
        <v>13233</v>
      </c>
      <c r="B2158" s="11" t="s">
        <v>49</v>
      </c>
      <c r="C2158" s="11" t="s">
        <v>432</v>
      </c>
      <c r="D2158" s="11" t="s">
        <v>433</v>
      </c>
      <c r="E2158" s="11" t="s">
        <v>1372</v>
      </c>
      <c r="F2158" s="11" t="s">
        <v>13234</v>
      </c>
      <c r="G2158" s="11" t="s">
        <v>1473</v>
      </c>
      <c r="H2158" s="11"/>
      <c r="I2158" s="11" t="s">
        <v>13235</v>
      </c>
      <c r="J2158" s="11" t="s">
        <v>13236</v>
      </c>
      <c r="K2158" s="11" t="s">
        <v>13237</v>
      </c>
      <c r="L2158" s="11" t="s">
        <v>13238</v>
      </c>
      <c r="M2158" s="11" t="s">
        <v>13239</v>
      </c>
      <c r="N2158" s="14" t="n">
        <v>2</v>
      </c>
      <c r="O2158" s="14" t="n">
        <v>3</v>
      </c>
      <c r="P2158" s="14" t="n">
        <v>3</v>
      </c>
      <c r="Q2158" s="14"/>
      <c r="R2158" s="12" t="n">
        <f aca="false">IF(OR(N2158="",P2158=""),"",ROUND(N2158*O2158/P2158,1))</f>
        <v>2</v>
      </c>
      <c r="S2158" s="13" t="n">
        <f aca="false">IF(R2158="","",IF(Q2158="Y",1,IF(P2158&gt;='Read me'!$B$16,3,IF(AND(R2158&gt;='Read me'!$B$14,P2158&lt;='Read me'!$B$15),1,2))))</f>
        <v>2</v>
      </c>
    </row>
    <row r="2159" customFormat="false" ht="23.85" hidden="false" customHeight="false" outlineLevel="0" collapsed="false">
      <c r="A2159" s="11" t="s">
        <v>13240</v>
      </c>
      <c r="B2159" s="11" t="s">
        <v>49</v>
      </c>
      <c r="C2159" s="11" t="s">
        <v>432</v>
      </c>
      <c r="D2159" s="11" t="s">
        <v>433</v>
      </c>
      <c r="E2159" s="11" t="s">
        <v>1372</v>
      </c>
      <c r="F2159" s="11" t="s">
        <v>13241</v>
      </c>
      <c r="G2159" s="11" t="s">
        <v>2211</v>
      </c>
      <c r="H2159" s="11"/>
      <c r="I2159" s="11" t="s">
        <v>13242</v>
      </c>
      <c r="J2159" s="11" t="s">
        <v>13243</v>
      </c>
      <c r="K2159" s="11" t="s">
        <v>13244</v>
      </c>
      <c r="L2159" s="11" t="s">
        <v>13245</v>
      </c>
      <c r="M2159" s="11" t="s">
        <v>13246</v>
      </c>
      <c r="N2159" s="14" t="n">
        <v>2</v>
      </c>
      <c r="O2159" s="14" t="n">
        <v>4</v>
      </c>
      <c r="P2159" s="14" t="n">
        <v>3</v>
      </c>
      <c r="Q2159" s="14"/>
      <c r="R2159" s="12" t="n">
        <f aca="false">IF(OR(N2159="",P2159=""),"",ROUND(N2159*O2159/P2159,1))</f>
        <v>2.7</v>
      </c>
      <c r="S2159" s="13" t="n">
        <f aca="false">IF(R2159="","",IF(Q2159="Y",1,IF(P2159&gt;='Read me'!$B$16,3,IF(AND(R2159&gt;='Read me'!$B$14,P2159&lt;='Read me'!$B$15),1,2))))</f>
        <v>2</v>
      </c>
    </row>
    <row r="2160" customFormat="false" ht="35.05" hidden="false" customHeight="false" outlineLevel="0" collapsed="false">
      <c r="A2160" s="11" t="s">
        <v>13247</v>
      </c>
      <c r="B2160" s="11" t="s">
        <v>49</v>
      </c>
      <c r="C2160" s="11" t="s">
        <v>432</v>
      </c>
      <c r="D2160" s="11" t="s">
        <v>433</v>
      </c>
      <c r="E2160" s="11" t="s">
        <v>1372</v>
      </c>
      <c r="F2160" s="11" t="s">
        <v>13192</v>
      </c>
      <c r="G2160" s="11" t="s">
        <v>13248</v>
      </c>
      <c r="H2160" s="11"/>
      <c r="I2160" s="11" t="s">
        <v>10566</v>
      </c>
      <c r="J2160" s="11" t="s">
        <v>13249</v>
      </c>
      <c r="K2160" s="11" t="s">
        <v>12738</v>
      </c>
      <c r="L2160" s="11" t="s">
        <v>10569</v>
      </c>
      <c r="M2160" s="11" t="s">
        <v>13250</v>
      </c>
      <c r="N2160" s="14" t="n">
        <v>2</v>
      </c>
      <c r="O2160" s="14" t="n">
        <v>5</v>
      </c>
      <c r="P2160" s="14" t="n">
        <v>4</v>
      </c>
      <c r="Q2160" s="14"/>
      <c r="R2160" s="12" t="n">
        <f aca="false">IF(OR(N2160="",P2160=""),"",ROUND(N2160*O2160/P2160,1))</f>
        <v>2.5</v>
      </c>
      <c r="S2160" s="13" t="n">
        <f aca="false">IF(R2160="","",IF(Q2160="Y",1,IF(P2160&gt;='Read me'!$B$16,3,IF(AND(R2160&gt;='Read me'!$B$14,P2160&lt;='Read me'!$B$15),1,2))))</f>
        <v>3</v>
      </c>
    </row>
    <row r="2161" customFormat="false" ht="23.85" hidden="false" customHeight="false" outlineLevel="0" collapsed="false">
      <c r="A2161" s="11" t="s">
        <v>13251</v>
      </c>
      <c r="B2161" s="11" t="s">
        <v>49</v>
      </c>
      <c r="C2161" s="11" t="s">
        <v>432</v>
      </c>
      <c r="D2161" s="11" t="s">
        <v>433</v>
      </c>
      <c r="E2161" s="11" t="s">
        <v>1372</v>
      </c>
      <c r="F2161" s="11" t="s">
        <v>13192</v>
      </c>
      <c r="G2161" s="11" t="s">
        <v>13252</v>
      </c>
      <c r="H2161" s="11"/>
      <c r="I2161" s="11" t="s">
        <v>13253</v>
      </c>
      <c r="J2161" s="11" t="s">
        <v>13254</v>
      </c>
      <c r="K2161" s="11" t="s">
        <v>13255</v>
      </c>
      <c r="L2161" s="11" t="s">
        <v>13256</v>
      </c>
      <c r="M2161" s="11"/>
      <c r="N2161" s="14" t="n">
        <v>1</v>
      </c>
      <c r="O2161" s="14" t="n">
        <v>4</v>
      </c>
      <c r="P2161" s="14" t="n">
        <v>3</v>
      </c>
      <c r="Q2161" s="14"/>
      <c r="R2161" s="12" t="n">
        <f aca="false">IF(OR(N2161="",P2161=""),"",ROUND(N2161*O2161/P2161,1))</f>
        <v>1.3</v>
      </c>
      <c r="S2161" s="13" t="n">
        <f aca="false">IF(R2161="","",IF(Q2161="Y",1,IF(P2161&gt;='Read me'!$B$16,3,IF(AND(R2161&gt;='Read me'!$B$14,P2161&lt;='Read me'!$B$15),1,2))))</f>
        <v>2</v>
      </c>
    </row>
    <row r="2162" customFormat="false" ht="23.85" hidden="false" customHeight="false" outlineLevel="0" collapsed="false">
      <c r="A2162" s="11" t="s">
        <v>13257</v>
      </c>
      <c r="B2162" s="11" t="s">
        <v>49</v>
      </c>
      <c r="C2162" s="11" t="s">
        <v>432</v>
      </c>
      <c r="D2162" s="11" t="s">
        <v>433</v>
      </c>
      <c r="E2162" s="11" t="s">
        <v>1372</v>
      </c>
      <c r="F2162" s="11" t="s">
        <v>13258</v>
      </c>
      <c r="G2162" s="11" t="s">
        <v>13259</v>
      </c>
      <c r="H2162" s="11"/>
      <c r="I2162" s="11" t="s">
        <v>13260</v>
      </c>
      <c r="J2162" s="11" t="s">
        <v>13261</v>
      </c>
      <c r="K2162" s="11" t="s">
        <v>13202</v>
      </c>
      <c r="L2162" s="11" t="s">
        <v>13262</v>
      </c>
      <c r="M2162" s="11"/>
      <c r="N2162" s="14" t="n">
        <v>1</v>
      </c>
      <c r="O2162" s="14" t="n">
        <v>3</v>
      </c>
      <c r="P2162" s="14" t="n">
        <v>3</v>
      </c>
      <c r="Q2162" s="14"/>
      <c r="R2162" s="12" t="n">
        <f aca="false">IF(OR(N2162="",P2162=""),"",ROUND(N2162*O2162/P2162,1))</f>
        <v>1</v>
      </c>
      <c r="S2162" s="13" t="n">
        <f aca="false">IF(R2162="","",IF(Q2162="Y",1,IF(P2162&gt;='Read me'!$B$16,3,IF(AND(R2162&gt;='Read me'!$B$14,P2162&lt;='Read me'!$B$15),1,2))))</f>
        <v>2</v>
      </c>
    </row>
    <row r="2163" customFormat="false" ht="23.85" hidden="false" customHeight="false" outlineLevel="0" collapsed="false">
      <c r="A2163" s="11" t="s">
        <v>13263</v>
      </c>
      <c r="B2163" s="11" t="s">
        <v>49</v>
      </c>
      <c r="C2163" s="11" t="s">
        <v>435</v>
      </c>
      <c r="D2163" s="11" t="s">
        <v>436</v>
      </c>
      <c r="E2163" s="11" t="s">
        <v>476</v>
      </c>
      <c r="F2163" s="11" t="s">
        <v>11282</v>
      </c>
      <c r="G2163" s="11" t="s">
        <v>13264</v>
      </c>
      <c r="H2163" s="11"/>
      <c r="I2163" s="11" t="s">
        <v>13265</v>
      </c>
      <c r="J2163" s="11" t="s">
        <v>13266</v>
      </c>
      <c r="K2163" s="11" t="s">
        <v>13267</v>
      </c>
      <c r="L2163" s="11" t="s">
        <v>11285</v>
      </c>
      <c r="M2163" s="11"/>
      <c r="N2163" s="14" t="n">
        <v>2</v>
      </c>
      <c r="O2163" s="14" t="n">
        <v>4</v>
      </c>
      <c r="P2163" s="14" t="n">
        <v>2</v>
      </c>
      <c r="Q2163" s="14"/>
      <c r="R2163" s="12" t="n">
        <f aca="false">IF(OR(N2163="",P2163=""),"",ROUND(N2163*O2163/P2163,1))</f>
        <v>4</v>
      </c>
      <c r="S2163" s="13" t="n">
        <f aca="false">IF(R2163="","",IF(Q2163="Y",1,IF(P2163&gt;='Read me'!$B$16,3,IF(AND(R2163&gt;='Read me'!$B$14,P2163&lt;='Read me'!$B$15),1,2))))</f>
        <v>2</v>
      </c>
    </row>
    <row r="2164" customFormat="false" ht="23.85" hidden="false" customHeight="false" outlineLevel="0" collapsed="false">
      <c r="A2164" s="11" t="s">
        <v>13268</v>
      </c>
      <c r="B2164" s="11" t="s">
        <v>49</v>
      </c>
      <c r="C2164" s="11" t="s">
        <v>435</v>
      </c>
      <c r="D2164" s="11" t="s">
        <v>436</v>
      </c>
      <c r="E2164" s="11" t="s">
        <v>476</v>
      </c>
      <c r="F2164" s="11" t="s">
        <v>13269</v>
      </c>
      <c r="G2164" s="11" t="s">
        <v>13270</v>
      </c>
      <c r="H2164" s="11"/>
      <c r="I2164" s="11" t="s">
        <v>512</v>
      </c>
      <c r="J2164" s="11" t="s">
        <v>13271</v>
      </c>
      <c r="K2164" s="11" t="s">
        <v>13272</v>
      </c>
      <c r="L2164" s="11" t="s">
        <v>13273</v>
      </c>
      <c r="M2164" s="11"/>
      <c r="N2164" s="14" t="n">
        <v>1</v>
      </c>
      <c r="O2164" s="14" t="n">
        <v>3</v>
      </c>
      <c r="P2164" s="14" t="n">
        <v>2</v>
      </c>
      <c r="Q2164" s="14"/>
      <c r="R2164" s="12" t="n">
        <f aca="false">IF(OR(N2164="",P2164=""),"",ROUND(N2164*O2164/P2164,1))</f>
        <v>1.5</v>
      </c>
      <c r="S2164" s="13" t="n">
        <f aca="false">IF(R2164="","",IF(Q2164="Y",1,IF(P2164&gt;='Read me'!$B$16,3,IF(AND(R2164&gt;='Read me'!$B$14,P2164&lt;='Read me'!$B$15),1,2))))</f>
        <v>2</v>
      </c>
    </row>
    <row r="2165" customFormat="false" ht="79.85" hidden="false" customHeight="false" outlineLevel="0" collapsed="false">
      <c r="A2165" s="11" t="s">
        <v>13274</v>
      </c>
      <c r="B2165" s="11" t="s">
        <v>49</v>
      </c>
      <c r="C2165" s="11" t="s">
        <v>435</v>
      </c>
      <c r="D2165" s="11" t="s">
        <v>436</v>
      </c>
      <c r="E2165" s="11" t="s">
        <v>751</v>
      </c>
      <c r="F2165" s="11" t="s">
        <v>13275</v>
      </c>
      <c r="G2165" s="11" t="s">
        <v>13270</v>
      </c>
      <c r="H2165" s="11"/>
      <c r="I2165" s="11" t="s">
        <v>13276</v>
      </c>
      <c r="J2165" s="11" t="s">
        <v>13277</v>
      </c>
      <c r="K2165" s="11" t="s">
        <v>11902</v>
      </c>
      <c r="L2165" s="11" t="s">
        <v>13278</v>
      </c>
      <c r="M2165" s="11" t="s">
        <v>11904</v>
      </c>
      <c r="N2165" s="14" t="n">
        <v>2</v>
      </c>
      <c r="O2165" s="14" t="n">
        <v>4</v>
      </c>
      <c r="P2165" s="14" t="n">
        <v>4</v>
      </c>
      <c r="Q2165" s="14"/>
      <c r="R2165" s="12" t="n">
        <f aca="false">IF(OR(N2165="",P2165=""),"",ROUND(N2165*O2165/P2165,1))</f>
        <v>2</v>
      </c>
      <c r="S2165" s="13" t="n">
        <f aca="false">IF(R2165="","",IF(Q2165="Y",1,IF(P2165&gt;='Read me'!$B$16,3,IF(AND(R2165&gt;='Read me'!$B$14,P2165&lt;='Read me'!$B$15),1,2))))</f>
        <v>3</v>
      </c>
    </row>
    <row r="2166" customFormat="false" ht="23.85" hidden="false" customHeight="false" outlineLevel="0" collapsed="false">
      <c r="A2166" s="11" t="s">
        <v>13279</v>
      </c>
      <c r="B2166" s="11" t="s">
        <v>49</v>
      </c>
      <c r="C2166" s="11" t="s">
        <v>435</v>
      </c>
      <c r="D2166" s="11" t="s">
        <v>436</v>
      </c>
      <c r="E2166" s="11" t="s">
        <v>765</v>
      </c>
      <c r="F2166" s="11" t="s">
        <v>13280</v>
      </c>
      <c r="G2166" s="11" t="s">
        <v>13281</v>
      </c>
      <c r="H2166" s="11"/>
      <c r="I2166" s="11" t="s">
        <v>13282</v>
      </c>
      <c r="J2166" s="11" t="s">
        <v>13283</v>
      </c>
      <c r="K2166" s="11" t="s">
        <v>13284</v>
      </c>
      <c r="L2166" s="11" t="s">
        <v>13285</v>
      </c>
      <c r="M2166" s="11" t="s">
        <v>13286</v>
      </c>
      <c r="N2166" s="14" t="n">
        <v>2</v>
      </c>
      <c r="O2166" s="14" t="n">
        <v>4</v>
      </c>
      <c r="P2166" s="14" t="n">
        <v>2</v>
      </c>
      <c r="Q2166" s="14"/>
      <c r="R2166" s="12" t="n">
        <f aca="false">IF(OR(N2166="",P2166=""),"",ROUND(N2166*O2166/P2166,1))</f>
        <v>4</v>
      </c>
      <c r="S2166" s="13" t="n">
        <f aca="false">IF(R2166="","",IF(Q2166="Y",1,IF(P2166&gt;='Read me'!$B$16,3,IF(AND(R2166&gt;='Read me'!$B$14,P2166&lt;='Read me'!$B$15),1,2))))</f>
        <v>2</v>
      </c>
    </row>
    <row r="2167" customFormat="false" ht="23.85" hidden="false" customHeight="false" outlineLevel="0" collapsed="false">
      <c r="A2167" s="11" t="s">
        <v>13287</v>
      </c>
      <c r="B2167" s="11" t="s">
        <v>49</v>
      </c>
      <c r="C2167" s="11" t="s">
        <v>435</v>
      </c>
      <c r="D2167" s="11" t="s">
        <v>436</v>
      </c>
      <c r="E2167" s="11" t="s">
        <v>1187</v>
      </c>
      <c r="F2167" s="11" t="s">
        <v>13288</v>
      </c>
      <c r="G2167" s="11" t="s">
        <v>13289</v>
      </c>
      <c r="H2167" s="11" t="s">
        <v>13290</v>
      </c>
      <c r="I2167" s="11" t="s">
        <v>13291</v>
      </c>
      <c r="J2167" s="11" t="s">
        <v>13292</v>
      </c>
      <c r="K2167" s="11" t="s">
        <v>935</v>
      </c>
      <c r="L2167" s="11" t="s">
        <v>13293</v>
      </c>
      <c r="M2167" s="11"/>
      <c r="N2167" s="14" t="n">
        <v>1</v>
      </c>
      <c r="O2167" s="14" t="n">
        <v>2</v>
      </c>
      <c r="P2167" s="14" t="n">
        <v>3</v>
      </c>
      <c r="Q2167" s="14"/>
      <c r="R2167" s="12" t="n">
        <f aca="false">IF(OR(N2167="",P2167=""),"",ROUND(N2167*O2167/P2167,1))</f>
        <v>0.7</v>
      </c>
      <c r="S2167" s="13" t="n">
        <f aca="false">IF(R2167="","",IF(Q2167="Y",1,IF(P2167&gt;='Read me'!$B$16,3,IF(AND(R2167&gt;='Read me'!$B$14,P2167&lt;='Read me'!$B$15),1,2))))</f>
        <v>2</v>
      </c>
    </row>
    <row r="2168" customFormat="false" ht="35.05" hidden="false" customHeight="false" outlineLevel="0" collapsed="false">
      <c r="A2168" s="11" t="s">
        <v>13294</v>
      </c>
      <c r="B2168" s="11" t="s">
        <v>49</v>
      </c>
      <c r="C2168" s="11" t="s">
        <v>435</v>
      </c>
      <c r="D2168" s="11" t="s">
        <v>436</v>
      </c>
      <c r="E2168" s="11" t="s">
        <v>1187</v>
      </c>
      <c r="F2168" s="11" t="s">
        <v>13295</v>
      </c>
      <c r="G2168" s="11" t="s">
        <v>13296</v>
      </c>
      <c r="H2168" s="11" t="s">
        <v>1286</v>
      </c>
      <c r="I2168" s="11" t="s">
        <v>13297</v>
      </c>
      <c r="J2168" s="11" t="s">
        <v>13298</v>
      </c>
      <c r="K2168" s="11" t="s">
        <v>13299</v>
      </c>
      <c r="L2168" s="11" t="s">
        <v>13300</v>
      </c>
      <c r="M2168" s="11"/>
      <c r="N2168" s="14" t="n">
        <v>2</v>
      </c>
      <c r="O2168" s="14" t="n">
        <v>3</v>
      </c>
      <c r="P2168" s="14" t="n">
        <v>3</v>
      </c>
      <c r="Q2168" s="14"/>
      <c r="R2168" s="12" t="n">
        <f aca="false">IF(OR(N2168="",P2168=""),"",ROUND(N2168*O2168/P2168,1))</f>
        <v>2</v>
      </c>
      <c r="S2168" s="13" t="n">
        <f aca="false">IF(R2168="","",IF(Q2168="Y",1,IF(P2168&gt;='Read me'!$B$16,3,IF(AND(R2168&gt;='Read me'!$B$14,P2168&lt;='Read me'!$B$15),1,2))))</f>
        <v>2</v>
      </c>
    </row>
    <row r="2169" customFormat="false" ht="23.85" hidden="false" customHeight="false" outlineLevel="0" collapsed="false">
      <c r="A2169" s="11" t="s">
        <v>13301</v>
      </c>
      <c r="B2169" s="11" t="s">
        <v>49</v>
      </c>
      <c r="C2169" s="11" t="s">
        <v>435</v>
      </c>
      <c r="D2169" s="11" t="s">
        <v>436</v>
      </c>
      <c r="E2169" s="11" t="s">
        <v>1187</v>
      </c>
      <c r="F2169" s="11" t="s">
        <v>13302</v>
      </c>
      <c r="G2169" s="11" t="s">
        <v>13303</v>
      </c>
      <c r="H2169" s="11" t="s">
        <v>12508</v>
      </c>
      <c r="I2169" s="11" t="s">
        <v>13304</v>
      </c>
      <c r="J2169" s="11" t="s">
        <v>13305</v>
      </c>
      <c r="K2169" s="11" t="s">
        <v>13306</v>
      </c>
      <c r="L2169" s="11" t="s">
        <v>13307</v>
      </c>
      <c r="M2169" s="11" t="s">
        <v>13308</v>
      </c>
      <c r="N2169" s="14" t="n">
        <v>1</v>
      </c>
      <c r="O2169" s="14" t="n">
        <v>4</v>
      </c>
      <c r="P2169" s="14" t="n">
        <v>5</v>
      </c>
      <c r="Q2169" s="14"/>
      <c r="R2169" s="12" t="n">
        <f aca="false">IF(OR(N2169="",P2169=""),"",ROUND(N2169*O2169/P2169,1))</f>
        <v>0.8</v>
      </c>
      <c r="S2169" s="13" t="n">
        <f aca="false">IF(R2169="","",IF(Q2169="Y",1,IF(P2169&gt;='Read me'!$B$16,3,IF(AND(R2169&gt;='Read me'!$B$14,P2169&lt;='Read me'!$B$15),1,2))))</f>
        <v>3</v>
      </c>
    </row>
    <row r="2170" customFormat="false" ht="23.85" hidden="false" customHeight="false" outlineLevel="0" collapsed="false">
      <c r="A2170" s="11" t="s">
        <v>13309</v>
      </c>
      <c r="B2170" s="11" t="s">
        <v>49</v>
      </c>
      <c r="C2170" s="11" t="s">
        <v>435</v>
      </c>
      <c r="D2170" s="11" t="s">
        <v>436</v>
      </c>
      <c r="E2170" s="11" t="s">
        <v>1187</v>
      </c>
      <c r="F2170" s="11" t="s">
        <v>13310</v>
      </c>
      <c r="G2170" s="11" t="s">
        <v>13311</v>
      </c>
      <c r="H2170" s="11" t="s">
        <v>12175</v>
      </c>
      <c r="I2170" s="11" t="s">
        <v>13312</v>
      </c>
      <c r="J2170" s="11" t="s">
        <v>13313</v>
      </c>
      <c r="K2170" s="11" t="s">
        <v>13314</v>
      </c>
      <c r="L2170" s="11" t="s">
        <v>13315</v>
      </c>
      <c r="M2170" s="11"/>
      <c r="N2170" s="14" t="n">
        <v>1</v>
      </c>
      <c r="O2170" s="14" t="n">
        <v>2</v>
      </c>
      <c r="P2170" s="14" t="n">
        <v>1</v>
      </c>
      <c r="Q2170" s="14"/>
      <c r="R2170" s="12" t="n">
        <f aca="false">IF(OR(N2170="",P2170=""),"",ROUND(N2170*O2170/P2170,1))</f>
        <v>2</v>
      </c>
      <c r="S2170" s="13" t="n">
        <f aca="false">IF(R2170="","",IF(Q2170="Y",1,IF(P2170&gt;='Read me'!$B$16,3,IF(AND(R2170&gt;='Read me'!$B$14,P2170&lt;='Read me'!$B$15),1,2))))</f>
        <v>2</v>
      </c>
    </row>
    <row r="2171" customFormat="false" ht="23.85" hidden="false" customHeight="false" outlineLevel="0" collapsed="false">
      <c r="A2171" s="11" t="s">
        <v>13316</v>
      </c>
      <c r="B2171" s="11" t="s">
        <v>49</v>
      </c>
      <c r="C2171" s="11" t="s">
        <v>435</v>
      </c>
      <c r="D2171" s="11" t="s">
        <v>436</v>
      </c>
      <c r="E2171" s="11" t="s">
        <v>1187</v>
      </c>
      <c r="F2171" s="11" t="s">
        <v>13317</v>
      </c>
      <c r="G2171" s="11" t="s">
        <v>13318</v>
      </c>
      <c r="H2171" s="11"/>
      <c r="I2171" s="11" t="s">
        <v>13319</v>
      </c>
      <c r="J2171" s="11" t="s">
        <v>13320</v>
      </c>
      <c r="K2171" s="11" t="s">
        <v>13321</v>
      </c>
      <c r="L2171" s="11" t="s">
        <v>13322</v>
      </c>
      <c r="M2171" s="11"/>
      <c r="N2171" s="14" t="n">
        <v>2</v>
      </c>
      <c r="O2171" s="14" t="n">
        <v>4</v>
      </c>
      <c r="P2171" s="14" t="n">
        <v>3</v>
      </c>
      <c r="Q2171" s="14"/>
      <c r="R2171" s="12" t="n">
        <f aca="false">IF(OR(N2171="",P2171=""),"",ROUND(N2171*O2171/P2171,1))</f>
        <v>2.7</v>
      </c>
      <c r="S2171" s="13" t="n">
        <f aca="false">IF(R2171="","",IF(Q2171="Y",1,IF(P2171&gt;='Read me'!$B$16,3,IF(AND(R2171&gt;='Read me'!$B$14,P2171&lt;='Read me'!$B$15),1,2))))</f>
        <v>2</v>
      </c>
    </row>
    <row r="2172" customFormat="false" ht="35.05" hidden="false" customHeight="false" outlineLevel="0" collapsed="false">
      <c r="A2172" s="11" t="s">
        <v>13323</v>
      </c>
      <c r="B2172" s="11" t="s">
        <v>49</v>
      </c>
      <c r="C2172" s="11" t="s">
        <v>435</v>
      </c>
      <c r="D2172" s="11" t="s">
        <v>436</v>
      </c>
      <c r="E2172" s="11" t="s">
        <v>1372</v>
      </c>
      <c r="F2172" s="11" t="s">
        <v>13288</v>
      </c>
      <c r="G2172" s="11" t="s">
        <v>13270</v>
      </c>
      <c r="H2172" s="11"/>
      <c r="I2172" s="11" t="s">
        <v>13324</v>
      </c>
      <c r="J2172" s="11" t="s">
        <v>13325</v>
      </c>
      <c r="K2172" s="11" t="s">
        <v>13326</v>
      </c>
      <c r="L2172" s="11" t="s">
        <v>13327</v>
      </c>
      <c r="M2172" s="11" t="s">
        <v>1256</v>
      </c>
      <c r="N2172" s="14" t="n">
        <v>2</v>
      </c>
      <c r="O2172" s="14" t="n">
        <v>4</v>
      </c>
      <c r="P2172" s="14" t="n">
        <v>4</v>
      </c>
      <c r="Q2172" s="14"/>
      <c r="R2172" s="12" t="n">
        <f aca="false">IF(OR(N2172="",P2172=""),"",ROUND(N2172*O2172/P2172,1))</f>
        <v>2</v>
      </c>
      <c r="S2172" s="13" t="n">
        <f aca="false">IF(R2172="","",IF(Q2172="Y",1,IF(P2172&gt;='Read me'!$B$16,3,IF(AND(R2172&gt;='Read me'!$B$14,P2172&lt;='Read me'!$B$15),1,2))))</f>
        <v>3</v>
      </c>
    </row>
    <row r="2173" customFormat="false" ht="23.85" hidden="false" customHeight="false" outlineLevel="0" collapsed="false">
      <c r="A2173" s="11" t="s">
        <v>13328</v>
      </c>
      <c r="B2173" s="11" t="s">
        <v>49</v>
      </c>
      <c r="C2173" s="11" t="s">
        <v>435</v>
      </c>
      <c r="D2173" s="11" t="s">
        <v>436</v>
      </c>
      <c r="E2173" s="11" t="s">
        <v>1372</v>
      </c>
      <c r="F2173" s="11" t="s">
        <v>13329</v>
      </c>
      <c r="G2173" s="11" t="s">
        <v>13330</v>
      </c>
      <c r="H2173" s="11"/>
      <c r="I2173" s="11" t="s">
        <v>13331</v>
      </c>
      <c r="J2173" s="11" t="s">
        <v>13332</v>
      </c>
      <c r="K2173" s="11" t="s">
        <v>13333</v>
      </c>
      <c r="L2173" s="11" t="s">
        <v>13334</v>
      </c>
      <c r="M2173" s="11"/>
      <c r="N2173" s="14" t="n">
        <v>3</v>
      </c>
      <c r="O2173" s="14" t="n">
        <v>4</v>
      </c>
      <c r="P2173" s="14" t="n">
        <v>3</v>
      </c>
      <c r="Q2173" s="14"/>
      <c r="R2173" s="12" t="n">
        <f aca="false">IF(OR(N2173="",P2173=""),"",ROUND(N2173*O2173/P2173,1))</f>
        <v>4</v>
      </c>
      <c r="S2173" s="13" t="n">
        <f aca="false">IF(R2173="","",IF(Q2173="Y",1,IF(P2173&gt;='Read me'!$B$16,3,IF(AND(R2173&gt;='Read me'!$B$14,P2173&lt;='Read me'!$B$15),1,2))))</f>
        <v>2</v>
      </c>
    </row>
    <row r="2174" customFormat="false" ht="23.85" hidden="false" customHeight="false" outlineLevel="0" collapsed="false">
      <c r="A2174" s="11" t="s">
        <v>13335</v>
      </c>
      <c r="B2174" s="11" t="s">
        <v>49</v>
      </c>
      <c r="C2174" s="11" t="s">
        <v>435</v>
      </c>
      <c r="D2174" s="11" t="s">
        <v>436</v>
      </c>
      <c r="E2174" s="11" t="s">
        <v>1372</v>
      </c>
      <c r="F2174" s="11" t="s">
        <v>13329</v>
      </c>
      <c r="G2174" s="11" t="s">
        <v>13336</v>
      </c>
      <c r="H2174" s="11"/>
      <c r="I2174" s="11" t="s">
        <v>13337</v>
      </c>
      <c r="J2174" s="11" t="s">
        <v>13338</v>
      </c>
      <c r="K2174" s="11" t="s">
        <v>13339</v>
      </c>
      <c r="L2174" s="11" t="s">
        <v>13340</v>
      </c>
      <c r="M2174" s="11"/>
      <c r="N2174" s="14" t="n">
        <v>2</v>
      </c>
      <c r="O2174" s="14" t="n">
        <v>3</v>
      </c>
      <c r="P2174" s="14" t="n">
        <v>3</v>
      </c>
      <c r="Q2174" s="14"/>
      <c r="R2174" s="12" t="n">
        <f aca="false">IF(OR(N2174="",P2174=""),"",ROUND(N2174*O2174/P2174,1))</f>
        <v>2</v>
      </c>
      <c r="S2174" s="13" t="n">
        <f aca="false">IF(R2174="","",IF(Q2174="Y",1,IF(P2174&gt;='Read me'!$B$16,3,IF(AND(R2174&gt;='Read me'!$B$14,P2174&lt;='Read me'!$B$15),1,2))))</f>
        <v>2</v>
      </c>
    </row>
    <row r="2175" customFormat="false" ht="23.85" hidden="false" customHeight="false" outlineLevel="0" collapsed="false">
      <c r="A2175" s="11" t="s">
        <v>13341</v>
      </c>
      <c r="B2175" s="11" t="s">
        <v>49</v>
      </c>
      <c r="C2175" s="11" t="s">
        <v>435</v>
      </c>
      <c r="D2175" s="11" t="s">
        <v>436</v>
      </c>
      <c r="E2175" s="11" t="s">
        <v>1372</v>
      </c>
      <c r="F2175" s="11" t="s">
        <v>13342</v>
      </c>
      <c r="G2175" s="11" t="s">
        <v>13270</v>
      </c>
      <c r="H2175" s="11"/>
      <c r="I2175" s="11" t="s">
        <v>13343</v>
      </c>
      <c r="J2175" s="11" t="s">
        <v>13344</v>
      </c>
      <c r="K2175" s="11" t="s">
        <v>12648</v>
      </c>
      <c r="L2175" s="11" t="s">
        <v>13345</v>
      </c>
      <c r="M2175" s="11" t="s">
        <v>1256</v>
      </c>
      <c r="N2175" s="14" t="n">
        <v>2</v>
      </c>
      <c r="O2175" s="14" t="n">
        <v>3</v>
      </c>
      <c r="P2175" s="14" t="n">
        <v>4</v>
      </c>
      <c r="Q2175" s="14"/>
      <c r="R2175" s="12" t="n">
        <f aca="false">IF(OR(N2175="",P2175=""),"",ROUND(N2175*O2175/P2175,1))</f>
        <v>1.5</v>
      </c>
      <c r="S2175" s="13" t="n">
        <f aca="false">IF(R2175="","",IF(Q2175="Y",1,IF(P2175&gt;='Read me'!$B$16,3,IF(AND(R2175&gt;='Read me'!$B$14,P2175&lt;='Read me'!$B$15),1,2))))</f>
        <v>3</v>
      </c>
    </row>
    <row r="2176" customFormat="false" ht="23.85" hidden="false" customHeight="false" outlineLevel="0" collapsed="false">
      <c r="A2176" s="11" t="s">
        <v>13346</v>
      </c>
      <c r="B2176" s="11" t="s">
        <v>49</v>
      </c>
      <c r="C2176" s="11" t="s">
        <v>435</v>
      </c>
      <c r="D2176" s="11" t="s">
        <v>436</v>
      </c>
      <c r="E2176" s="11" t="s">
        <v>1372</v>
      </c>
      <c r="F2176" s="11" t="s">
        <v>13347</v>
      </c>
      <c r="G2176" s="11" t="s">
        <v>13270</v>
      </c>
      <c r="H2176" s="11"/>
      <c r="I2176" s="11" t="s">
        <v>13348</v>
      </c>
      <c r="J2176" s="11" t="s">
        <v>13349</v>
      </c>
      <c r="K2176" s="11" t="s">
        <v>12529</v>
      </c>
      <c r="L2176" s="11" t="s">
        <v>13350</v>
      </c>
      <c r="M2176" s="11" t="s">
        <v>1256</v>
      </c>
      <c r="N2176" s="14" t="n">
        <v>2</v>
      </c>
      <c r="O2176" s="14" t="n">
        <v>3</v>
      </c>
      <c r="P2176" s="14" t="n">
        <v>4</v>
      </c>
      <c r="Q2176" s="14"/>
      <c r="R2176" s="12" t="n">
        <f aca="false">IF(OR(N2176="",P2176=""),"",ROUND(N2176*O2176/P2176,1))</f>
        <v>1.5</v>
      </c>
      <c r="S2176" s="13" t="n">
        <f aca="false">IF(R2176="","",IF(Q2176="Y",1,IF(P2176&gt;='Read me'!$B$16,3,IF(AND(R2176&gt;='Read me'!$B$14,P2176&lt;='Read me'!$B$15),1,2))))</f>
        <v>3</v>
      </c>
    </row>
    <row r="2177" customFormat="false" ht="23.85" hidden="false" customHeight="false" outlineLevel="0" collapsed="false">
      <c r="A2177" s="11" t="s">
        <v>13351</v>
      </c>
      <c r="B2177" s="11" t="s">
        <v>49</v>
      </c>
      <c r="C2177" s="11" t="s">
        <v>435</v>
      </c>
      <c r="D2177" s="11" t="s">
        <v>436</v>
      </c>
      <c r="E2177" s="11" t="s">
        <v>1372</v>
      </c>
      <c r="F2177" s="11" t="s">
        <v>13352</v>
      </c>
      <c r="G2177" s="11" t="s">
        <v>13353</v>
      </c>
      <c r="H2177" s="11"/>
      <c r="I2177" s="11" t="s">
        <v>13354</v>
      </c>
      <c r="J2177" s="11" t="s">
        <v>13355</v>
      </c>
      <c r="K2177" s="11" t="s">
        <v>13356</v>
      </c>
      <c r="L2177" s="11" t="s">
        <v>13357</v>
      </c>
      <c r="M2177" s="11" t="s">
        <v>1256</v>
      </c>
      <c r="N2177" s="14" t="n">
        <v>1</v>
      </c>
      <c r="O2177" s="14" t="n">
        <v>3</v>
      </c>
      <c r="P2177" s="14" t="n">
        <v>4</v>
      </c>
      <c r="Q2177" s="14"/>
      <c r="R2177" s="12" t="n">
        <f aca="false">IF(OR(N2177="",P2177=""),"",ROUND(N2177*O2177/P2177,1))</f>
        <v>0.8</v>
      </c>
      <c r="S2177" s="13" t="n">
        <f aca="false">IF(R2177="","",IF(Q2177="Y",1,IF(P2177&gt;='Read me'!$B$16,3,IF(AND(R2177&gt;='Read me'!$B$14,P2177&lt;='Read me'!$B$15),1,2))))</f>
        <v>3</v>
      </c>
    </row>
    <row r="2178" customFormat="false" ht="23.85" hidden="false" customHeight="false" outlineLevel="0" collapsed="false">
      <c r="A2178" s="11" t="s">
        <v>13358</v>
      </c>
      <c r="B2178" s="11" t="s">
        <v>49</v>
      </c>
      <c r="C2178" s="11" t="s">
        <v>435</v>
      </c>
      <c r="D2178" s="11" t="s">
        <v>436</v>
      </c>
      <c r="E2178" s="11" t="s">
        <v>1372</v>
      </c>
      <c r="F2178" s="11" t="s">
        <v>13359</v>
      </c>
      <c r="G2178" s="11" t="s">
        <v>13360</v>
      </c>
      <c r="H2178" s="11"/>
      <c r="I2178" s="11" t="s">
        <v>13361</v>
      </c>
      <c r="J2178" s="11" t="s">
        <v>13362</v>
      </c>
      <c r="K2178" s="11" t="s">
        <v>12924</v>
      </c>
      <c r="L2178" s="11" t="s">
        <v>13363</v>
      </c>
      <c r="M2178" s="11"/>
      <c r="N2178" s="14" t="n">
        <v>2</v>
      </c>
      <c r="O2178" s="14" t="n">
        <v>3</v>
      </c>
      <c r="P2178" s="14" t="n">
        <v>3</v>
      </c>
      <c r="Q2178" s="14"/>
      <c r="R2178" s="12" t="n">
        <f aca="false">IF(OR(N2178="",P2178=""),"",ROUND(N2178*O2178/P2178,1))</f>
        <v>2</v>
      </c>
      <c r="S2178" s="13" t="n">
        <f aca="false">IF(R2178="","",IF(Q2178="Y",1,IF(P2178&gt;='Read me'!$B$16,3,IF(AND(R2178&gt;='Read me'!$B$14,P2178&lt;='Read me'!$B$15),1,2))))</f>
        <v>2</v>
      </c>
    </row>
    <row r="2179" customFormat="false" ht="23.85" hidden="false" customHeight="false" outlineLevel="0" collapsed="false">
      <c r="A2179" s="11" t="s">
        <v>13364</v>
      </c>
      <c r="B2179" s="11" t="s">
        <v>49</v>
      </c>
      <c r="C2179" s="11" t="s">
        <v>435</v>
      </c>
      <c r="D2179" s="11" t="s">
        <v>436</v>
      </c>
      <c r="E2179" s="11" t="s">
        <v>1372</v>
      </c>
      <c r="F2179" s="11" t="s">
        <v>13365</v>
      </c>
      <c r="G2179" s="11" t="s">
        <v>13366</v>
      </c>
      <c r="H2179" s="11"/>
      <c r="I2179" s="11" t="s">
        <v>13367</v>
      </c>
      <c r="J2179" s="11" t="s">
        <v>13368</v>
      </c>
      <c r="K2179" s="11" t="s">
        <v>13369</v>
      </c>
      <c r="L2179" s="11" t="s">
        <v>13370</v>
      </c>
      <c r="M2179" s="11"/>
      <c r="N2179" s="14" t="n">
        <v>2</v>
      </c>
      <c r="O2179" s="14" t="n">
        <v>3</v>
      </c>
      <c r="P2179" s="14" t="n">
        <v>3</v>
      </c>
      <c r="Q2179" s="14"/>
      <c r="R2179" s="12" t="n">
        <f aca="false">IF(OR(N2179="",P2179=""),"",ROUND(N2179*O2179/P2179,1))</f>
        <v>2</v>
      </c>
      <c r="S2179" s="13" t="n">
        <f aca="false">IF(R2179="","",IF(Q2179="Y",1,IF(P2179&gt;='Read me'!$B$16,3,IF(AND(R2179&gt;='Read me'!$B$14,P2179&lt;='Read me'!$B$15),1,2))))</f>
        <v>2</v>
      </c>
    </row>
    <row r="2180" customFormat="false" ht="23.85" hidden="false" customHeight="false" outlineLevel="0" collapsed="false">
      <c r="A2180" s="11" t="s">
        <v>13371</v>
      </c>
      <c r="B2180" s="11" t="s">
        <v>49</v>
      </c>
      <c r="C2180" s="11" t="s">
        <v>435</v>
      </c>
      <c r="D2180" s="11" t="s">
        <v>436</v>
      </c>
      <c r="E2180" s="11" t="s">
        <v>1372</v>
      </c>
      <c r="F2180" s="11" t="s">
        <v>13372</v>
      </c>
      <c r="G2180" s="11" t="s">
        <v>13373</v>
      </c>
      <c r="H2180" s="11"/>
      <c r="I2180" s="11" t="s">
        <v>13374</v>
      </c>
      <c r="J2180" s="11" t="s">
        <v>13375</v>
      </c>
      <c r="K2180" s="11" t="s">
        <v>12364</v>
      </c>
      <c r="L2180" s="11" t="s">
        <v>13376</v>
      </c>
      <c r="M2180" s="11" t="s">
        <v>12366</v>
      </c>
      <c r="N2180" s="14" t="n">
        <v>3</v>
      </c>
      <c r="O2180" s="14" t="n">
        <v>3</v>
      </c>
      <c r="P2180" s="14" t="n">
        <v>2</v>
      </c>
      <c r="Q2180" s="14"/>
      <c r="R2180" s="12" t="n">
        <f aca="false">IF(OR(N2180="",P2180=""),"",ROUND(N2180*O2180/P2180,1))</f>
        <v>4.5</v>
      </c>
      <c r="S2180" s="13" t="n">
        <f aca="false">IF(R2180="","",IF(Q2180="Y",1,IF(P2180&gt;='Read me'!$B$16,3,IF(AND(R2180&gt;='Read me'!$B$14,P2180&lt;='Read me'!$B$15),1,2))))</f>
        <v>2</v>
      </c>
    </row>
    <row r="2181" customFormat="false" ht="23.85" hidden="false" customHeight="false" outlineLevel="0" collapsed="false">
      <c r="A2181" s="11" t="s">
        <v>13377</v>
      </c>
      <c r="B2181" s="11" t="s">
        <v>49</v>
      </c>
      <c r="C2181" s="11" t="s">
        <v>435</v>
      </c>
      <c r="D2181" s="11" t="s">
        <v>436</v>
      </c>
      <c r="E2181" s="11" t="s">
        <v>1372</v>
      </c>
      <c r="F2181" s="11" t="s">
        <v>13310</v>
      </c>
      <c r="G2181" s="11" t="s">
        <v>13378</v>
      </c>
      <c r="H2181" s="11"/>
      <c r="I2181" s="11" t="s">
        <v>13379</v>
      </c>
      <c r="J2181" s="11" t="s">
        <v>13380</v>
      </c>
      <c r="K2181" s="11" t="s">
        <v>13381</v>
      </c>
      <c r="L2181" s="11" t="s">
        <v>13382</v>
      </c>
      <c r="M2181" s="11"/>
      <c r="N2181" s="14" t="n">
        <v>3</v>
      </c>
      <c r="O2181" s="14" t="n">
        <v>3</v>
      </c>
      <c r="P2181" s="14" t="n">
        <v>2</v>
      </c>
      <c r="Q2181" s="14"/>
      <c r="R2181" s="12" t="n">
        <f aca="false">IF(OR(N2181="",P2181=""),"",ROUND(N2181*O2181/P2181,1))</f>
        <v>4.5</v>
      </c>
      <c r="S2181" s="13" t="n">
        <f aca="false">IF(R2181="","",IF(Q2181="Y",1,IF(P2181&gt;='Read me'!$B$16,3,IF(AND(R2181&gt;='Read me'!$B$14,P2181&lt;='Read me'!$B$15),1,2))))</f>
        <v>2</v>
      </c>
    </row>
    <row r="2182" customFormat="false" ht="23.85" hidden="false" customHeight="false" outlineLevel="0" collapsed="false">
      <c r="A2182" s="11" t="s">
        <v>13383</v>
      </c>
      <c r="B2182" s="11" t="s">
        <v>49</v>
      </c>
      <c r="C2182" s="11" t="s">
        <v>435</v>
      </c>
      <c r="D2182" s="11" t="s">
        <v>436</v>
      </c>
      <c r="E2182" s="11" t="s">
        <v>1372</v>
      </c>
      <c r="F2182" s="11" t="s">
        <v>13384</v>
      </c>
      <c r="G2182" s="11" t="s">
        <v>13385</v>
      </c>
      <c r="H2182" s="11"/>
      <c r="I2182" s="11" t="s">
        <v>13386</v>
      </c>
      <c r="J2182" s="11" t="s">
        <v>13387</v>
      </c>
      <c r="K2182" s="11" t="s">
        <v>3996</v>
      </c>
      <c r="L2182" s="11" t="s">
        <v>13388</v>
      </c>
      <c r="M2182" s="11"/>
      <c r="N2182" s="14" t="n">
        <v>2</v>
      </c>
      <c r="O2182" s="14" t="n">
        <v>3</v>
      </c>
      <c r="P2182" s="14" t="n">
        <v>2</v>
      </c>
      <c r="Q2182" s="14"/>
      <c r="R2182" s="12" t="n">
        <f aca="false">IF(OR(N2182="",P2182=""),"",ROUND(N2182*O2182/P2182,1))</f>
        <v>3</v>
      </c>
      <c r="S2182" s="13" t="n">
        <f aca="false">IF(R2182="","",IF(Q2182="Y",1,IF(P2182&gt;='Read me'!$B$16,3,IF(AND(R2182&gt;='Read me'!$B$14,P2182&lt;='Read me'!$B$15),1,2))))</f>
        <v>2</v>
      </c>
    </row>
    <row r="2183" customFormat="false" ht="23.85" hidden="false" customHeight="false" outlineLevel="0" collapsed="false">
      <c r="A2183" s="11" t="s">
        <v>13389</v>
      </c>
      <c r="B2183" s="11" t="s">
        <v>49</v>
      </c>
      <c r="C2183" s="11" t="s">
        <v>435</v>
      </c>
      <c r="D2183" s="11" t="s">
        <v>436</v>
      </c>
      <c r="E2183" s="11" t="s">
        <v>1372</v>
      </c>
      <c r="F2183" s="11" t="s">
        <v>13390</v>
      </c>
      <c r="G2183" s="11" t="s">
        <v>13391</v>
      </c>
      <c r="H2183" s="11"/>
      <c r="I2183" s="11" t="s">
        <v>13392</v>
      </c>
      <c r="J2183" s="11" t="s">
        <v>13393</v>
      </c>
      <c r="K2183" s="11" t="s">
        <v>1061</v>
      </c>
      <c r="L2183" s="11" t="s">
        <v>13394</v>
      </c>
      <c r="M2183" s="11" t="s">
        <v>13395</v>
      </c>
      <c r="N2183" s="14" t="n">
        <v>2</v>
      </c>
      <c r="O2183" s="14" t="n">
        <v>4</v>
      </c>
      <c r="P2183" s="14" t="n">
        <v>4</v>
      </c>
      <c r="Q2183" s="14"/>
      <c r="R2183" s="12" t="n">
        <f aca="false">IF(OR(N2183="",P2183=""),"",ROUND(N2183*O2183/P2183,1))</f>
        <v>2</v>
      </c>
      <c r="S2183" s="13" t="n">
        <f aca="false">IF(R2183="","",IF(Q2183="Y",1,IF(P2183&gt;='Read me'!$B$16,3,IF(AND(R2183&gt;='Read me'!$B$14,P2183&lt;='Read me'!$B$15),1,2))))</f>
        <v>3</v>
      </c>
    </row>
    <row r="2184" customFormat="false" ht="23.85" hidden="false" customHeight="false" outlineLevel="0" collapsed="false">
      <c r="A2184" s="11" t="s">
        <v>13396</v>
      </c>
      <c r="B2184" s="11" t="s">
        <v>49</v>
      </c>
      <c r="C2184" s="11" t="s">
        <v>435</v>
      </c>
      <c r="D2184" s="11" t="s">
        <v>436</v>
      </c>
      <c r="E2184" s="11" t="s">
        <v>1372</v>
      </c>
      <c r="F2184" s="11" t="s">
        <v>13397</v>
      </c>
      <c r="G2184" s="11" t="s">
        <v>13398</v>
      </c>
      <c r="H2184" s="11" t="s">
        <v>13290</v>
      </c>
      <c r="I2184" s="11" t="s">
        <v>13399</v>
      </c>
      <c r="J2184" s="11" t="s">
        <v>13400</v>
      </c>
      <c r="K2184" s="11" t="s">
        <v>935</v>
      </c>
      <c r="L2184" s="11" t="s">
        <v>13300</v>
      </c>
      <c r="M2184" s="11"/>
      <c r="N2184" s="14" t="n">
        <v>1</v>
      </c>
      <c r="O2184" s="14" t="n">
        <v>2</v>
      </c>
      <c r="P2184" s="14" t="n">
        <v>3</v>
      </c>
      <c r="Q2184" s="14"/>
      <c r="R2184" s="12" t="n">
        <f aca="false">IF(OR(N2184="",P2184=""),"",ROUND(N2184*O2184/P2184,1))</f>
        <v>0.7</v>
      </c>
      <c r="S2184" s="13" t="n">
        <f aca="false">IF(R2184="","",IF(Q2184="Y",1,IF(P2184&gt;='Read me'!$B$16,3,IF(AND(R2184&gt;='Read me'!$B$14,P2184&lt;='Read me'!$B$15),1,2))))</f>
        <v>2</v>
      </c>
    </row>
    <row r="2185" customFormat="false" ht="23.85" hidden="false" customHeight="false" outlineLevel="0" collapsed="false">
      <c r="A2185" s="11" t="s">
        <v>13401</v>
      </c>
      <c r="B2185" s="11" t="s">
        <v>49</v>
      </c>
      <c r="C2185" s="11" t="s">
        <v>435</v>
      </c>
      <c r="D2185" s="11" t="s">
        <v>436</v>
      </c>
      <c r="E2185" s="11" t="s">
        <v>1372</v>
      </c>
      <c r="F2185" s="11" t="s">
        <v>13402</v>
      </c>
      <c r="G2185" s="11" t="s">
        <v>13403</v>
      </c>
      <c r="H2185" s="11"/>
      <c r="I2185" s="11" t="s">
        <v>13404</v>
      </c>
      <c r="J2185" s="11" t="s">
        <v>13405</v>
      </c>
      <c r="K2185" s="11" t="s">
        <v>1151</v>
      </c>
      <c r="L2185" s="11" t="s">
        <v>13406</v>
      </c>
      <c r="M2185" s="11"/>
      <c r="N2185" s="14" t="n">
        <v>1</v>
      </c>
      <c r="O2185" s="14" t="n">
        <v>3</v>
      </c>
      <c r="P2185" s="14" t="n">
        <v>4</v>
      </c>
      <c r="Q2185" s="14"/>
      <c r="R2185" s="12" t="n">
        <f aca="false">IF(OR(N2185="",P2185=""),"",ROUND(N2185*O2185/P2185,1))</f>
        <v>0.8</v>
      </c>
      <c r="S2185" s="13" t="n">
        <f aca="false">IF(R2185="","",IF(Q2185="Y",1,IF(P2185&gt;='Read me'!$B$16,3,IF(AND(R2185&gt;='Read me'!$B$14,P2185&lt;='Read me'!$B$15),1,2))))</f>
        <v>3</v>
      </c>
    </row>
    <row r="2186" customFormat="false" ht="46.25" hidden="false" customHeight="false" outlineLevel="0" collapsed="false">
      <c r="A2186" s="11" t="s">
        <v>13407</v>
      </c>
      <c r="B2186" s="11" t="s">
        <v>50</v>
      </c>
      <c r="C2186" s="11" t="s">
        <v>438</v>
      </c>
      <c r="D2186" s="11" t="s">
        <v>439</v>
      </c>
      <c r="E2186" s="11" t="s">
        <v>476</v>
      </c>
      <c r="F2186" s="11" t="s">
        <v>13408</v>
      </c>
      <c r="G2186" s="11"/>
      <c r="H2186" s="11"/>
      <c r="I2186" s="11" t="s">
        <v>512</v>
      </c>
      <c r="J2186" s="11" t="s">
        <v>13409</v>
      </c>
      <c r="K2186" s="11" t="s">
        <v>5187</v>
      </c>
      <c r="L2186" s="11" t="s">
        <v>13410</v>
      </c>
      <c r="M2186" s="11"/>
      <c r="N2186" s="14" t="n">
        <v>5</v>
      </c>
      <c r="O2186" s="14" t="n">
        <v>4</v>
      </c>
      <c r="P2186" s="14" t="n">
        <v>2</v>
      </c>
      <c r="Q2186" s="14"/>
      <c r="R2186" s="12" t="n">
        <f aca="false">IF(OR(N2186="",P2186=""),"",ROUND(N2186*O2186/P2186,1))</f>
        <v>10</v>
      </c>
      <c r="S2186" s="13" t="n">
        <f aca="false">IF(R2186="","",IF(Q2186="Y",1,IF(P2186&gt;='Read me'!$B$16,3,IF(AND(R2186&gt;='Read me'!$B$14,P2186&lt;='Read me'!$B$15),1,2))))</f>
        <v>1</v>
      </c>
    </row>
    <row r="2187" customFormat="false" ht="23.85" hidden="false" customHeight="false" outlineLevel="0" collapsed="false">
      <c r="A2187" s="11" t="s">
        <v>13411</v>
      </c>
      <c r="B2187" s="11" t="s">
        <v>50</v>
      </c>
      <c r="C2187" s="11" t="s">
        <v>438</v>
      </c>
      <c r="D2187" s="11" t="s">
        <v>439</v>
      </c>
      <c r="E2187" s="11" t="s">
        <v>476</v>
      </c>
      <c r="F2187" s="11" t="s">
        <v>13412</v>
      </c>
      <c r="G2187" s="11"/>
      <c r="H2187" s="11"/>
      <c r="I2187" s="11" t="s">
        <v>13413</v>
      </c>
      <c r="J2187" s="11" t="s">
        <v>13414</v>
      </c>
      <c r="K2187" s="11" t="s">
        <v>13415</v>
      </c>
      <c r="L2187" s="11" t="s">
        <v>13416</v>
      </c>
      <c r="M2187" s="11"/>
      <c r="N2187" s="14" t="n">
        <v>5</v>
      </c>
      <c r="O2187" s="14" t="n">
        <v>3</v>
      </c>
      <c r="P2187" s="14" t="n">
        <v>1</v>
      </c>
      <c r="Q2187" s="14"/>
      <c r="R2187" s="12" t="n">
        <f aca="false">IF(OR(N2187="",P2187=""),"",ROUND(N2187*O2187/P2187,1))</f>
        <v>15</v>
      </c>
      <c r="S2187" s="13" t="n">
        <f aca="false">IF(R2187="","",IF(Q2187="Y",1,IF(P2187&gt;='Read me'!$B$16,3,IF(AND(R2187&gt;='Read me'!$B$14,P2187&lt;='Read me'!$B$15),1,2))))</f>
        <v>1</v>
      </c>
    </row>
    <row r="2188" customFormat="false" ht="23.85" hidden="false" customHeight="false" outlineLevel="0" collapsed="false">
      <c r="A2188" s="11" t="s">
        <v>13417</v>
      </c>
      <c r="B2188" s="11" t="s">
        <v>50</v>
      </c>
      <c r="C2188" s="11" t="s">
        <v>438</v>
      </c>
      <c r="D2188" s="11" t="s">
        <v>439</v>
      </c>
      <c r="E2188" s="11" t="s">
        <v>476</v>
      </c>
      <c r="F2188" s="11" t="s">
        <v>13408</v>
      </c>
      <c r="G2188" s="11" t="s">
        <v>13418</v>
      </c>
      <c r="H2188" s="11" t="s">
        <v>13419</v>
      </c>
      <c r="I2188" s="11" t="s">
        <v>512</v>
      </c>
      <c r="J2188" s="11" t="s">
        <v>13420</v>
      </c>
      <c r="K2188" s="11" t="s">
        <v>13421</v>
      </c>
      <c r="L2188" s="11" t="s">
        <v>13422</v>
      </c>
      <c r="M2188" s="11"/>
      <c r="N2188" s="14" t="n">
        <v>3</v>
      </c>
      <c r="O2188" s="14" t="n">
        <v>2</v>
      </c>
      <c r="P2188" s="14" t="n">
        <v>1</v>
      </c>
      <c r="Q2188" s="14"/>
      <c r="R2188" s="12" t="n">
        <f aca="false">IF(OR(N2188="",P2188=""),"",ROUND(N2188*O2188/P2188,1))</f>
        <v>6</v>
      </c>
      <c r="S2188" s="13" t="n">
        <f aca="false">IF(R2188="","",IF(Q2188="Y",1,IF(P2188&gt;='Read me'!$B$16,3,IF(AND(R2188&gt;='Read me'!$B$14,P2188&lt;='Read me'!$B$15),1,2))))</f>
        <v>1</v>
      </c>
    </row>
    <row r="2189" customFormat="false" ht="68.65" hidden="false" customHeight="false" outlineLevel="0" collapsed="false">
      <c r="A2189" s="11" t="s">
        <v>13423</v>
      </c>
      <c r="B2189" s="11" t="s">
        <v>50</v>
      </c>
      <c r="C2189" s="11" t="s">
        <v>438</v>
      </c>
      <c r="D2189" s="11" t="s">
        <v>439</v>
      </c>
      <c r="E2189" s="11" t="s">
        <v>476</v>
      </c>
      <c r="F2189" s="11" t="s">
        <v>13424</v>
      </c>
      <c r="G2189" s="11" t="s">
        <v>13425</v>
      </c>
      <c r="H2189" s="11"/>
      <c r="I2189" s="11" t="s">
        <v>512</v>
      </c>
      <c r="J2189" s="11" t="s">
        <v>13426</v>
      </c>
      <c r="K2189" s="11" t="s">
        <v>4502</v>
      </c>
      <c r="L2189" s="11" t="s">
        <v>13427</v>
      </c>
      <c r="M2189" s="11" t="s">
        <v>10463</v>
      </c>
      <c r="N2189" s="14" t="n">
        <v>3</v>
      </c>
      <c r="O2189" s="14" t="n">
        <v>4</v>
      </c>
      <c r="P2189" s="14" t="n">
        <v>2</v>
      </c>
      <c r="Q2189" s="14"/>
      <c r="R2189" s="12" t="n">
        <f aca="false">IF(OR(N2189="",P2189=""),"",ROUND(N2189*O2189/P2189,1))</f>
        <v>6</v>
      </c>
      <c r="S2189" s="13" t="n">
        <f aca="false">IF(R2189="","",IF(Q2189="Y",1,IF(P2189&gt;='Read me'!$B$16,3,IF(AND(R2189&gt;='Read me'!$B$14,P2189&lt;='Read me'!$B$15),1,2))))</f>
        <v>1</v>
      </c>
    </row>
    <row r="2190" customFormat="false" ht="46.25" hidden="false" customHeight="false" outlineLevel="0" collapsed="false">
      <c r="A2190" s="11" t="s">
        <v>13428</v>
      </c>
      <c r="B2190" s="11" t="s">
        <v>50</v>
      </c>
      <c r="C2190" s="11" t="s">
        <v>438</v>
      </c>
      <c r="D2190" s="11" t="s">
        <v>439</v>
      </c>
      <c r="E2190" s="11" t="s">
        <v>476</v>
      </c>
      <c r="F2190" s="11" t="s">
        <v>13429</v>
      </c>
      <c r="G2190" s="11" t="s">
        <v>13430</v>
      </c>
      <c r="H2190" s="11"/>
      <c r="I2190" s="11" t="s">
        <v>512</v>
      </c>
      <c r="J2190" s="11" t="s">
        <v>13431</v>
      </c>
      <c r="K2190" s="11" t="s">
        <v>8374</v>
      </c>
      <c r="L2190" s="11" t="s">
        <v>13432</v>
      </c>
      <c r="M2190" s="11"/>
      <c r="N2190" s="14" t="n">
        <v>3</v>
      </c>
      <c r="O2190" s="14" t="n">
        <v>4</v>
      </c>
      <c r="P2190" s="14" t="n">
        <v>3</v>
      </c>
      <c r="Q2190" s="14"/>
      <c r="R2190" s="12" t="n">
        <f aca="false">IF(OR(N2190="",P2190=""),"",ROUND(N2190*O2190/P2190,1))</f>
        <v>4</v>
      </c>
      <c r="S2190" s="13" t="n">
        <f aca="false">IF(R2190="","",IF(Q2190="Y",1,IF(P2190&gt;='Read me'!$B$16,3,IF(AND(R2190&gt;='Read me'!$B$14,P2190&lt;='Read me'!$B$15),1,2))))</f>
        <v>2</v>
      </c>
    </row>
    <row r="2191" customFormat="false" ht="23.85" hidden="false" customHeight="false" outlineLevel="0" collapsed="false">
      <c r="A2191" s="11" t="s">
        <v>13433</v>
      </c>
      <c r="B2191" s="11" t="s">
        <v>50</v>
      </c>
      <c r="C2191" s="11" t="s">
        <v>438</v>
      </c>
      <c r="D2191" s="11" t="s">
        <v>439</v>
      </c>
      <c r="E2191" s="11" t="s">
        <v>476</v>
      </c>
      <c r="F2191" s="11" t="s">
        <v>13429</v>
      </c>
      <c r="G2191" s="11" t="s">
        <v>13434</v>
      </c>
      <c r="H2191" s="11"/>
      <c r="I2191" s="11" t="s">
        <v>512</v>
      </c>
      <c r="J2191" s="11" t="s">
        <v>13435</v>
      </c>
      <c r="K2191" s="11" t="s">
        <v>8374</v>
      </c>
      <c r="L2191" s="11" t="s">
        <v>13436</v>
      </c>
      <c r="M2191" s="11"/>
      <c r="N2191" s="14" t="n">
        <v>2</v>
      </c>
      <c r="O2191" s="14" t="n">
        <v>3</v>
      </c>
      <c r="P2191" s="14" t="n">
        <v>2</v>
      </c>
      <c r="Q2191" s="14"/>
      <c r="R2191" s="12" t="n">
        <f aca="false">IF(OR(N2191="",P2191=""),"",ROUND(N2191*O2191/P2191,1))</f>
        <v>3</v>
      </c>
      <c r="S2191" s="13" t="n">
        <f aca="false">IF(R2191="","",IF(Q2191="Y",1,IF(P2191&gt;='Read me'!$B$16,3,IF(AND(R2191&gt;='Read me'!$B$14,P2191&lt;='Read me'!$B$15),1,2))))</f>
        <v>2</v>
      </c>
    </row>
    <row r="2192" customFormat="false" ht="23.85" hidden="false" customHeight="false" outlineLevel="0" collapsed="false">
      <c r="A2192" s="11" t="s">
        <v>13437</v>
      </c>
      <c r="B2192" s="11" t="s">
        <v>50</v>
      </c>
      <c r="C2192" s="11" t="s">
        <v>438</v>
      </c>
      <c r="D2192" s="11" t="s">
        <v>439</v>
      </c>
      <c r="E2192" s="11" t="s">
        <v>476</v>
      </c>
      <c r="F2192" s="11" t="s">
        <v>13438</v>
      </c>
      <c r="G2192" s="11" t="s">
        <v>13439</v>
      </c>
      <c r="H2192" s="11"/>
      <c r="I2192" s="11" t="s">
        <v>512</v>
      </c>
      <c r="J2192" s="11" t="s">
        <v>13440</v>
      </c>
      <c r="K2192" s="11" t="s">
        <v>13441</v>
      </c>
      <c r="L2192" s="11" t="s">
        <v>13442</v>
      </c>
      <c r="M2192" s="11"/>
      <c r="N2192" s="14" t="n">
        <v>2</v>
      </c>
      <c r="O2192" s="14" t="n">
        <v>4</v>
      </c>
      <c r="P2192" s="14" t="n">
        <v>3</v>
      </c>
      <c r="Q2192" s="14"/>
      <c r="R2192" s="12" t="n">
        <f aca="false">IF(OR(N2192="",P2192=""),"",ROUND(N2192*O2192/P2192,1))</f>
        <v>2.7</v>
      </c>
      <c r="S2192" s="13" t="n">
        <f aca="false">IF(R2192="","",IF(Q2192="Y",1,IF(P2192&gt;='Read me'!$B$16,3,IF(AND(R2192&gt;='Read me'!$B$14,P2192&lt;='Read me'!$B$15),1,2))))</f>
        <v>2</v>
      </c>
    </row>
    <row r="2193" customFormat="false" ht="35.05" hidden="false" customHeight="false" outlineLevel="0" collapsed="false">
      <c r="A2193" s="11" t="s">
        <v>13443</v>
      </c>
      <c r="B2193" s="11" t="s">
        <v>50</v>
      </c>
      <c r="C2193" s="11" t="s">
        <v>438</v>
      </c>
      <c r="D2193" s="11" t="s">
        <v>439</v>
      </c>
      <c r="E2193" s="11" t="s">
        <v>476</v>
      </c>
      <c r="F2193" s="11" t="s">
        <v>13444</v>
      </c>
      <c r="G2193" s="11" t="s">
        <v>13445</v>
      </c>
      <c r="H2193" s="11"/>
      <c r="I2193" s="11" t="s">
        <v>512</v>
      </c>
      <c r="J2193" s="11" t="s">
        <v>13446</v>
      </c>
      <c r="K2193" s="11" t="s">
        <v>13447</v>
      </c>
      <c r="L2193" s="11" t="s">
        <v>13448</v>
      </c>
      <c r="M2193" s="11"/>
      <c r="N2193" s="14" t="n">
        <v>3</v>
      </c>
      <c r="O2193" s="14" t="n">
        <v>4</v>
      </c>
      <c r="P2193" s="14" t="n">
        <v>2</v>
      </c>
      <c r="Q2193" s="14"/>
      <c r="R2193" s="12" t="n">
        <f aca="false">IF(OR(N2193="",P2193=""),"",ROUND(N2193*O2193/P2193,1))</f>
        <v>6</v>
      </c>
      <c r="S2193" s="13" t="n">
        <f aca="false">IF(R2193="","",IF(Q2193="Y",1,IF(P2193&gt;='Read me'!$B$16,3,IF(AND(R2193&gt;='Read me'!$B$14,P2193&lt;='Read me'!$B$15),1,2))))</f>
        <v>1</v>
      </c>
    </row>
    <row r="2194" customFormat="false" ht="23.85" hidden="false" customHeight="false" outlineLevel="0" collapsed="false">
      <c r="A2194" s="11" t="s">
        <v>13449</v>
      </c>
      <c r="B2194" s="11" t="s">
        <v>50</v>
      </c>
      <c r="C2194" s="11" t="s">
        <v>438</v>
      </c>
      <c r="D2194" s="11" t="s">
        <v>439</v>
      </c>
      <c r="E2194" s="11" t="s">
        <v>476</v>
      </c>
      <c r="F2194" s="11" t="s">
        <v>13450</v>
      </c>
      <c r="G2194" s="11" t="s">
        <v>13451</v>
      </c>
      <c r="H2194" s="11"/>
      <c r="I2194" s="11" t="s">
        <v>512</v>
      </c>
      <c r="J2194" s="11" t="s">
        <v>13452</v>
      </c>
      <c r="K2194" s="11" t="s">
        <v>13453</v>
      </c>
      <c r="L2194" s="11" t="s">
        <v>13454</v>
      </c>
      <c r="M2194" s="11"/>
      <c r="N2194" s="14" t="n">
        <v>3</v>
      </c>
      <c r="O2194" s="14" t="n">
        <v>3</v>
      </c>
      <c r="P2194" s="14" t="n">
        <v>2</v>
      </c>
      <c r="Q2194" s="14"/>
      <c r="R2194" s="12" t="n">
        <f aca="false">IF(OR(N2194="",P2194=""),"",ROUND(N2194*O2194/P2194,1))</f>
        <v>4.5</v>
      </c>
      <c r="S2194" s="13" t="n">
        <f aca="false">IF(R2194="","",IF(Q2194="Y",1,IF(P2194&gt;='Read me'!$B$16,3,IF(AND(R2194&gt;='Read me'!$B$14,P2194&lt;='Read me'!$B$15),1,2))))</f>
        <v>2</v>
      </c>
    </row>
    <row r="2195" customFormat="false" ht="46.25" hidden="false" customHeight="false" outlineLevel="0" collapsed="false">
      <c r="A2195" s="11" t="s">
        <v>13455</v>
      </c>
      <c r="B2195" s="11" t="s">
        <v>50</v>
      </c>
      <c r="C2195" s="11" t="s">
        <v>438</v>
      </c>
      <c r="D2195" s="11" t="s">
        <v>439</v>
      </c>
      <c r="E2195" s="11" t="s">
        <v>476</v>
      </c>
      <c r="F2195" s="11" t="s">
        <v>13102</v>
      </c>
      <c r="G2195" s="11" t="s">
        <v>13456</v>
      </c>
      <c r="H2195" s="11"/>
      <c r="I2195" s="11" t="s">
        <v>512</v>
      </c>
      <c r="J2195" s="11" t="s">
        <v>13457</v>
      </c>
      <c r="K2195" s="11" t="s">
        <v>13458</v>
      </c>
      <c r="L2195" s="11" t="s">
        <v>13459</v>
      </c>
      <c r="M2195" s="11" t="s">
        <v>10828</v>
      </c>
      <c r="N2195" s="14" t="n">
        <v>2</v>
      </c>
      <c r="O2195" s="14" t="n">
        <v>4</v>
      </c>
      <c r="P2195" s="14" t="n">
        <v>5</v>
      </c>
      <c r="Q2195" s="14"/>
      <c r="R2195" s="12" t="n">
        <f aca="false">IF(OR(N2195="",P2195=""),"",ROUND(N2195*O2195/P2195,1))</f>
        <v>1.6</v>
      </c>
      <c r="S2195" s="13" t="n">
        <f aca="false">IF(R2195="","",IF(Q2195="Y",1,IF(P2195&gt;='Read me'!$B$16,3,IF(AND(R2195&gt;='Read me'!$B$14,P2195&lt;='Read me'!$B$15),1,2))))</f>
        <v>3</v>
      </c>
    </row>
    <row r="2196" customFormat="false" ht="46.25" hidden="false" customHeight="false" outlineLevel="0" collapsed="false">
      <c r="A2196" s="11" t="s">
        <v>13460</v>
      </c>
      <c r="B2196" s="11" t="s">
        <v>50</v>
      </c>
      <c r="C2196" s="11" t="s">
        <v>438</v>
      </c>
      <c r="D2196" s="11" t="s">
        <v>439</v>
      </c>
      <c r="E2196" s="11" t="s">
        <v>476</v>
      </c>
      <c r="F2196" s="11" t="s">
        <v>13461</v>
      </c>
      <c r="G2196" s="11" t="s">
        <v>13462</v>
      </c>
      <c r="H2196" s="11"/>
      <c r="I2196" s="11" t="s">
        <v>512</v>
      </c>
      <c r="J2196" s="11" t="s">
        <v>13463</v>
      </c>
      <c r="K2196" s="11" t="s">
        <v>13458</v>
      </c>
      <c r="L2196" s="11" t="s">
        <v>13464</v>
      </c>
      <c r="M2196" s="11"/>
      <c r="N2196" s="14" t="n">
        <v>1</v>
      </c>
      <c r="O2196" s="14" t="n">
        <v>4</v>
      </c>
      <c r="P2196" s="14" t="n">
        <v>5</v>
      </c>
      <c r="Q2196" s="14"/>
      <c r="R2196" s="12" t="n">
        <f aca="false">IF(OR(N2196="",P2196=""),"",ROUND(N2196*O2196/P2196,1))</f>
        <v>0.8</v>
      </c>
      <c r="S2196" s="13" t="n">
        <f aca="false">IF(R2196="","",IF(Q2196="Y",1,IF(P2196&gt;='Read me'!$B$16,3,IF(AND(R2196&gt;='Read me'!$B$14,P2196&lt;='Read me'!$B$15),1,2))))</f>
        <v>3</v>
      </c>
    </row>
    <row r="2197" customFormat="false" ht="23.85" hidden="false" customHeight="false" outlineLevel="0" collapsed="false">
      <c r="A2197" s="11" t="s">
        <v>13465</v>
      </c>
      <c r="B2197" s="11" t="s">
        <v>50</v>
      </c>
      <c r="C2197" s="11" t="s">
        <v>438</v>
      </c>
      <c r="D2197" s="11" t="s">
        <v>439</v>
      </c>
      <c r="E2197" s="11" t="s">
        <v>476</v>
      </c>
      <c r="F2197" s="11" t="s">
        <v>13466</v>
      </c>
      <c r="G2197" s="11" t="s">
        <v>13467</v>
      </c>
      <c r="H2197" s="11"/>
      <c r="I2197" s="11" t="s">
        <v>512</v>
      </c>
      <c r="J2197" s="11" t="s">
        <v>13468</v>
      </c>
      <c r="K2197" s="11" t="s">
        <v>5187</v>
      </c>
      <c r="L2197" s="11" t="s">
        <v>13469</v>
      </c>
      <c r="M2197" s="11"/>
      <c r="N2197" s="14" t="n">
        <v>2</v>
      </c>
      <c r="O2197" s="14" t="n">
        <v>3</v>
      </c>
      <c r="P2197" s="14" t="n">
        <v>1</v>
      </c>
      <c r="Q2197" s="14"/>
      <c r="R2197" s="12" t="n">
        <f aca="false">IF(OR(N2197="",P2197=""),"",ROUND(N2197*O2197/P2197,1))</f>
        <v>6</v>
      </c>
      <c r="S2197" s="13" t="n">
        <f aca="false">IF(R2197="","",IF(Q2197="Y",1,IF(P2197&gt;='Read me'!$B$16,3,IF(AND(R2197&gt;='Read me'!$B$14,P2197&lt;='Read me'!$B$15),1,2))))</f>
        <v>1</v>
      </c>
    </row>
    <row r="2198" customFormat="false" ht="23.85" hidden="false" customHeight="false" outlineLevel="0" collapsed="false">
      <c r="A2198" s="11" t="s">
        <v>13470</v>
      </c>
      <c r="B2198" s="11" t="s">
        <v>50</v>
      </c>
      <c r="C2198" s="11" t="s">
        <v>438</v>
      </c>
      <c r="D2198" s="11" t="s">
        <v>439</v>
      </c>
      <c r="E2198" s="11" t="s">
        <v>476</v>
      </c>
      <c r="F2198" s="11" t="s">
        <v>13471</v>
      </c>
      <c r="G2198" s="11" t="s">
        <v>13472</v>
      </c>
      <c r="H2198" s="11"/>
      <c r="I2198" s="11" t="s">
        <v>512</v>
      </c>
      <c r="J2198" s="11" t="s">
        <v>13473</v>
      </c>
      <c r="K2198" s="11" t="s">
        <v>13474</v>
      </c>
      <c r="L2198" s="11" t="s">
        <v>13340</v>
      </c>
      <c r="M2198" s="11"/>
      <c r="N2198" s="14" t="n">
        <v>1</v>
      </c>
      <c r="O2198" s="14" t="n">
        <v>3</v>
      </c>
      <c r="P2198" s="14" t="n">
        <v>2</v>
      </c>
      <c r="Q2198" s="14"/>
      <c r="R2198" s="12" t="n">
        <f aca="false">IF(OR(N2198="",P2198=""),"",ROUND(N2198*O2198/P2198,1))</f>
        <v>1.5</v>
      </c>
      <c r="S2198" s="13" t="n">
        <f aca="false">IF(R2198="","",IF(Q2198="Y",1,IF(P2198&gt;='Read me'!$B$16,3,IF(AND(R2198&gt;='Read me'!$B$14,P2198&lt;='Read me'!$B$15),1,2))))</f>
        <v>2</v>
      </c>
    </row>
    <row r="2199" customFormat="false" ht="23.85" hidden="false" customHeight="false" outlineLevel="0" collapsed="false">
      <c r="A2199" s="11" t="s">
        <v>13475</v>
      </c>
      <c r="B2199" s="11" t="s">
        <v>50</v>
      </c>
      <c r="C2199" s="11" t="s">
        <v>438</v>
      </c>
      <c r="D2199" s="11" t="s">
        <v>439</v>
      </c>
      <c r="E2199" s="11" t="s">
        <v>751</v>
      </c>
      <c r="F2199" s="11" t="s">
        <v>13476</v>
      </c>
      <c r="G2199" s="11" t="s">
        <v>13477</v>
      </c>
      <c r="H2199" s="11"/>
      <c r="I2199" s="11" t="s">
        <v>512</v>
      </c>
      <c r="J2199" s="11" t="s">
        <v>13478</v>
      </c>
      <c r="K2199" s="11" t="s">
        <v>13479</v>
      </c>
      <c r="L2199" s="11" t="s">
        <v>13480</v>
      </c>
      <c r="M2199" s="11" t="s">
        <v>1577</v>
      </c>
      <c r="N2199" s="14" t="n">
        <v>4</v>
      </c>
      <c r="O2199" s="14" t="n">
        <v>4</v>
      </c>
      <c r="P2199" s="14" t="n">
        <v>3</v>
      </c>
      <c r="Q2199" s="14"/>
      <c r="R2199" s="12" t="n">
        <f aca="false">IF(OR(N2199="",P2199=""),"",ROUND(N2199*O2199/P2199,1))</f>
        <v>5.3</v>
      </c>
      <c r="S2199" s="13" t="n">
        <f aca="false">IF(R2199="","",IF(Q2199="Y",1,IF(P2199&gt;='Read me'!$B$16,3,IF(AND(R2199&gt;='Read me'!$B$14,P2199&lt;='Read me'!$B$15),1,2))))</f>
        <v>2</v>
      </c>
    </row>
    <row r="2200" customFormat="false" ht="23.85" hidden="false" customHeight="false" outlineLevel="0" collapsed="false">
      <c r="A2200" s="11" t="s">
        <v>13481</v>
      </c>
      <c r="B2200" s="11" t="s">
        <v>50</v>
      </c>
      <c r="C2200" s="11" t="s">
        <v>438</v>
      </c>
      <c r="D2200" s="11" t="s">
        <v>439</v>
      </c>
      <c r="E2200" s="11" t="s">
        <v>751</v>
      </c>
      <c r="F2200" s="11" t="s">
        <v>13482</v>
      </c>
      <c r="G2200" s="11" t="s">
        <v>13483</v>
      </c>
      <c r="H2200" s="11"/>
      <c r="I2200" s="11" t="s">
        <v>512</v>
      </c>
      <c r="J2200" s="11" t="s">
        <v>13484</v>
      </c>
      <c r="K2200" s="11" t="s">
        <v>13485</v>
      </c>
      <c r="L2200" s="11" t="s">
        <v>13486</v>
      </c>
      <c r="M2200" s="11" t="s">
        <v>8677</v>
      </c>
      <c r="N2200" s="14" t="n">
        <v>3</v>
      </c>
      <c r="O2200" s="14" t="n">
        <v>4</v>
      </c>
      <c r="P2200" s="14" t="n">
        <v>3</v>
      </c>
      <c r="Q2200" s="14"/>
      <c r="R2200" s="12" t="n">
        <f aca="false">IF(OR(N2200="",P2200=""),"",ROUND(N2200*O2200/P2200,1))</f>
        <v>4</v>
      </c>
      <c r="S2200" s="13" t="n">
        <f aca="false">IF(R2200="","",IF(Q2200="Y",1,IF(P2200&gt;='Read me'!$B$16,3,IF(AND(R2200&gt;='Read me'!$B$14,P2200&lt;='Read me'!$B$15),1,2))))</f>
        <v>2</v>
      </c>
    </row>
    <row r="2201" customFormat="false" ht="23.85" hidden="false" customHeight="false" outlineLevel="0" collapsed="false">
      <c r="A2201" s="11" t="s">
        <v>13487</v>
      </c>
      <c r="B2201" s="11" t="s">
        <v>50</v>
      </c>
      <c r="C2201" s="11" t="s">
        <v>438</v>
      </c>
      <c r="D2201" s="11" t="s">
        <v>439</v>
      </c>
      <c r="E2201" s="11" t="s">
        <v>765</v>
      </c>
      <c r="F2201" s="11" t="s">
        <v>13488</v>
      </c>
      <c r="G2201" s="11" t="s">
        <v>11928</v>
      </c>
      <c r="H2201" s="11"/>
      <c r="I2201" s="11" t="s">
        <v>512</v>
      </c>
      <c r="J2201" s="11" t="s">
        <v>13489</v>
      </c>
      <c r="K2201" s="11" t="s">
        <v>8686</v>
      </c>
      <c r="L2201" s="11" t="s">
        <v>13490</v>
      </c>
      <c r="M2201" s="11"/>
      <c r="N2201" s="14" t="n">
        <v>2</v>
      </c>
      <c r="O2201" s="14" t="n">
        <v>4</v>
      </c>
      <c r="P2201" s="14" t="n">
        <v>3</v>
      </c>
      <c r="Q2201" s="14"/>
      <c r="R2201" s="12" t="n">
        <f aca="false">IF(OR(N2201="",P2201=""),"",ROUND(N2201*O2201/P2201,1))</f>
        <v>2.7</v>
      </c>
      <c r="S2201" s="13" t="n">
        <f aca="false">IF(R2201="","",IF(Q2201="Y",1,IF(P2201&gt;='Read me'!$B$16,3,IF(AND(R2201&gt;='Read me'!$B$14,P2201&lt;='Read me'!$B$15),1,2))))</f>
        <v>2</v>
      </c>
    </row>
    <row r="2202" customFormat="false" ht="35.05" hidden="false" customHeight="false" outlineLevel="0" collapsed="false">
      <c r="A2202" s="11" t="s">
        <v>13491</v>
      </c>
      <c r="B2202" s="11" t="s">
        <v>50</v>
      </c>
      <c r="C2202" s="11" t="s">
        <v>438</v>
      </c>
      <c r="D2202" s="11" t="s">
        <v>439</v>
      </c>
      <c r="E2202" s="11" t="s">
        <v>765</v>
      </c>
      <c r="F2202" s="11" t="s">
        <v>13492</v>
      </c>
      <c r="G2202" s="11" t="s">
        <v>13493</v>
      </c>
      <c r="H2202" s="11"/>
      <c r="I2202" s="11" t="s">
        <v>512</v>
      </c>
      <c r="J2202" s="11" t="s">
        <v>13494</v>
      </c>
      <c r="K2202" s="11" t="s">
        <v>13495</v>
      </c>
      <c r="L2202" s="11" t="s">
        <v>13496</v>
      </c>
      <c r="M2202" s="11" t="s">
        <v>8677</v>
      </c>
      <c r="N2202" s="14" t="n">
        <v>3</v>
      </c>
      <c r="O2202" s="14" t="n">
        <v>4</v>
      </c>
      <c r="P2202" s="14" t="n">
        <v>3</v>
      </c>
      <c r="Q2202" s="14"/>
      <c r="R2202" s="12" t="n">
        <f aca="false">IF(OR(N2202="",P2202=""),"",ROUND(N2202*O2202/P2202,1))</f>
        <v>4</v>
      </c>
      <c r="S2202" s="13" t="n">
        <f aca="false">IF(R2202="","",IF(Q2202="Y",1,IF(P2202&gt;='Read me'!$B$16,3,IF(AND(R2202&gt;='Read me'!$B$14,P2202&lt;='Read me'!$B$15),1,2))))</f>
        <v>2</v>
      </c>
    </row>
    <row r="2203" customFormat="false" ht="23.85" hidden="false" customHeight="false" outlineLevel="0" collapsed="false">
      <c r="A2203" s="11" t="s">
        <v>13497</v>
      </c>
      <c r="B2203" s="11" t="s">
        <v>50</v>
      </c>
      <c r="C2203" s="11" t="s">
        <v>438</v>
      </c>
      <c r="D2203" s="11" t="s">
        <v>439</v>
      </c>
      <c r="E2203" s="11" t="s">
        <v>765</v>
      </c>
      <c r="F2203" s="11" t="s">
        <v>13498</v>
      </c>
      <c r="G2203" s="11" t="s">
        <v>12942</v>
      </c>
      <c r="H2203" s="11"/>
      <c r="I2203" s="11" t="s">
        <v>512</v>
      </c>
      <c r="J2203" s="11" t="s">
        <v>13499</v>
      </c>
      <c r="K2203" s="11" t="s">
        <v>10945</v>
      </c>
      <c r="L2203" s="11" t="s">
        <v>13500</v>
      </c>
      <c r="M2203" s="11"/>
      <c r="N2203" s="14" t="n">
        <v>4</v>
      </c>
      <c r="O2203" s="14" t="n">
        <v>5</v>
      </c>
      <c r="P2203" s="14" t="n">
        <v>2</v>
      </c>
      <c r="Q2203" s="14"/>
      <c r="R2203" s="12" t="n">
        <f aca="false">IF(OR(N2203="",P2203=""),"",ROUND(N2203*O2203/P2203,1))</f>
        <v>10</v>
      </c>
      <c r="S2203" s="13" t="n">
        <f aca="false">IF(R2203="","",IF(Q2203="Y",1,IF(P2203&gt;='Read me'!$B$16,3,IF(AND(R2203&gt;='Read me'!$B$14,P2203&lt;='Read me'!$B$15),1,2))))</f>
        <v>1</v>
      </c>
    </row>
    <row r="2204" customFormat="false" ht="35.05" hidden="false" customHeight="false" outlineLevel="0" collapsed="false">
      <c r="A2204" s="11" t="s">
        <v>13501</v>
      </c>
      <c r="B2204" s="11" t="s">
        <v>50</v>
      </c>
      <c r="C2204" s="11" t="s">
        <v>438</v>
      </c>
      <c r="D2204" s="11" t="s">
        <v>439</v>
      </c>
      <c r="E2204" s="11" t="s">
        <v>765</v>
      </c>
      <c r="F2204" s="11" t="s">
        <v>13502</v>
      </c>
      <c r="G2204" s="11" t="s">
        <v>13503</v>
      </c>
      <c r="H2204" s="11"/>
      <c r="I2204" s="11" t="s">
        <v>13504</v>
      </c>
      <c r="J2204" s="11" t="s">
        <v>13505</v>
      </c>
      <c r="K2204" s="11" t="s">
        <v>13506</v>
      </c>
      <c r="L2204" s="11" t="s">
        <v>13507</v>
      </c>
      <c r="M2204" s="11"/>
      <c r="N2204" s="14" t="n">
        <v>3</v>
      </c>
      <c r="O2204" s="14" t="n">
        <v>5</v>
      </c>
      <c r="P2204" s="14" t="n">
        <v>2</v>
      </c>
      <c r="Q2204" s="14"/>
      <c r="R2204" s="12" t="n">
        <f aca="false">IF(OR(N2204="",P2204=""),"",ROUND(N2204*O2204/P2204,1))</f>
        <v>7.5</v>
      </c>
      <c r="S2204" s="13" t="n">
        <f aca="false">IF(R2204="","",IF(Q2204="Y",1,IF(P2204&gt;='Read me'!$B$16,3,IF(AND(R2204&gt;='Read me'!$B$14,P2204&lt;='Read me'!$B$15),1,2))))</f>
        <v>1</v>
      </c>
    </row>
    <row r="2205" customFormat="false" ht="35.05" hidden="false" customHeight="false" outlineLevel="0" collapsed="false">
      <c r="A2205" s="11" t="s">
        <v>13508</v>
      </c>
      <c r="B2205" s="11" t="s">
        <v>50</v>
      </c>
      <c r="C2205" s="11" t="s">
        <v>438</v>
      </c>
      <c r="D2205" s="11" t="s">
        <v>439</v>
      </c>
      <c r="E2205" s="11" t="s">
        <v>765</v>
      </c>
      <c r="F2205" s="11" t="s">
        <v>13498</v>
      </c>
      <c r="G2205" s="11" t="s">
        <v>13509</v>
      </c>
      <c r="H2205" s="11"/>
      <c r="I2205" s="11" t="s">
        <v>512</v>
      </c>
      <c r="J2205" s="11" t="s">
        <v>13510</v>
      </c>
      <c r="K2205" s="11" t="s">
        <v>9686</v>
      </c>
      <c r="L2205" s="11" t="s">
        <v>13511</v>
      </c>
      <c r="M2205" s="11"/>
      <c r="N2205" s="14" t="n">
        <v>3</v>
      </c>
      <c r="O2205" s="14" t="n">
        <v>4</v>
      </c>
      <c r="P2205" s="14" t="n">
        <v>2</v>
      </c>
      <c r="Q2205" s="14"/>
      <c r="R2205" s="12" t="n">
        <f aca="false">IF(OR(N2205="",P2205=""),"",ROUND(N2205*O2205/P2205,1))</f>
        <v>6</v>
      </c>
      <c r="S2205" s="13" t="n">
        <f aca="false">IF(R2205="","",IF(Q2205="Y",1,IF(P2205&gt;='Read me'!$B$16,3,IF(AND(R2205&gt;='Read me'!$B$14,P2205&lt;='Read me'!$B$15),1,2))))</f>
        <v>1</v>
      </c>
    </row>
    <row r="2206" customFormat="false" ht="23.85" hidden="false" customHeight="false" outlineLevel="0" collapsed="false">
      <c r="A2206" s="11" t="s">
        <v>13512</v>
      </c>
      <c r="B2206" s="11" t="s">
        <v>50</v>
      </c>
      <c r="C2206" s="11" t="s">
        <v>438</v>
      </c>
      <c r="D2206" s="11" t="s">
        <v>439</v>
      </c>
      <c r="E2206" s="11" t="s">
        <v>1081</v>
      </c>
      <c r="F2206" s="11" t="s">
        <v>13513</v>
      </c>
      <c r="G2206" s="11" t="s">
        <v>13514</v>
      </c>
      <c r="H2206" s="11"/>
      <c r="I2206" s="11" t="s">
        <v>512</v>
      </c>
      <c r="J2206" s="11" t="s">
        <v>13515</v>
      </c>
      <c r="K2206" s="11" t="s">
        <v>13516</v>
      </c>
      <c r="L2206" s="11" t="s">
        <v>13517</v>
      </c>
      <c r="M2206" s="11"/>
      <c r="N2206" s="14" t="n">
        <v>3</v>
      </c>
      <c r="O2206" s="14" t="n">
        <v>4</v>
      </c>
      <c r="P2206" s="14" t="n">
        <v>2</v>
      </c>
      <c r="Q2206" s="14"/>
      <c r="R2206" s="12" t="n">
        <f aca="false">IF(OR(N2206="",P2206=""),"",ROUND(N2206*O2206/P2206,1))</f>
        <v>6</v>
      </c>
      <c r="S2206" s="13" t="n">
        <f aca="false">IF(R2206="","",IF(Q2206="Y",1,IF(P2206&gt;='Read me'!$B$16,3,IF(AND(R2206&gt;='Read me'!$B$14,P2206&lt;='Read me'!$B$15),1,2))))</f>
        <v>1</v>
      </c>
    </row>
    <row r="2207" customFormat="false" ht="57.45" hidden="false" customHeight="false" outlineLevel="0" collapsed="false">
      <c r="A2207" s="11" t="s">
        <v>13518</v>
      </c>
      <c r="B2207" s="11" t="s">
        <v>50</v>
      </c>
      <c r="C2207" s="11" t="s">
        <v>438</v>
      </c>
      <c r="D2207" s="11" t="s">
        <v>439</v>
      </c>
      <c r="E2207" s="11" t="s">
        <v>1081</v>
      </c>
      <c r="F2207" s="11" t="s">
        <v>13519</v>
      </c>
      <c r="G2207" s="11" t="s">
        <v>13520</v>
      </c>
      <c r="H2207" s="11"/>
      <c r="I2207" s="11" t="s">
        <v>512</v>
      </c>
      <c r="J2207" s="11" t="s">
        <v>13521</v>
      </c>
      <c r="K2207" s="11" t="s">
        <v>13522</v>
      </c>
      <c r="L2207" s="11" t="s">
        <v>13523</v>
      </c>
      <c r="M2207" s="11" t="s">
        <v>10886</v>
      </c>
      <c r="N2207" s="14" t="n">
        <v>3</v>
      </c>
      <c r="O2207" s="14" t="n">
        <v>4</v>
      </c>
      <c r="P2207" s="14" t="n">
        <v>5</v>
      </c>
      <c r="Q2207" s="14"/>
      <c r="R2207" s="12" t="n">
        <f aca="false">IF(OR(N2207="",P2207=""),"",ROUND(N2207*O2207/P2207,1))</f>
        <v>2.4</v>
      </c>
      <c r="S2207" s="13" t="n">
        <f aca="false">IF(R2207="","",IF(Q2207="Y",1,IF(P2207&gt;='Read me'!$B$16,3,IF(AND(R2207&gt;='Read me'!$B$14,P2207&lt;='Read me'!$B$15),1,2))))</f>
        <v>3</v>
      </c>
    </row>
    <row r="2208" customFormat="false" ht="23.85" hidden="false" customHeight="false" outlineLevel="0" collapsed="false">
      <c r="A2208" s="11" t="s">
        <v>13524</v>
      </c>
      <c r="B2208" s="11" t="s">
        <v>50</v>
      </c>
      <c r="C2208" s="11" t="s">
        <v>438</v>
      </c>
      <c r="D2208" s="11" t="s">
        <v>439</v>
      </c>
      <c r="E2208" s="11" t="s">
        <v>1081</v>
      </c>
      <c r="F2208" s="11" t="s">
        <v>13525</v>
      </c>
      <c r="G2208" s="11" t="s">
        <v>13526</v>
      </c>
      <c r="H2208" s="11" t="s">
        <v>13527</v>
      </c>
      <c r="I2208" s="11" t="s">
        <v>13528</v>
      </c>
      <c r="J2208" s="11" t="s">
        <v>13529</v>
      </c>
      <c r="K2208" s="11" t="s">
        <v>13530</v>
      </c>
      <c r="L2208" s="11" t="s">
        <v>13531</v>
      </c>
      <c r="M2208" s="11"/>
      <c r="N2208" s="14" t="n">
        <v>1</v>
      </c>
      <c r="O2208" s="14" t="n">
        <v>2</v>
      </c>
      <c r="P2208" s="14" t="n">
        <v>2</v>
      </c>
      <c r="Q2208" s="14"/>
      <c r="R2208" s="12" t="n">
        <f aca="false">IF(OR(N2208="",P2208=""),"",ROUND(N2208*O2208/P2208,1))</f>
        <v>1</v>
      </c>
      <c r="S2208" s="13" t="n">
        <f aca="false">IF(R2208="","",IF(Q2208="Y",1,IF(P2208&gt;='Read me'!$B$16,3,IF(AND(R2208&gt;='Read me'!$B$14,P2208&lt;='Read me'!$B$15),1,2))))</f>
        <v>2</v>
      </c>
    </row>
    <row r="2209" customFormat="false" ht="23.85" hidden="false" customHeight="false" outlineLevel="0" collapsed="false">
      <c r="A2209" s="11" t="s">
        <v>13532</v>
      </c>
      <c r="B2209" s="11" t="s">
        <v>50</v>
      </c>
      <c r="C2209" s="11" t="s">
        <v>438</v>
      </c>
      <c r="D2209" s="11" t="s">
        <v>439</v>
      </c>
      <c r="E2209" s="11" t="s">
        <v>1187</v>
      </c>
      <c r="F2209" s="11" t="s">
        <v>13533</v>
      </c>
      <c r="G2209" s="11" t="s">
        <v>13534</v>
      </c>
      <c r="H2209" s="11" t="s">
        <v>13535</v>
      </c>
      <c r="I2209" s="11" t="s">
        <v>13536</v>
      </c>
      <c r="J2209" s="11" t="s">
        <v>13537</v>
      </c>
      <c r="K2209" s="11" t="s">
        <v>3738</v>
      </c>
      <c r="L2209" s="11" t="s">
        <v>13538</v>
      </c>
      <c r="M2209" s="11"/>
      <c r="N2209" s="14" t="n">
        <v>2</v>
      </c>
      <c r="O2209" s="14" t="n">
        <v>2</v>
      </c>
      <c r="P2209" s="14" t="n">
        <v>3</v>
      </c>
      <c r="Q2209" s="14"/>
      <c r="R2209" s="12" t="n">
        <f aca="false">IF(OR(N2209="",P2209=""),"",ROUND(N2209*O2209/P2209,1))</f>
        <v>1.3</v>
      </c>
      <c r="S2209" s="13" t="n">
        <f aca="false">IF(R2209="","",IF(Q2209="Y",1,IF(P2209&gt;='Read me'!$B$16,3,IF(AND(R2209&gt;='Read me'!$B$14,P2209&lt;='Read me'!$B$15),1,2))))</f>
        <v>2</v>
      </c>
    </row>
    <row r="2210" customFormat="false" ht="23.85" hidden="false" customHeight="false" outlineLevel="0" collapsed="false">
      <c r="A2210" s="11" t="s">
        <v>13539</v>
      </c>
      <c r="B2210" s="11" t="s">
        <v>50</v>
      </c>
      <c r="C2210" s="11" t="s">
        <v>438</v>
      </c>
      <c r="D2210" s="11" t="s">
        <v>439</v>
      </c>
      <c r="E2210" s="11" t="s">
        <v>1187</v>
      </c>
      <c r="F2210" s="11" t="s">
        <v>13540</v>
      </c>
      <c r="G2210" s="11" t="s">
        <v>13541</v>
      </c>
      <c r="H2210" s="11" t="s">
        <v>13542</v>
      </c>
      <c r="I2210" s="11" t="s">
        <v>13543</v>
      </c>
      <c r="J2210" s="11" t="s">
        <v>13544</v>
      </c>
      <c r="K2210" s="11" t="s">
        <v>13545</v>
      </c>
      <c r="L2210" s="11" t="s">
        <v>13546</v>
      </c>
      <c r="M2210" s="11"/>
      <c r="N2210" s="14" t="n">
        <v>2</v>
      </c>
      <c r="O2210" s="14" t="n">
        <v>2</v>
      </c>
      <c r="P2210" s="14" t="n">
        <v>1</v>
      </c>
      <c r="Q2210" s="14"/>
      <c r="R2210" s="12" t="n">
        <f aca="false">IF(OR(N2210="",P2210=""),"",ROUND(N2210*O2210/P2210,1))</f>
        <v>4</v>
      </c>
      <c r="S2210" s="13" t="n">
        <f aca="false">IF(R2210="","",IF(Q2210="Y",1,IF(P2210&gt;='Read me'!$B$16,3,IF(AND(R2210&gt;='Read me'!$B$14,P2210&lt;='Read me'!$B$15),1,2))))</f>
        <v>2</v>
      </c>
    </row>
    <row r="2211" customFormat="false" ht="23.85" hidden="false" customHeight="false" outlineLevel="0" collapsed="false">
      <c r="A2211" s="11" t="s">
        <v>13547</v>
      </c>
      <c r="B2211" s="11" t="s">
        <v>50</v>
      </c>
      <c r="C2211" s="11" t="s">
        <v>438</v>
      </c>
      <c r="D2211" s="11" t="s">
        <v>439</v>
      </c>
      <c r="E2211" s="11" t="s">
        <v>1133</v>
      </c>
      <c r="F2211" s="11" t="s">
        <v>13548</v>
      </c>
      <c r="G2211" s="11" t="s">
        <v>9595</v>
      </c>
      <c r="H2211" s="11"/>
      <c r="I2211" s="11" t="s">
        <v>512</v>
      </c>
      <c r="J2211" s="11" t="s">
        <v>13549</v>
      </c>
      <c r="K2211" s="11" t="s">
        <v>13550</v>
      </c>
      <c r="L2211" s="11" t="s">
        <v>13551</v>
      </c>
      <c r="M2211" s="11"/>
      <c r="N2211" s="14" t="n">
        <v>2</v>
      </c>
      <c r="O2211" s="14" t="n">
        <v>3</v>
      </c>
      <c r="P2211" s="14" t="n">
        <v>1</v>
      </c>
      <c r="Q2211" s="14"/>
      <c r="R2211" s="12" t="n">
        <f aca="false">IF(OR(N2211="",P2211=""),"",ROUND(N2211*O2211/P2211,1))</f>
        <v>6</v>
      </c>
      <c r="S2211" s="13" t="n">
        <f aca="false">IF(R2211="","",IF(Q2211="Y",1,IF(P2211&gt;='Read me'!$B$16,3,IF(AND(R2211&gt;='Read me'!$B$14,P2211&lt;='Read me'!$B$15),1,2))))</f>
        <v>1</v>
      </c>
    </row>
    <row r="2212" customFormat="false" ht="23.85" hidden="false" customHeight="false" outlineLevel="0" collapsed="false">
      <c r="A2212" s="11" t="s">
        <v>13552</v>
      </c>
      <c r="B2212" s="11" t="s">
        <v>50</v>
      </c>
      <c r="C2212" s="11" t="s">
        <v>438</v>
      </c>
      <c r="D2212" s="11" t="s">
        <v>439</v>
      </c>
      <c r="E2212" s="11" t="s">
        <v>1372</v>
      </c>
      <c r="F2212" s="11" t="s">
        <v>13553</v>
      </c>
      <c r="G2212" s="11"/>
      <c r="H2212" s="11"/>
      <c r="I2212" s="11" t="s">
        <v>13554</v>
      </c>
      <c r="J2212" s="11" t="s">
        <v>11575</v>
      </c>
      <c r="K2212" s="11" t="s">
        <v>13555</v>
      </c>
      <c r="L2212" s="11" t="s">
        <v>13556</v>
      </c>
      <c r="M2212" s="11"/>
      <c r="N2212" s="14" t="n">
        <v>4</v>
      </c>
      <c r="O2212" s="14" t="n">
        <v>2</v>
      </c>
      <c r="P2212" s="14" t="n">
        <v>1</v>
      </c>
      <c r="Q2212" s="14"/>
      <c r="R2212" s="12" t="n">
        <f aca="false">IF(OR(N2212="",P2212=""),"",ROUND(N2212*O2212/P2212,1))</f>
        <v>8</v>
      </c>
      <c r="S2212" s="13" t="n">
        <f aca="false">IF(R2212="","",IF(Q2212="Y",1,IF(P2212&gt;='Read me'!$B$16,3,IF(AND(R2212&gt;='Read me'!$B$14,P2212&lt;='Read me'!$B$15),1,2))))</f>
        <v>1</v>
      </c>
    </row>
    <row r="2213" customFormat="false" ht="23.85" hidden="false" customHeight="false" outlineLevel="0" collapsed="false">
      <c r="A2213" s="11" t="s">
        <v>13557</v>
      </c>
      <c r="B2213" s="11" t="s">
        <v>50</v>
      </c>
      <c r="C2213" s="11" t="s">
        <v>438</v>
      </c>
      <c r="D2213" s="11" t="s">
        <v>439</v>
      </c>
      <c r="E2213" s="11" t="s">
        <v>1372</v>
      </c>
      <c r="F2213" s="11" t="s">
        <v>13558</v>
      </c>
      <c r="G2213" s="11"/>
      <c r="H2213" s="11"/>
      <c r="I2213" s="11" t="s">
        <v>13559</v>
      </c>
      <c r="J2213" s="11" t="s">
        <v>13560</v>
      </c>
      <c r="K2213" s="11" t="s">
        <v>13421</v>
      </c>
      <c r="L2213" s="11" t="s">
        <v>13561</v>
      </c>
      <c r="M2213" s="11"/>
      <c r="N2213" s="14" t="n">
        <v>1</v>
      </c>
      <c r="O2213" s="14" t="n">
        <v>1</v>
      </c>
      <c r="P2213" s="14" t="n">
        <v>1</v>
      </c>
      <c r="Q2213" s="14"/>
      <c r="R2213" s="12" t="n">
        <f aca="false">IF(OR(N2213="",P2213=""),"",ROUND(N2213*O2213/P2213,1))</f>
        <v>1</v>
      </c>
      <c r="S2213" s="13" t="n">
        <f aca="false">IF(R2213="","",IF(Q2213="Y",1,IF(P2213&gt;='Read me'!$B$16,3,IF(AND(R2213&gt;='Read me'!$B$14,P2213&lt;='Read me'!$B$15),1,2))))</f>
        <v>2</v>
      </c>
    </row>
    <row r="2214" customFormat="false" ht="23.85" hidden="false" customHeight="false" outlineLevel="0" collapsed="false">
      <c r="A2214" s="11" t="s">
        <v>13562</v>
      </c>
      <c r="B2214" s="11" t="s">
        <v>50</v>
      </c>
      <c r="C2214" s="11" t="s">
        <v>438</v>
      </c>
      <c r="D2214" s="11" t="s">
        <v>439</v>
      </c>
      <c r="E2214" s="11" t="s">
        <v>1372</v>
      </c>
      <c r="F2214" s="11" t="s">
        <v>13563</v>
      </c>
      <c r="G2214" s="11" t="s">
        <v>13564</v>
      </c>
      <c r="H2214" s="11"/>
      <c r="I2214" s="11" t="s">
        <v>512</v>
      </c>
      <c r="J2214" s="11" t="s">
        <v>13565</v>
      </c>
      <c r="K2214" s="11" t="s">
        <v>13566</v>
      </c>
      <c r="L2214" s="11" t="s">
        <v>13567</v>
      </c>
      <c r="M2214" s="11" t="s">
        <v>1577</v>
      </c>
      <c r="N2214" s="14" t="n">
        <v>2</v>
      </c>
      <c r="O2214" s="14" t="n">
        <v>2</v>
      </c>
      <c r="P2214" s="14" t="n">
        <v>3</v>
      </c>
      <c r="Q2214" s="14"/>
      <c r="R2214" s="12" t="n">
        <f aca="false">IF(OR(N2214="",P2214=""),"",ROUND(N2214*O2214/P2214,1))</f>
        <v>1.3</v>
      </c>
      <c r="S2214" s="13" t="n">
        <f aca="false">IF(R2214="","",IF(Q2214="Y",1,IF(P2214&gt;='Read me'!$B$16,3,IF(AND(R2214&gt;='Read me'!$B$14,P2214&lt;='Read me'!$B$15),1,2))))</f>
        <v>2</v>
      </c>
    </row>
    <row r="2215" customFormat="false" ht="23.85" hidden="false" customHeight="false" outlineLevel="0" collapsed="false">
      <c r="A2215" s="11" t="s">
        <v>13568</v>
      </c>
      <c r="B2215" s="11" t="s">
        <v>50</v>
      </c>
      <c r="C2215" s="11" t="s">
        <v>438</v>
      </c>
      <c r="D2215" s="11" t="s">
        <v>439</v>
      </c>
      <c r="E2215" s="11" t="s">
        <v>1372</v>
      </c>
      <c r="F2215" s="11" t="s">
        <v>13569</v>
      </c>
      <c r="G2215" s="11" t="s">
        <v>13570</v>
      </c>
      <c r="H2215" s="11"/>
      <c r="I2215" s="11" t="s">
        <v>512</v>
      </c>
      <c r="J2215" s="11" t="s">
        <v>13571</v>
      </c>
      <c r="K2215" s="11" t="s">
        <v>13474</v>
      </c>
      <c r="L2215" s="11" t="s">
        <v>13572</v>
      </c>
      <c r="M2215" s="11"/>
      <c r="N2215" s="14" t="n">
        <v>2</v>
      </c>
      <c r="O2215" s="14" t="n">
        <v>3</v>
      </c>
      <c r="P2215" s="14" t="n">
        <v>2</v>
      </c>
      <c r="Q2215" s="14"/>
      <c r="R2215" s="12" t="n">
        <f aca="false">IF(OR(N2215="",P2215=""),"",ROUND(N2215*O2215/P2215,1))</f>
        <v>3</v>
      </c>
      <c r="S2215" s="13" t="n">
        <f aca="false">IF(R2215="","",IF(Q2215="Y",1,IF(P2215&gt;='Read me'!$B$16,3,IF(AND(R2215&gt;='Read me'!$B$14,P2215&lt;='Read me'!$B$15),1,2))))</f>
        <v>2</v>
      </c>
    </row>
    <row r="2216" customFormat="false" ht="35.05" hidden="false" customHeight="false" outlineLevel="0" collapsed="false">
      <c r="A2216" s="11" t="s">
        <v>13573</v>
      </c>
      <c r="B2216" s="11" t="s">
        <v>50</v>
      </c>
      <c r="C2216" s="11" t="s">
        <v>438</v>
      </c>
      <c r="D2216" s="11" t="s">
        <v>439</v>
      </c>
      <c r="E2216" s="11" t="s">
        <v>1372</v>
      </c>
      <c r="F2216" s="11" t="s">
        <v>13574</v>
      </c>
      <c r="G2216" s="11"/>
      <c r="H2216" s="11"/>
      <c r="I2216" s="11" t="s">
        <v>13575</v>
      </c>
      <c r="J2216" s="11" t="s">
        <v>13576</v>
      </c>
      <c r="K2216" s="11" t="s">
        <v>4369</v>
      </c>
      <c r="L2216" s="11" t="s">
        <v>13577</v>
      </c>
      <c r="M2216" s="11" t="s">
        <v>10463</v>
      </c>
      <c r="N2216" s="14" t="n">
        <v>2</v>
      </c>
      <c r="O2216" s="14" t="n">
        <v>2</v>
      </c>
      <c r="P2216" s="14" t="n">
        <v>2</v>
      </c>
      <c r="Q2216" s="14"/>
      <c r="R2216" s="12" t="n">
        <f aca="false">IF(OR(N2216="",P2216=""),"",ROUND(N2216*O2216/P2216,1))</f>
        <v>2</v>
      </c>
      <c r="S2216" s="13" t="n">
        <f aca="false">IF(R2216="","",IF(Q2216="Y",1,IF(P2216&gt;='Read me'!$B$16,3,IF(AND(R2216&gt;='Read me'!$B$14,P2216&lt;='Read me'!$B$15),1,2))))</f>
        <v>2</v>
      </c>
    </row>
    <row r="2217" customFormat="false" ht="23.85" hidden="false" customHeight="false" outlineLevel="0" collapsed="false">
      <c r="A2217" s="11" t="s">
        <v>13578</v>
      </c>
      <c r="B2217" s="11" t="s">
        <v>50</v>
      </c>
      <c r="C2217" s="11" t="s">
        <v>442</v>
      </c>
      <c r="D2217" s="11" t="s">
        <v>443</v>
      </c>
      <c r="E2217" s="11" t="s">
        <v>476</v>
      </c>
      <c r="F2217" s="11" t="s">
        <v>13579</v>
      </c>
      <c r="G2217" s="11" t="s">
        <v>13580</v>
      </c>
      <c r="H2217" s="11"/>
      <c r="I2217" s="11" t="s">
        <v>512</v>
      </c>
      <c r="J2217" s="11" t="s">
        <v>13581</v>
      </c>
      <c r="K2217" s="11" t="s">
        <v>13582</v>
      </c>
      <c r="L2217" s="11" t="s">
        <v>13583</v>
      </c>
      <c r="M2217" s="11"/>
      <c r="N2217" s="14" t="n">
        <v>2</v>
      </c>
      <c r="O2217" s="14" t="n">
        <v>3</v>
      </c>
      <c r="P2217" s="14" t="n">
        <v>2</v>
      </c>
      <c r="Q2217" s="14"/>
      <c r="R2217" s="12" t="n">
        <f aca="false">IF(OR(N2217="",P2217=""),"",ROUND(N2217*O2217/P2217,1))</f>
        <v>3</v>
      </c>
      <c r="S2217" s="13" t="n">
        <f aca="false">IF(R2217="","",IF(Q2217="Y",1,IF(P2217&gt;='Read me'!$B$16,3,IF(AND(R2217&gt;='Read me'!$B$14,P2217&lt;='Read me'!$B$15),1,2))))</f>
        <v>2</v>
      </c>
    </row>
    <row r="2218" customFormat="false" ht="35.05" hidden="false" customHeight="false" outlineLevel="0" collapsed="false">
      <c r="A2218" s="11" t="s">
        <v>13584</v>
      </c>
      <c r="B2218" s="11" t="s">
        <v>50</v>
      </c>
      <c r="C2218" s="11" t="s">
        <v>442</v>
      </c>
      <c r="D2218" s="11" t="s">
        <v>443</v>
      </c>
      <c r="E2218" s="11" t="s">
        <v>751</v>
      </c>
      <c r="F2218" s="11" t="s">
        <v>13585</v>
      </c>
      <c r="G2218" s="11" t="s">
        <v>6960</v>
      </c>
      <c r="H2218" s="11"/>
      <c r="I2218" s="11" t="s">
        <v>13586</v>
      </c>
      <c r="J2218" s="11" t="s">
        <v>13587</v>
      </c>
      <c r="K2218" s="11" t="s">
        <v>11827</v>
      </c>
      <c r="L2218" s="11" t="s">
        <v>13588</v>
      </c>
      <c r="M2218" s="11" t="s">
        <v>1577</v>
      </c>
      <c r="N2218" s="14" t="n">
        <v>3</v>
      </c>
      <c r="O2218" s="14" t="n">
        <v>4</v>
      </c>
      <c r="P2218" s="14" t="n">
        <v>5</v>
      </c>
      <c r="Q2218" s="14"/>
      <c r="R2218" s="12" t="n">
        <f aca="false">IF(OR(N2218="",P2218=""),"",ROUND(N2218*O2218/P2218,1))</f>
        <v>2.4</v>
      </c>
      <c r="S2218" s="13" t="n">
        <f aca="false">IF(R2218="","",IF(Q2218="Y",1,IF(P2218&gt;='Read me'!$B$16,3,IF(AND(R2218&gt;='Read me'!$B$14,P2218&lt;='Read me'!$B$15),1,2))))</f>
        <v>3</v>
      </c>
    </row>
    <row r="2219" customFormat="false" ht="23.85" hidden="false" customHeight="false" outlineLevel="0" collapsed="false">
      <c r="A2219" s="11" t="s">
        <v>13589</v>
      </c>
      <c r="B2219" s="11" t="s">
        <v>50</v>
      </c>
      <c r="C2219" s="11" t="s">
        <v>442</v>
      </c>
      <c r="D2219" s="11" t="s">
        <v>443</v>
      </c>
      <c r="E2219" s="11" t="s">
        <v>1081</v>
      </c>
      <c r="F2219" s="11" t="s">
        <v>11656</v>
      </c>
      <c r="G2219" s="11"/>
      <c r="H2219" s="11"/>
      <c r="I2219" s="11" t="s">
        <v>13590</v>
      </c>
      <c r="J2219" s="11" t="s">
        <v>11659</v>
      </c>
      <c r="K2219" s="11" t="s">
        <v>13591</v>
      </c>
      <c r="L2219" s="11" t="s">
        <v>13592</v>
      </c>
      <c r="M2219" s="11"/>
      <c r="N2219" s="14" t="n">
        <v>5</v>
      </c>
      <c r="O2219" s="14" t="n">
        <v>3</v>
      </c>
      <c r="P2219" s="14" t="n">
        <v>2</v>
      </c>
      <c r="Q2219" s="14"/>
      <c r="R2219" s="12" t="n">
        <f aca="false">IF(OR(N2219="",P2219=""),"",ROUND(N2219*O2219/P2219,1))</f>
        <v>7.5</v>
      </c>
      <c r="S2219" s="13" t="n">
        <f aca="false">IF(R2219="","",IF(Q2219="Y",1,IF(P2219&gt;='Read me'!$B$16,3,IF(AND(R2219&gt;='Read me'!$B$14,P2219&lt;='Read me'!$B$15),1,2))))</f>
        <v>1</v>
      </c>
    </row>
    <row r="2220" customFormat="false" ht="23.85" hidden="false" customHeight="false" outlineLevel="0" collapsed="false">
      <c r="A2220" s="11" t="s">
        <v>13593</v>
      </c>
      <c r="B2220" s="11" t="s">
        <v>50</v>
      </c>
      <c r="C2220" s="11" t="s">
        <v>442</v>
      </c>
      <c r="D2220" s="11" t="s">
        <v>443</v>
      </c>
      <c r="E2220" s="11" t="s">
        <v>1081</v>
      </c>
      <c r="F2220" s="11" t="s">
        <v>13594</v>
      </c>
      <c r="G2220" s="11" t="s">
        <v>13595</v>
      </c>
      <c r="H2220" s="11"/>
      <c r="I2220" s="11" t="s">
        <v>13596</v>
      </c>
      <c r="J2220" s="11" t="s">
        <v>13597</v>
      </c>
      <c r="K2220" s="11" t="s">
        <v>1028</v>
      </c>
      <c r="L2220" s="11" t="s">
        <v>13598</v>
      </c>
      <c r="M2220" s="11"/>
      <c r="N2220" s="14" t="n">
        <v>2</v>
      </c>
      <c r="O2220" s="14" t="n">
        <v>2</v>
      </c>
      <c r="P2220" s="14" t="n">
        <v>3</v>
      </c>
      <c r="Q2220" s="14"/>
      <c r="R2220" s="12" t="n">
        <f aca="false">IF(OR(N2220="",P2220=""),"",ROUND(N2220*O2220/P2220,1))</f>
        <v>1.3</v>
      </c>
      <c r="S2220" s="13" t="n">
        <f aca="false">IF(R2220="","",IF(Q2220="Y",1,IF(P2220&gt;='Read me'!$B$16,3,IF(AND(R2220&gt;='Read me'!$B$14,P2220&lt;='Read me'!$B$15),1,2))))</f>
        <v>2</v>
      </c>
    </row>
    <row r="2221" customFormat="false" ht="23.85" hidden="false" customHeight="false" outlineLevel="0" collapsed="false">
      <c r="A2221" s="11" t="s">
        <v>13599</v>
      </c>
      <c r="B2221" s="11" t="s">
        <v>50</v>
      </c>
      <c r="C2221" s="11" t="s">
        <v>442</v>
      </c>
      <c r="D2221" s="11" t="s">
        <v>443</v>
      </c>
      <c r="E2221" s="11" t="s">
        <v>1081</v>
      </c>
      <c r="F2221" s="11" t="s">
        <v>13600</v>
      </c>
      <c r="G2221" s="11" t="s">
        <v>13601</v>
      </c>
      <c r="H2221" s="11"/>
      <c r="I2221" s="11" t="s">
        <v>13602</v>
      </c>
      <c r="J2221" s="11" t="s">
        <v>13603</v>
      </c>
      <c r="K2221" s="11" t="s">
        <v>13530</v>
      </c>
      <c r="L2221" s="11" t="s">
        <v>13531</v>
      </c>
      <c r="M2221" s="11"/>
      <c r="N2221" s="14" t="n">
        <v>1</v>
      </c>
      <c r="O2221" s="14" t="n">
        <v>2</v>
      </c>
      <c r="P2221" s="14" t="n">
        <v>2</v>
      </c>
      <c r="Q2221" s="14"/>
      <c r="R2221" s="12" t="n">
        <f aca="false">IF(OR(N2221="",P2221=""),"",ROUND(N2221*O2221/P2221,1))</f>
        <v>1</v>
      </c>
      <c r="S2221" s="13" t="n">
        <f aca="false">IF(R2221="","",IF(Q2221="Y",1,IF(P2221&gt;='Read me'!$B$16,3,IF(AND(R2221&gt;='Read me'!$B$14,P2221&lt;='Read me'!$B$15),1,2))))</f>
        <v>2</v>
      </c>
    </row>
    <row r="2222" customFormat="false" ht="23.85" hidden="false" customHeight="false" outlineLevel="0" collapsed="false">
      <c r="A2222" s="11" t="s">
        <v>13604</v>
      </c>
      <c r="B2222" s="11" t="s">
        <v>50</v>
      </c>
      <c r="C2222" s="11" t="s">
        <v>442</v>
      </c>
      <c r="D2222" s="11" t="s">
        <v>443</v>
      </c>
      <c r="E2222" s="11" t="s">
        <v>1187</v>
      </c>
      <c r="F2222" s="11" t="s">
        <v>13605</v>
      </c>
      <c r="G2222" s="11" t="s">
        <v>13606</v>
      </c>
      <c r="H2222" s="11" t="s">
        <v>13607</v>
      </c>
      <c r="I2222" s="11" t="s">
        <v>13608</v>
      </c>
      <c r="J2222" s="11" t="s">
        <v>13609</v>
      </c>
      <c r="K2222" s="11" t="s">
        <v>13610</v>
      </c>
      <c r="L2222" s="11" t="s">
        <v>13611</v>
      </c>
      <c r="M2222" s="11"/>
      <c r="N2222" s="14" t="n">
        <v>2</v>
      </c>
      <c r="O2222" s="14" t="n">
        <v>3</v>
      </c>
      <c r="P2222" s="14" t="n">
        <v>3</v>
      </c>
      <c r="Q2222" s="14"/>
      <c r="R2222" s="12" t="n">
        <f aca="false">IF(OR(N2222="",P2222=""),"",ROUND(N2222*O2222/P2222,1))</f>
        <v>2</v>
      </c>
      <c r="S2222" s="13" t="n">
        <f aca="false">IF(R2222="","",IF(Q2222="Y",1,IF(P2222&gt;='Read me'!$B$16,3,IF(AND(R2222&gt;='Read me'!$B$14,P2222&lt;='Read me'!$B$15),1,2))))</f>
        <v>2</v>
      </c>
    </row>
    <row r="2223" customFormat="false" ht="46.25" hidden="false" customHeight="false" outlineLevel="0" collapsed="false">
      <c r="A2223" s="11" t="s">
        <v>13612</v>
      </c>
      <c r="B2223" s="11" t="s">
        <v>50</v>
      </c>
      <c r="C2223" s="11" t="s">
        <v>442</v>
      </c>
      <c r="D2223" s="11" t="s">
        <v>443</v>
      </c>
      <c r="E2223" s="11" t="s">
        <v>1187</v>
      </c>
      <c r="F2223" s="11" t="s">
        <v>13613</v>
      </c>
      <c r="G2223" s="11" t="s">
        <v>13614</v>
      </c>
      <c r="H2223" s="11" t="s">
        <v>13615</v>
      </c>
      <c r="I2223" s="11" t="s">
        <v>13616</v>
      </c>
      <c r="J2223" s="11" t="s">
        <v>13617</v>
      </c>
      <c r="K2223" s="11" t="s">
        <v>675</v>
      </c>
      <c r="L2223" s="11" t="s">
        <v>13618</v>
      </c>
      <c r="M2223" s="11" t="s">
        <v>13619</v>
      </c>
      <c r="N2223" s="14" t="n">
        <v>1</v>
      </c>
      <c r="O2223" s="14" t="n">
        <v>3</v>
      </c>
      <c r="P2223" s="14" t="n">
        <v>4</v>
      </c>
      <c r="Q2223" s="14"/>
      <c r="R2223" s="12" t="n">
        <f aca="false">IF(OR(N2223="",P2223=""),"",ROUND(N2223*O2223/P2223,1))</f>
        <v>0.8</v>
      </c>
      <c r="S2223" s="13" t="n">
        <f aca="false">IF(R2223="","",IF(Q2223="Y",1,IF(P2223&gt;='Read me'!$B$16,3,IF(AND(R2223&gt;='Read me'!$B$14,P2223&lt;='Read me'!$B$15),1,2))))</f>
        <v>3</v>
      </c>
    </row>
    <row r="2224" customFormat="false" ht="46.25" hidden="false" customHeight="false" outlineLevel="0" collapsed="false">
      <c r="A2224" s="11" t="s">
        <v>13620</v>
      </c>
      <c r="B2224" s="11" t="s">
        <v>50</v>
      </c>
      <c r="C2224" s="11" t="s">
        <v>442</v>
      </c>
      <c r="D2224" s="11" t="s">
        <v>443</v>
      </c>
      <c r="E2224" s="11" t="s">
        <v>1187</v>
      </c>
      <c r="F2224" s="11" t="s">
        <v>13621</v>
      </c>
      <c r="G2224" s="11" t="s">
        <v>13622</v>
      </c>
      <c r="H2224" s="11" t="s">
        <v>13623</v>
      </c>
      <c r="I2224" s="11" t="s">
        <v>13624</v>
      </c>
      <c r="J2224" s="11" t="s">
        <v>13625</v>
      </c>
      <c r="K2224" s="11" t="s">
        <v>675</v>
      </c>
      <c r="L2224" s="11" t="s">
        <v>13626</v>
      </c>
      <c r="M2224" s="11"/>
      <c r="N2224" s="14" t="n">
        <v>3</v>
      </c>
      <c r="O2224" s="14" t="n">
        <v>4</v>
      </c>
      <c r="P2224" s="14" t="n">
        <v>5</v>
      </c>
      <c r="Q2224" s="14"/>
      <c r="R2224" s="12" t="n">
        <f aca="false">IF(OR(N2224="",P2224=""),"",ROUND(N2224*O2224/P2224,1))</f>
        <v>2.4</v>
      </c>
      <c r="S2224" s="13" t="n">
        <f aca="false">IF(R2224="","",IF(Q2224="Y",1,IF(P2224&gt;='Read me'!$B$16,3,IF(AND(R2224&gt;='Read me'!$B$14,P2224&lt;='Read me'!$B$15),1,2))))</f>
        <v>3</v>
      </c>
    </row>
    <row r="2225" customFormat="false" ht="23.85" hidden="false" customHeight="false" outlineLevel="0" collapsed="false">
      <c r="A2225" s="11" t="s">
        <v>13627</v>
      </c>
      <c r="B2225" s="11" t="s">
        <v>50</v>
      </c>
      <c r="C2225" s="11" t="s">
        <v>442</v>
      </c>
      <c r="D2225" s="11" t="s">
        <v>443</v>
      </c>
      <c r="E2225" s="11" t="s">
        <v>1372</v>
      </c>
      <c r="F2225" s="11" t="s">
        <v>13628</v>
      </c>
      <c r="G2225" s="11" t="s">
        <v>13629</v>
      </c>
      <c r="H2225" s="11"/>
      <c r="I2225" s="11" t="s">
        <v>13630</v>
      </c>
      <c r="J2225" s="11" t="s">
        <v>13631</v>
      </c>
      <c r="K2225" s="11" t="s">
        <v>13632</v>
      </c>
      <c r="L2225" s="11" t="s">
        <v>13633</v>
      </c>
      <c r="M2225" s="11"/>
      <c r="N2225" s="14" t="n">
        <v>4</v>
      </c>
      <c r="O2225" s="14" t="n">
        <v>3</v>
      </c>
      <c r="P2225" s="14" t="n">
        <v>2</v>
      </c>
      <c r="Q2225" s="14"/>
      <c r="R2225" s="12" t="n">
        <f aca="false">IF(OR(N2225="",P2225=""),"",ROUND(N2225*O2225/P2225,1))</f>
        <v>6</v>
      </c>
      <c r="S2225" s="13" t="n">
        <f aca="false">IF(R2225="","",IF(Q2225="Y",1,IF(P2225&gt;='Read me'!$B$16,3,IF(AND(R2225&gt;='Read me'!$B$14,P2225&lt;='Read me'!$B$15),1,2))))</f>
        <v>1</v>
      </c>
    </row>
    <row r="2226" customFormat="false" ht="23.85" hidden="false" customHeight="false" outlineLevel="0" collapsed="false">
      <c r="A2226" s="11" t="s">
        <v>13634</v>
      </c>
      <c r="B2226" s="11" t="s">
        <v>50</v>
      </c>
      <c r="C2226" s="11" t="s">
        <v>442</v>
      </c>
      <c r="D2226" s="11" t="s">
        <v>443</v>
      </c>
      <c r="E2226" s="11" t="s">
        <v>1372</v>
      </c>
      <c r="F2226" s="11" t="s">
        <v>13628</v>
      </c>
      <c r="G2226" s="11" t="s">
        <v>13635</v>
      </c>
      <c r="H2226" s="11"/>
      <c r="I2226" s="11" t="s">
        <v>13636</v>
      </c>
      <c r="J2226" s="11" t="s">
        <v>13637</v>
      </c>
      <c r="K2226" s="11" t="s">
        <v>13638</v>
      </c>
      <c r="L2226" s="11" t="s">
        <v>13639</v>
      </c>
      <c r="M2226" s="11"/>
      <c r="N2226" s="14" t="n">
        <v>4</v>
      </c>
      <c r="O2226" s="14" t="n">
        <v>3</v>
      </c>
      <c r="P2226" s="14" t="n">
        <v>2</v>
      </c>
      <c r="Q2226" s="14"/>
      <c r="R2226" s="12" t="n">
        <f aca="false">IF(OR(N2226="",P2226=""),"",ROUND(N2226*O2226/P2226,1))</f>
        <v>6</v>
      </c>
      <c r="S2226" s="13" t="n">
        <f aca="false">IF(R2226="","",IF(Q2226="Y",1,IF(P2226&gt;='Read me'!$B$16,3,IF(AND(R2226&gt;='Read me'!$B$14,P2226&lt;='Read me'!$B$15),1,2))))</f>
        <v>1</v>
      </c>
    </row>
    <row r="2227" customFormat="false" ht="23.85" hidden="false" customHeight="false" outlineLevel="0" collapsed="false">
      <c r="A2227" s="11" t="s">
        <v>13640</v>
      </c>
      <c r="B2227" s="11" t="s">
        <v>50</v>
      </c>
      <c r="C2227" s="11" t="s">
        <v>442</v>
      </c>
      <c r="D2227" s="11" t="s">
        <v>443</v>
      </c>
      <c r="E2227" s="11" t="s">
        <v>1372</v>
      </c>
      <c r="F2227" s="11" t="s">
        <v>13641</v>
      </c>
      <c r="G2227" s="11" t="s">
        <v>13642</v>
      </c>
      <c r="H2227" s="11"/>
      <c r="I2227" s="11" t="s">
        <v>12289</v>
      </c>
      <c r="J2227" s="11" t="s">
        <v>13643</v>
      </c>
      <c r="K2227" s="11" t="s">
        <v>13632</v>
      </c>
      <c r="L2227" s="11" t="s">
        <v>13644</v>
      </c>
      <c r="M2227" s="11"/>
      <c r="N2227" s="14" t="n">
        <v>4</v>
      </c>
      <c r="O2227" s="14" t="n">
        <v>3</v>
      </c>
      <c r="P2227" s="14" t="n">
        <v>2</v>
      </c>
      <c r="Q2227" s="14"/>
      <c r="R2227" s="12" t="n">
        <f aca="false">IF(OR(N2227="",P2227=""),"",ROUND(N2227*O2227/P2227,1))</f>
        <v>6</v>
      </c>
      <c r="S2227" s="13" t="n">
        <f aca="false">IF(R2227="","",IF(Q2227="Y",1,IF(P2227&gt;='Read me'!$B$16,3,IF(AND(R2227&gt;='Read me'!$B$14,P2227&lt;='Read me'!$B$15),1,2))))</f>
        <v>1</v>
      </c>
    </row>
    <row r="2228" customFormat="false" ht="23.85" hidden="false" customHeight="false" outlineLevel="0" collapsed="false">
      <c r="A2228" s="11" t="s">
        <v>13645</v>
      </c>
      <c r="B2228" s="11" t="s">
        <v>50</v>
      </c>
      <c r="C2228" s="11" t="s">
        <v>442</v>
      </c>
      <c r="D2228" s="11" t="s">
        <v>443</v>
      </c>
      <c r="E2228" s="11" t="s">
        <v>1372</v>
      </c>
      <c r="F2228" s="11" t="s">
        <v>13646</v>
      </c>
      <c r="G2228" s="11" t="s">
        <v>13647</v>
      </c>
      <c r="H2228" s="11"/>
      <c r="I2228" s="11" t="s">
        <v>13648</v>
      </c>
      <c r="J2228" s="11" t="s">
        <v>13649</v>
      </c>
      <c r="K2228" s="11" t="s">
        <v>13650</v>
      </c>
      <c r="L2228" s="11" t="s">
        <v>13651</v>
      </c>
      <c r="M2228" s="11" t="s">
        <v>13652</v>
      </c>
      <c r="N2228" s="14" t="n">
        <v>3</v>
      </c>
      <c r="O2228" s="14" t="n">
        <v>2</v>
      </c>
      <c r="P2228" s="14" t="n">
        <v>2</v>
      </c>
      <c r="Q2228" s="14"/>
      <c r="R2228" s="12" t="n">
        <f aca="false">IF(OR(N2228="",P2228=""),"",ROUND(N2228*O2228/P2228,1))</f>
        <v>3</v>
      </c>
      <c r="S2228" s="13" t="n">
        <f aca="false">IF(R2228="","",IF(Q2228="Y",1,IF(P2228&gt;='Read me'!$B$16,3,IF(AND(R2228&gt;='Read me'!$B$14,P2228&lt;='Read me'!$B$15),1,2))))</f>
        <v>2</v>
      </c>
    </row>
    <row r="2229" customFormat="false" ht="23.85" hidden="false" customHeight="false" outlineLevel="0" collapsed="false">
      <c r="A2229" s="11" t="s">
        <v>13653</v>
      </c>
      <c r="B2229" s="11" t="s">
        <v>50</v>
      </c>
      <c r="C2229" s="11" t="s">
        <v>442</v>
      </c>
      <c r="D2229" s="11" t="s">
        <v>443</v>
      </c>
      <c r="E2229" s="11" t="s">
        <v>1372</v>
      </c>
      <c r="F2229" s="11" t="s">
        <v>13654</v>
      </c>
      <c r="G2229" s="11"/>
      <c r="H2229" s="11"/>
      <c r="I2229" s="11" t="s">
        <v>13655</v>
      </c>
      <c r="J2229" s="11" t="s">
        <v>13656</v>
      </c>
      <c r="K2229" s="11" t="s">
        <v>13638</v>
      </c>
      <c r="L2229" s="11" t="s">
        <v>13657</v>
      </c>
      <c r="M2229" s="11"/>
      <c r="N2229" s="14" t="n">
        <v>3</v>
      </c>
      <c r="O2229" s="14" t="n">
        <v>2</v>
      </c>
      <c r="P2229" s="14" t="n">
        <v>2</v>
      </c>
      <c r="Q2229" s="14"/>
      <c r="R2229" s="12" t="n">
        <f aca="false">IF(OR(N2229="",P2229=""),"",ROUND(N2229*O2229/P2229,1))</f>
        <v>3</v>
      </c>
      <c r="S2229" s="13" t="n">
        <f aca="false">IF(R2229="","",IF(Q2229="Y",1,IF(P2229&gt;='Read me'!$B$16,3,IF(AND(R2229&gt;='Read me'!$B$14,P2229&lt;='Read me'!$B$15),1,2))))</f>
        <v>2</v>
      </c>
    </row>
    <row r="2230" customFormat="false" ht="35.05" hidden="false" customHeight="false" outlineLevel="0" collapsed="false">
      <c r="A2230" s="11" t="s">
        <v>13658</v>
      </c>
      <c r="B2230" s="11" t="s">
        <v>50</v>
      </c>
      <c r="C2230" s="11" t="s">
        <v>442</v>
      </c>
      <c r="D2230" s="11" t="s">
        <v>443</v>
      </c>
      <c r="E2230" s="11" t="s">
        <v>1372</v>
      </c>
      <c r="F2230" s="11" t="s">
        <v>13654</v>
      </c>
      <c r="G2230" s="11" t="s">
        <v>13659</v>
      </c>
      <c r="H2230" s="11" t="s">
        <v>13660</v>
      </c>
      <c r="I2230" s="11" t="s">
        <v>13661</v>
      </c>
      <c r="J2230" s="11" t="s">
        <v>13662</v>
      </c>
      <c r="K2230" s="11" t="s">
        <v>13663</v>
      </c>
      <c r="L2230" s="11" t="s">
        <v>13664</v>
      </c>
      <c r="M2230" s="11" t="s">
        <v>13665</v>
      </c>
      <c r="N2230" s="14" t="n">
        <v>2</v>
      </c>
      <c r="O2230" s="14" t="n">
        <v>2</v>
      </c>
      <c r="P2230" s="14" t="n">
        <v>3</v>
      </c>
      <c r="Q2230" s="14"/>
      <c r="R2230" s="12" t="n">
        <f aca="false">IF(OR(N2230="",P2230=""),"",ROUND(N2230*O2230/P2230,1))</f>
        <v>1.3</v>
      </c>
      <c r="S2230" s="13" t="n">
        <f aca="false">IF(R2230="","",IF(Q2230="Y",1,IF(P2230&gt;='Read me'!$B$16,3,IF(AND(R2230&gt;='Read me'!$B$14,P2230&lt;='Read me'!$B$15),1,2))))</f>
        <v>2</v>
      </c>
    </row>
    <row r="2231" customFormat="false" ht="23.85" hidden="false" customHeight="false" outlineLevel="0" collapsed="false">
      <c r="A2231" s="11" t="s">
        <v>13666</v>
      </c>
      <c r="B2231" s="11" t="s">
        <v>50</v>
      </c>
      <c r="C2231" s="11" t="s">
        <v>442</v>
      </c>
      <c r="D2231" s="11" t="s">
        <v>443</v>
      </c>
      <c r="E2231" s="11" t="s">
        <v>1372</v>
      </c>
      <c r="F2231" s="11" t="s">
        <v>13667</v>
      </c>
      <c r="G2231" s="11"/>
      <c r="H2231" s="11"/>
      <c r="I2231" s="11" t="s">
        <v>13668</v>
      </c>
      <c r="J2231" s="11" t="s">
        <v>13669</v>
      </c>
      <c r="K2231" s="11" t="s">
        <v>13632</v>
      </c>
      <c r="L2231" s="11" t="s">
        <v>13670</v>
      </c>
      <c r="M2231" s="11"/>
      <c r="N2231" s="14" t="n">
        <v>3</v>
      </c>
      <c r="O2231" s="14" t="n">
        <v>2</v>
      </c>
      <c r="P2231" s="14" t="n">
        <v>3</v>
      </c>
      <c r="Q2231" s="14"/>
      <c r="R2231" s="12" t="n">
        <f aca="false">IF(OR(N2231="",P2231=""),"",ROUND(N2231*O2231/P2231,1))</f>
        <v>2</v>
      </c>
      <c r="S2231" s="13" t="n">
        <f aca="false">IF(R2231="","",IF(Q2231="Y",1,IF(P2231&gt;='Read me'!$B$16,3,IF(AND(R2231&gt;='Read me'!$B$14,P2231&lt;='Read me'!$B$15),1,2))))</f>
        <v>2</v>
      </c>
    </row>
    <row r="2232" customFormat="false" ht="35.05" hidden="false" customHeight="false" outlineLevel="0" collapsed="false">
      <c r="A2232" s="11" t="s">
        <v>13671</v>
      </c>
      <c r="B2232" s="11" t="s">
        <v>50</v>
      </c>
      <c r="C2232" s="11" t="s">
        <v>442</v>
      </c>
      <c r="D2232" s="11" t="s">
        <v>443</v>
      </c>
      <c r="E2232" s="11" t="s">
        <v>1372</v>
      </c>
      <c r="F2232" s="11" t="s">
        <v>13672</v>
      </c>
      <c r="G2232" s="11" t="s">
        <v>13673</v>
      </c>
      <c r="H2232" s="11"/>
      <c r="I2232" s="11" t="s">
        <v>13674</v>
      </c>
      <c r="J2232" s="11" t="s">
        <v>13675</v>
      </c>
      <c r="K2232" s="11" t="s">
        <v>13638</v>
      </c>
      <c r="L2232" s="11" t="s">
        <v>13676</v>
      </c>
      <c r="M2232" s="11" t="s">
        <v>10463</v>
      </c>
      <c r="N2232" s="14" t="n">
        <v>3</v>
      </c>
      <c r="O2232" s="14" t="n">
        <v>3</v>
      </c>
      <c r="P2232" s="14" t="n">
        <v>3</v>
      </c>
      <c r="Q2232" s="14"/>
      <c r="R2232" s="12" t="n">
        <f aca="false">IF(OR(N2232="",P2232=""),"",ROUND(N2232*O2232/P2232,1))</f>
        <v>3</v>
      </c>
      <c r="S2232" s="13" t="n">
        <f aca="false">IF(R2232="","",IF(Q2232="Y",1,IF(P2232&gt;='Read me'!$B$16,3,IF(AND(R2232&gt;='Read me'!$B$14,P2232&lt;='Read me'!$B$15),1,2))))</f>
        <v>2</v>
      </c>
    </row>
    <row r="2233" customFormat="false" ht="35.05" hidden="false" customHeight="false" outlineLevel="0" collapsed="false">
      <c r="A2233" s="11" t="s">
        <v>13677</v>
      </c>
      <c r="B2233" s="11" t="s">
        <v>50</v>
      </c>
      <c r="C2233" s="11" t="s">
        <v>442</v>
      </c>
      <c r="D2233" s="11" t="s">
        <v>443</v>
      </c>
      <c r="E2233" s="11" t="s">
        <v>1372</v>
      </c>
      <c r="F2233" s="11" t="s">
        <v>13678</v>
      </c>
      <c r="G2233" s="11" t="s">
        <v>4686</v>
      </c>
      <c r="H2233" s="11"/>
      <c r="I2233" s="11" t="s">
        <v>13679</v>
      </c>
      <c r="J2233" s="11" t="s">
        <v>13680</v>
      </c>
      <c r="K2233" s="11" t="s">
        <v>13681</v>
      </c>
      <c r="L2233" s="11" t="s">
        <v>13682</v>
      </c>
      <c r="M2233" s="11"/>
      <c r="N2233" s="14" t="n">
        <v>3</v>
      </c>
      <c r="O2233" s="14" t="n">
        <v>2</v>
      </c>
      <c r="P2233" s="14" t="n">
        <v>2</v>
      </c>
      <c r="Q2233" s="14"/>
      <c r="R2233" s="12" t="n">
        <f aca="false">IF(OR(N2233="",P2233=""),"",ROUND(N2233*O2233/P2233,1))</f>
        <v>3</v>
      </c>
      <c r="S2233" s="13" t="n">
        <f aca="false">IF(R2233="","",IF(Q2233="Y",1,IF(P2233&gt;='Read me'!$B$16,3,IF(AND(R2233&gt;='Read me'!$B$14,P2233&lt;='Read me'!$B$15),1,2))))</f>
        <v>2</v>
      </c>
    </row>
    <row r="2234" customFormat="false" ht="35.05" hidden="false" customHeight="false" outlineLevel="0" collapsed="false">
      <c r="A2234" s="11" t="s">
        <v>13683</v>
      </c>
      <c r="B2234" s="11" t="s">
        <v>50</v>
      </c>
      <c r="C2234" s="11" t="s">
        <v>442</v>
      </c>
      <c r="D2234" s="11" t="s">
        <v>443</v>
      </c>
      <c r="E2234" s="11" t="s">
        <v>1372</v>
      </c>
      <c r="F2234" s="11" t="s">
        <v>13684</v>
      </c>
      <c r="G2234" s="11" t="s">
        <v>13685</v>
      </c>
      <c r="H2234" s="11"/>
      <c r="I2234" s="11" t="s">
        <v>13686</v>
      </c>
      <c r="J2234" s="11" t="s">
        <v>13687</v>
      </c>
      <c r="K2234" s="11" t="s">
        <v>13638</v>
      </c>
      <c r="L2234" s="11" t="s">
        <v>13688</v>
      </c>
      <c r="M2234" s="11" t="s">
        <v>10463</v>
      </c>
      <c r="N2234" s="14" t="n">
        <v>2</v>
      </c>
      <c r="O2234" s="14" t="n">
        <v>2</v>
      </c>
      <c r="P2234" s="14" t="n">
        <v>3</v>
      </c>
      <c r="Q2234" s="14"/>
      <c r="R2234" s="12" t="n">
        <f aca="false">IF(OR(N2234="",P2234=""),"",ROUND(N2234*O2234/P2234,1))</f>
        <v>1.3</v>
      </c>
      <c r="S2234" s="13" t="n">
        <f aca="false">IF(R2234="","",IF(Q2234="Y",1,IF(P2234&gt;='Read me'!$B$16,3,IF(AND(R2234&gt;='Read me'!$B$14,P2234&lt;='Read me'!$B$15),1,2))))</f>
        <v>2</v>
      </c>
    </row>
    <row r="2235" customFormat="false" ht="23.85" hidden="false" customHeight="false" outlineLevel="0" collapsed="false">
      <c r="A2235" s="11" t="s">
        <v>13689</v>
      </c>
      <c r="B2235" s="11" t="s">
        <v>50</v>
      </c>
      <c r="C2235" s="11" t="s">
        <v>442</v>
      </c>
      <c r="D2235" s="11" t="s">
        <v>443</v>
      </c>
      <c r="E2235" s="11" t="s">
        <v>1372</v>
      </c>
      <c r="F2235" s="11" t="s">
        <v>13690</v>
      </c>
      <c r="G2235" s="11" t="s">
        <v>13691</v>
      </c>
      <c r="H2235" s="11"/>
      <c r="I2235" s="11" t="s">
        <v>13692</v>
      </c>
      <c r="J2235" s="11" t="s">
        <v>13693</v>
      </c>
      <c r="K2235" s="11" t="s">
        <v>4369</v>
      </c>
      <c r="L2235" s="11" t="s">
        <v>13694</v>
      </c>
      <c r="M2235" s="11"/>
      <c r="N2235" s="14" t="n">
        <v>2</v>
      </c>
      <c r="O2235" s="14" t="n">
        <v>3</v>
      </c>
      <c r="P2235" s="14" t="n">
        <v>1</v>
      </c>
      <c r="Q2235" s="14"/>
      <c r="R2235" s="12" t="n">
        <f aca="false">IF(OR(N2235="",P2235=""),"",ROUND(N2235*O2235/P2235,1))</f>
        <v>6</v>
      </c>
      <c r="S2235" s="13" t="n">
        <f aca="false">IF(R2235="","",IF(Q2235="Y",1,IF(P2235&gt;='Read me'!$B$16,3,IF(AND(R2235&gt;='Read me'!$B$14,P2235&lt;='Read me'!$B$15),1,2))))</f>
        <v>1</v>
      </c>
    </row>
    <row r="2236" customFormat="false" ht="23.85" hidden="false" customHeight="false" outlineLevel="0" collapsed="false">
      <c r="A2236" s="11" t="s">
        <v>13695</v>
      </c>
      <c r="B2236" s="11" t="s">
        <v>50</v>
      </c>
      <c r="C2236" s="11" t="s">
        <v>442</v>
      </c>
      <c r="D2236" s="11" t="s">
        <v>443</v>
      </c>
      <c r="E2236" s="11" t="s">
        <v>1372</v>
      </c>
      <c r="F2236" s="11" t="s">
        <v>13696</v>
      </c>
      <c r="G2236" s="11" t="s">
        <v>4253</v>
      </c>
      <c r="H2236" s="11"/>
      <c r="I2236" s="11" t="s">
        <v>13697</v>
      </c>
      <c r="J2236" s="11" t="s">
        <v>13698</v>
      </c>
      <c r="K2236" s="11" t="s">
        <v>13699</v>
      </c>
      <c r="L2236" s="11" t="s">
        <v>13700</v>
      </c>
      <c r="M2236" s="11" t="s">
        <v>1497</v>
      </c>
      <c r="N2236" s="14" t="n">
        <v>1</v>
      </c>
      <c r="O2236" s="14" t="n">
        <v>2</v>
      </c>
      <c r="P2236" s="14" t="n">
        <v>2</v>
      </c>
      <c r="Q2236" s="14"/>
      <c r="R2236" s="12" t="n">
        <f aca="false">IF(OR(N2236="",P2236=""),"",ROUND(N2236*O2236/P2236,1))</f>
        <v>1</v>
      </c>
      <c r="S2236" s="13" t="n">
        <f aca="false">IF(R2236="","",IF(Q2236="Y",1,IF(P2236&gt;='Read me'!$B$16,3,IF(AND(R2236&gt;='Read me'!$B$14,P2236&lt;='Read me'!$B$15),1,2))))</f>
        <v>2</v>
      </c>
    </row>
    <row r="2237" customFormat="false" ht="23.85" hidden="false" customHeight="false" outlineLevel="0" collapsed="false">
      <c r="A2237" s="11" t="s">
        <v>13701</v>
      </c>
      <c r="B2237" s="11" t="s">
        <v>50</v>
      </c>
      <c r="C2237" s="11" t="s">
        <v>442</v>
      </c>
      <c r="D2237" s="11" t="s">
        <v>443</v>
      </c>
      <c r="E2237" s="11" t="s">
        <v>1372</v>
      </c>
      <c r="F2237" s="11" t="s">
        <v>13702</v>
      </c>
      <c r="G2237" s="11" t="s">
        <v>12042</v>
      </c>
      <c r="H2237" s="11"/>
      <c r="I2237" s="11" t="s">
        <v>13703</v>
      </c>
      <c r="J2237" s="11" t="s">
        <v>13704</v>
      </c>
      <c r="K2237" s="11" t="s">
        <v>13530</v>
      </c>
      <c r="L2237" s="11" t="s">
        <v>13705</v>
      </c>
      <c r="M2237" s="11"/>
      <c r="N2237" s="14" t="n">
        <v>1</v>
      </c>
      <c r="O2237" s="14" t="n">
        <v>2</v>
      </c>
      <c r="P2237" s="14" t="n">
        <v>3</v>
      </c>
      <c r="Q2237" s="14"/>
      <c r="R2237" s="12" t="n">
        <f aca="false">IF(OR(N2237="",P2237=""),"",ROUND(N2237*O2237/P2237,1))</f>
        <v>0.7</v>
      </c>
      <c r="S2237" s="13" t="n">
        <f aca="false">IF(R2237="","",IF(Q2237="Y",1,IF(P2237&gt;='Read me'!$B$16,3,IF(AND(R2237&gt;='Read me'!$B$14,P2237&lt;='Read me'!$B$15),1,2))))</f>
        <v>2</v>
      </c>
    </row>
    <row r="2238" customFormat="false" ht="23.85" hidden="false" customHeight="false" outlineLevel="0" collapsed="false">
      <c r="A2238" s="11" t="s">
        <v>13706</v>
      </c>
      <c r="B2238" s="11" t="s">
        <v>50</v>
      </c>
      <c r="C2238" s="11" t="s">
        <v>442</v>
      </c>
      <c r="D2238" s="11" t="s">
        <v>443</v>
      </c>
      <c r="E2238" s="11" t="s">
        <v>1372</v>
      </c>
      <c r="F2238" s="11" t="s">
        <v>13707</v>
      </c>
      <c r="G2238" s="11" t="s">
        <v>13472</v>
      </c>
      <c r="H2238" s="11"/>
      <c r="I2238" s="11" t="s">
        <v>13708</v>
      </c>
      <c r="J2238" s="11" t="s">
        <v>13709</v>
      </c>
      <c r="K2238" s="11" t="s">
        <v>13530</v>
      </c>
      <c r="L2238" s="11" t="s">
        <v>13340</v>
      </c>
      <c r="M2238" s="11"/>
      <c r="N2238" s="14" t="n">
        <v>1</v>
      </c>
      <c r="O2238" s="14" t="n">
        <v>2</v>
      </c>
      <c r="P2238" s="14" t="n">
        <v>2</v>
      </c>
      <c r="Q2238" s="14"/>
      <c r="R2238" s="12" t="n">
        <f aca="false">IF(OR(N2238="",P2238=""),"",ROUND(N2238*O2238/P2238,1))</f>
        <v>1</v>
      </c>
      <c r="S2238" s="13" t="n">
        <f aca="false">IF(R2238="","",IF(Q2238="Y",1,IF(P2238&gt;='Read me'!$B$16,3,IF(AND(R2238&gt;='Read me'!$B$14,P2238&lt;='Read me'!$B$15),1,2))))</f>
        <v>2</v>
      </c>
    </row>
    <row r="2239" customFormat="false" ht="23.85" hidden="false" customHeight="false" outlineLevel="0" collapsed="false">
      <c r="A2239" s="11" t="s">
        <v>13710</v>
      </c>
      <c r="B2239" s="11" t="s">
        <v>50</v>
      </c>
      <c r="C2239" s="11" t="s">
        <v>442</v>
      </c>
      <c r="D2239" s="11" t="s">
        <v>443</v>
      </c>
      <c r="E2239" s="11" t="s">
        <v>1372</v>
      </c>
      <c r="F2239" s="11" t="s">
        <v>13711</v>
      </c>
      <c r="G2239" s="11" t="s">
        <v>13712</v>
      </c>
      <c r="H2239" s="11"/>
      <c r="I2239" s="11" t="s">
        <v>13713</v>
      </c>
      <c r="J2239" s="11" t="s">
        <v>13714</v>
      </c>
      <c r="K2239" s="11" t="s">
        <v>13715</v>
      </c>
      <c r="L2239" s="11" t="s">
        <v>13716</v>
      </c>
      <c r="M2239" s="11"/>
      <c r="N2239" s="14" t="n">
        <v>2</v>
      </c>
      <c r="O2239" s="14" t="n">
        <v>3</v>
      </c>
      <c r="P2239" s="14" t="n">
        <v>4</v>
      </c>
      <c r="Q2239" s="14"/>
      <c r="R2239" s="12" t="n">
        <f aca="false">IF(OR(N2239="",P2239=""),"",ROUND(N2239*O2239/P2239,1))</f>
        <v>1.5</v>
      </c>
      <c r="S2239" s="13" t="n">
        <f aca="false">IF(R2239="","",IF(Q2239="Y",1,IF(P2239&gt;='Read me'!$B$16,3,IF(AND(R2239&gt;='Read me'!$B$14,P2239&lt;='Read me'!$B$15),1,2))))</f>
        <v>3</v>
      </c>
    </row>
    <row r="2240" customFormat="false" ht="23.85" hidden="false" customHeight="false" outlineLevel="0" collapsed="false">
      <c r="A2240" s="11" t="s">
        <v>13717</v>
      </c>
      <c r="B2240" s="11" t="s">
        <v>50</v>
      </c>
      <c r="C2240" s="11" t="s">
        <v>446</v>
      </c>
      <c r="D2240" s="11" t="s">
        <v>447</v>
      </c>
      <c r="E2240" s="11" t="s">
        <v>476</v>
      </c>
      <c r="F2240" s="11" t="s">
        <v>13718</v>
      </c>
      <c r="G2240" s="11"/>
      <c r="H2240" s="11"/>
      <c r="I2240" s="11" t="s">
        <v>13719</v>
      </c>
      <c r="J2240" s="11" t="s">
        <v>13720</v>
      </c>
      <c r="K2240" s="11" t="s">
        <v>13721</v>
      </c>
      <c r="L2240" s="11" t="s">
        <v>13722</v>
      </c>
      <c r="M2240" s="11"/>
      <c r="N2240" s="14" t="n">
        <v>3</v>
      </c>
      <c r="O2240" s="14" t="n">
        <v>3</v>
      </c>
      <c r="P2240" s="14" t="n">
        <v>2</v>
      </c>
      <c r="Q2240" s="14"/>
      <c r="R2240" s="12" t="n">
        <f aca="false">IF(OR(N2240="",P2240=""),"",ROUND(N2240*O2240/P2240,1))</f>
        <v>4.5</v>
      </c>
      <c r="S2240" s="13" t="n">
        <f aca="false">IF(R2240="","",IF(Q2240="Y",1,IF(P2240&gt;='Read me'!$B$16,3,IF(AND(R2240&gt;='Read me'!$B$14,P2240&lt;='Read me'!$B$15),1,2))))</f>
        <v>2</v>
      </c>
    </row>
    <row r="2241" customFormat="false" ht="46.25" hidden="false" customHeight="false" outlineLevel="0" collapsed="false">
      <c r="A2241" s="11" t="s">
        <v>13723</v>
      </c>
      <c r="B2241" s="11" t="s">
        <v>50</v>
      </c>
      <c r="C2241" s="11" t="s">
        <v>446</v>
      </c>
      <c r="D2241" s="11" t="s">
        <v>447</v>
      </c>
      <c r="E2241" s="11" t="s">
        <v>476</v>
      </c>
      <c r="F2241" s="11" t="s">
        <v>13718</v>
      </c>
      <c r="G2241" s="11" t="s">
        <v>10824</v>
      </c>
      <c r="H2241" s="11"/>
      <c r="I2241" s="11" t="s">
        <v>13724</v>
      </c>
      <c r="J2241" s="11" t="s">
        <v>13725</v>
      </c>
      <c r="K2241" s="11" t="s">
        <v>13726</v>
      </c>
      <c r="L2241" s="11" t="s">
        <v>13727</v>
      </c>
      <c r="M2241" s="11"/>
      <c r="N2241" s="14" t="n">
        <v>1</v>
      </c>
      <c r="O2241" s="14" t="n">
        <v>3</v>
      </c>
      <c r="P2241" s="14" t="n">
        <v>5</v>
      </c>
      <c r="Q2241" s="14"/>
      <c r="R2241" s="12" t="n">
        <f aca="false">IF(OR(N2241="",P2241=""),"",ROUND(N2241*O2241/P2241,1))</f>
        <v>0.6</v>
      </c>
      <c r="S2241" s="13" t="n">
        <f aca="false">IF(R2241="","",IF(Q2241="Y",1,IF(P2241&gt;='Read me'!$B$16,3,IF(AND(R2241&gt;='Read me'!$B$14,P2241&lt;='Read me'!$B$15),1,2))))</f>
        <v>3</v>
      </c>
    </row>
    <row r="2242" customFormat="false" ht="23.85" hidden="false" customHeight="false" outlineLevel="0" collapsed="false">
      <c r="A2242" s="11" t="s">
        <v>13728</v>
      </c>
      <c r="B2242" s="11" t="s">
        <v>50</v>
      </c>
      <c r="C2242" s="11" t="s">
        <v>446</v>
      </c>
      <c r="D2242" s="11" t="s">
        <v>447</v>
      </c>
      <c r="E2242" s="11" t="s">
        <v>476</v>
      </c>
      <c r="F2242" s="11" t="s">
        <v>13729</v>
      </c>
      <c r="G2242" s="11" t="s">
        <v>13730</v>
      </c>
      <c r="H2242" s="11"/>
      <c r="I2242" s="11" t="s">
        <v>13731</v>
      </c>
      <c r="J2242" s="11" t="s">
        <v>13732</v>
      </c>
      <c r="K2242" s="11" t="s">
        <v>13733</v>
      </c>
      <c r="L2242" s="11" t="s">
        <v>13734</v>
      </c>
      <c r="M2242" s="11"/>
      <c r="N2242" s="14" t="n">
        <v>2</v>
      </c>
      <c r="O2242" s="14" t="n">
        <v>4</v>
      </c>
      <c r="P2242" s="14" t="n">
        <v>2</v>
      </c>
      <c r="Q2242" s="14"/>
      <c r="R2242" s="12" t="n">
        <f aca="false">IF(OR(N2242="",P2242=""),"",ROUND(N2242*O2242/P2242,1))</f>
        <v>4</v>
      </c>
      <c r="S2242" s="13" t="n">
        <f aca="false">IF(R2242="","",IF(Q2242="Y",1,IF(P2242&gt;='Read me'!$B$16,3,IF(AND(R2242&gt;='Read me'!$B$14,P2242&lt;='Read me'!$B$15),1,2))))</f>
        <v>2</v>
      </c>
    </row>
    <row r="2243" customFormat="false" ht="23.85" hidden="false" customHeight="false" outlineLevel="0" collapsed="false">
      <c r="A2243" s="11" t="s">
        <v>13735</v>
      </c>
      <c r="B2243" s="11" t="s">
        <v>50</v>
      </c>
      <c r="C2243" s="11" t="s">
        <v>446</v>
      </c>
      <c r="D2243" s="11" t="s">
        <v>447</v>
      </c>
      <c r="E2243" s="11" t="s">
        <v>476</v>
      </c>
      <c r="F2243" s="11" t="s">
        <v>13736</v>
      </c>
      <c r="G2243" s="11" t="s">
        <v>13737</v>
      </c>
      <c r="H2243" s="11"/>
      <c r="I2243" s="11" t="s">
        <v>13738</v>
      </c>
      <c r="J2243" s="11" t="s">
        <v>13739</v>
      </c>
      <c r="K2243" s="11" t="s">
        <v>13740</v>
      </c>
      <c r="L2243" s="11" t="s">
        <v>13741</v>
      </c>
      <c r="M2243" s="11" t="s">
        <v>13742</v>
      </c>
      <c r="N2243" s="14" t="n">
        <v>2</v>
      </c>
      <c r="O2243" s="14" t="n">
        <v>3</v>
      </c>
      <c r="P2243" s="14" t="n">
        <v>2</v>
      </c>
      <c r="Q2243" s="14"/>
      <c r="R2243" s="12" t="n">
        <f aca="false">IF(OR(N2243="",P2243=""),"",ROUND(N2243*O2243/P2243,1))</f>
        <v>3</v>
      </c>
      <c r="S2243" s="13" t="n">
        <f aca="false">IF(R2243="","",IF(Q2243="Y",1,IF(P2243&gt;='Read me'!$B$16,3,IF(AND(R2243&gt;='Read me'!$B$14,P2243&lt;='Read me'!$B$15),1,2))))</f>
        <v>2</v>
      </c>
    </row>
    <row r="2244" customFormat="false" ht="46.25" hidden="false" customHeight="false" outlineLevel="0" collapsed="false">
      <c r="A2244" s="11" t="s">
        <v>13743</v>
      </c>
      <c r="B2244" s="11" t="s">
        <v>50</v>
      </c>
      <c r="C2244" s="11" t="s">
        <v>446</v>
      </c>
      <c r="D2244" s="11" t="s">
        <v>447</v>
      </c>
      <c r="E2244" s="11" t="s">
        <v>476</v>
      </c>
      <c r="F2244" s="11" t="s">
        <v>13744</v>
      </c>
      <c r="G2244" s="11" t="s">
        <v>13745</v>
      </c>
      <c r="H2244" s="11"/>
      <c r="I2244" s="11" t="s">
        <v>13746</v>
      </c>
      <c r="J2244" s="11" t="s">
        <v>13747</v>
      </c>
      <c r="K2244" s="11" t="s">
        <v>13748</v>
      </c>
      <c r="L2244" s="11" t="s">
        <v>13749</v>
      </c>
      <c r="M2244" s="11" t="s">
        <v>13750</v>
      </c>
      <c r="N2244" s="14" t="n">
        <v>1</v>
      </c>
      <c r="O2244" s="14" t="n">
        <v>2</v>
      </c>
      <c r="P2244" s="14" t="n">
        <v>3</v>
      </c>
      <c r="Q2244" s="14"/>
      <c r="R2244" s="12" t="n">
        <f aca="false">IF(OR(N2244="",P2244=""),"",ROUND(N2244*O2244/P2244,1))</f>
        <v>0.7</v>
      </c>
      <c r="S2244" s="13" t="n">
        <f aca="false">IF(R2244="","",IF(Q2244="Y",1,IF(P2244&gt;='Read me'!$B$16,3,IF(AND(R2244&gt;='Read me'!$B$14,P2244&lt;='Read me'!$B$15),1,2))))</f>
        <v>2</v>
      </c>
    </row>
    <row r="2245" customFormat="false" ht="68.65" hidden="false" customHeight="false" outlineLevel="0" collapsed="false">
      <c r="A2245" s="11" t="s">
        <v>13751</v>
      </c>
      <c r="B2245" s="11" t="s">
        <v>50</v>
      </c>
      <c r="C2245" s="11" t="s">
        <v>446</v>
      </c>
      <c r="D2245" s="11" t="s">
        <v>447</v>
      </c>
      <c r="E2245" s="11" t="s">
        <v>476</v>
      </c>
      <c r="F2245" s="11" t="s">
        <v>13752</v>
      </c>
      <c r="G2245" s="11" t="s">
        <v>13753</v>
      </c>
      <c r="H2245" s="11"/>
      <c r="I2245" s="11" t="s">
        <v>512</v>
      </c>
      <c r="J2245" s="11" t="s">
        <v>13754</v>
      </c>
      <c r="K2245" s="11" t="s">
        <v>13755</v>
      </c>
      <c r="L2245" s="11" t="s">
        <v>13756</v>
      </c>
      <c r="M2245" s="11" t="s">
        <v>10463</v>
      </c>
      <c r="N2245" s="14" t="n">
        <v>2</v>
      </c>
      <c r="O2245" s="14" t="n">
        <v>3</v>
      </c>
      <c r="P2245" s="14" t="n">
        <v>3</v>
      </c>
      <c r="Q2245" s="14"/>
      <c r="R2245" s="12" t="n">
        <f aca="false">IF(OR(N2245="",P2245=""),"",ROUND(N2245*O2245/P2245,1))</f>
        <v>2</v>
      </c>
      <c r="S2245" s="13" t="n">
        <f aca="false">IF(R2245="","",IF(Q2245="Y",1,IF(P2245&gt;='Read me'!$B$16,3,IF(AND(R2245&gt;='Read me'!$B$14,P2245&lt;='Read me'!$B$15),1,2))))</f>
        <v>2</v>
      </c>
    </row>
    <row r="2246" customFormat="false" ht="35.05" hidden="false" customHeight="false" outlineLevel="0" collapsed="false">
      <c r="A2246" s="11" t="s">
        <v>13757</v>
      </c>
      <c r="B2246" s="11" t="s">
        <v>50</v>
      </c>
      <c r="C2246" s="11" t="s">
        <v>446</v>
      </c>
      <c r="D2246" s="11" t="s">
        <v>447</v>
      </c>
      <c r="E2246" s="11" t="s">
        <v>476</v>
      </c>
      <c r="F2246" s="11" t="s">
        <v>13758</v>
      </c>
      <c r="G2246" s="11" t="s">
        <v>13759</v>
      </c>
      <c r="H2246" s="11"/>
      <c r="I2246" s="11" t="s">
        <v>13760</v>
      </c>
      <c r="J2246" s="11" t="s">
        <v>13761</v>
      </c>
      <c r="K2246" s="11" t="s">
        <v>8366</v>
      </c>
      <c r="L2246" s="11" t="s">
        <v>13762</v>
      </c>
      <c r="M2246" s="11" t="s">
        <v>10463</v>
      </c>
      <c r="N2246" s="14" t="n">
        <v>1</v>
      </c>
      <c r="O2246" s="14" t="n">
        <v>2</v>
      </c>
      <c r="P2246" s="14" t="n">
        <v>3</v>
      </c>
      <c r="Q2246" s="14"/>
      <c r="R2246" s="12" t="n">
        <f aca="false">IF(OR(N2246="",P2246=""),"",ROUND(N2246*O2246/P2246,1))</f>
        <v>0.7</v>
      </c>
      <c r="S2246" s="13" t="n">
        <f aca="false">IF(R2246="","",IF(Q2246="Y",1,IF(P2246&gt;='Read me'!$B$16,3,IF(AND(R2246&gt;='Read me'!$B$14,P2246&lt;='Read me'!$B$15),1,2))))</f>
        <v>2</v>
      </c>
    </row>
    <row r="2247" customFormat="false" ht="23.85" hidden="false" customHeight="false" outlineLevel="0" collapsed="false">
      <c r="A2247" s="11" t="s">
        <v>13763</v>
      </c>
      <c r="B2247" s="11" t="s">
        <v>50</v>
      </c>
      <c r="C2247" s="11" t="s">
        <v>446</v>
      </c>
      <c r="D2247" s="11" t="s">
        <v>447</v>
      </c>
      <c r="E2247" s="11" t="s">
        <v>751</v>
      </c>
      <c r="F2247" s="11" t="s">
        <v>13764</v>
      </c>
      <c r="G2247" s="11" t="s">
        <v>13765</v>
      </c>
      <c r="H2247" s="11"/>
      <c r="I2247" s="11" t="s">
        <v>512</v>
      </c>
      <c r="J2247" s="11" t="s">
        <v>13766</v>
      </c>
      <c r="K2247" s="11" t="s">
        <v>13767</v>
      </c>
      <c r="L2247" s="11" t="s">
        <v>13768</v>
      </c>
      <c r="M2247" s="11"/>
      <c r="N2247" s="14" t="n">
        <v>2</v>
      </c>
      <c r="O2247" s="14" t="n">
        <v>3</v>
      </c>
      <c r="P2247" s="14" t="n">
        <v>2</v>
      </c>
      <c r="Q2247" s="14"/>
      <c r="R2247" s="12" t="n">
        <f aca="false">IF(OR(N2247="",P2247=""),"",ROUND(N2247*O2247/P2247,1))</f>
        <v>3</v>
      </c>
      <c r="S2247" s="13" t="n">
        <f aca="false">IF(R2247="","",IF(Q2247="Y",1,IF(P2247&gt;='Read me'!$B$16,3,IF(AND(R2247&gt;='Read me'!$B$14,P2247&lt;='Read me'!$B$15),1,2))))</f>
        <v>2</v>
      </c>
    </row>
    <row r="2248" customFormat="false" ht="23.85" hidden="false" customHeight="false" outlineLevel="0" collapsed="false">
      <c r="A2248" s="11" t="s">
        <v>13769</v>
      </c>
      <c r="B2248" s="11" t="s">
        <v>50</v>
      </c>
      <c r="C2248" s="11" t="s">
        <v>446</v>
      </c>
      <c r="D2248" s="11" t="s">
        <v>447</v>
      </c>
      <c r="E2248" s="11" t="s">
        <v>1081</v>
      </c>
      <c r="F2248" s="11" t="s">
        <v>13770</v>
      </c>
      <c r="G2248" s="11"/>
      <c r="H2248" s="11"/>
      <c r="I2248" s="11" t="s">
        <v>13771</v>
      </c>
      <c r="J2248" s="11" t="s">
        <v>13772</v>
      </c>
      <c r="K2248" s="11" t="s">
        <v>13773</v>
      </c>
      <c r="L2248" s="11" t="s">
        <v>13774</v>
      </c>
      <c r="M2248" s="11"/>
      <c r="N2248" s="14" t="n">
        <v>3</v>
      </c>
      <c r="O2248" s="14" t="n">
        <v>2</v>
      </c>
      <c r="P2248" s="14" t="n">
        <v>1</v>
      </c>
      <c r="Q2248" s="14"/>
      <c r="R2248" s="12" t="n">
        <f aca="false">IF(OR(N2248="",P2248=""),"",ROUND(N2248*O2248/P2248,1))</f>
        <v>6</v>
      </c>
      <c r="S2248" s="13" t="n">
        <f aca="false">IF(R2248="","",IF(Q2248="Y",1,IF(P2248&gt;='Read me'!$B$16,3,IF(AND(R2248&gt;='Read me'!$B$14,P2248&lt;='Read me'!$B$15),1,2))))</f>
        <v>1</v>
      </c>
    </row>
    <row r="2249" customFormat="false" ht="23.85" hidden="false" customHeight="false" outlineLevel="0" collapsed="false">
      <c r="A2249" s="11" t="s">
        <v>13775</v>
      </c>
      <c r="B2249" s="11" t="s">
        <v>50</v>
      </c>
      <c r="C2249" s="11" t="s">
        <v>446</v>
      </c>
      <c r="D2249" s="11" t="s">
        <v>447</v>
      </c>
      <c r="E2249" s="11" t="s">
        <v>1081</v>
      </c>
      <c r="F2249" s="11" t="s">
        <v>13776</v>
      </c>
      <c r="G2249" s="11" t="s">
        <v>10559</v>
      </c>
      <c r="H2249" s="11"/>
      <c r="I2249" s="11" t="s">
        <v>13777</v>
      </c>
      <c r="J2249" s="11" t="s">
        <v>13778</v>
      </c>
      <c r="K2249" s="11" t="s">
        <v>13779</v>
      </c>
      <c r="L2249" s="11" t="s">
        <v>13780</v>
      </c>
      <c r="M2249" s="11"/>
      <c r="N2249" s="14" t="n">
        <v>1</v>
      </c>
      <c r="O2249" s="14" t="n">
        <v>2</v>
      </c>
      <c r="P2249" s="14" t="n">
        <v>2</v>
      </c>
      <c r="Q2249" s="14"/>
      <c r="R2249" s="12" t="n">
        <f aca="false">IF(OR(N2249="",P2249=""),"",ROUND(N2249*O2249/P2249,1))</f>
        <v>1</v>
      </c>
      <c r="S2249" s="13" t="n">
        <f aca="false">IF(R2249="","",IF(Q2249="Y",1,IF(P2249&gt;='Read me'!$B$16,3,IF(AND(R2249&gt;='Read me'!$B$14,P2249&lt;='Read me'!$B$15),1,2))))</f>
        <v>2</v>
      </c>
    </row>
    <row r="2250" customFormat="false" ht="57.45" hidden="false" customHeight="false" outlineLevel="0" collapsed="false">
      <c r="A2250" s="11" t="s">
        <v>13781</v>
      </c>
      <c r="B2250" s="11" t="s">
        <v>50</v>
      </c>
      <c r="C2250" s="11" t="s">
        <v>446</v>
      </c>
      <c r="D2250" s="11" t="s">
        <v>447</v>
      </c>
      <c r="E2250" s="11" t="s">
        <v>1081</v>
      </c>
      <c r="F2250" s="11" t="s">
        <v>13782</v>
      </c>
      <c r="G2250" s="11" t="s">
        <v>13783</v>
      </c>
      <c r="H2250" s="11"/>
      <c r="I2250" s="11" t="s">
        <v>512</v>
      </c>
      <c r="J2250" s="11" t="s">
        <v>13784</v>
      </c>
      <c r="K2250" s="11" t="s">
        <v>13785</v>
      </c>
      <c r="L2250" s="11" t="s">
        <v>13786</v>
      </c>
      <c r="M2250" s="11"/>
      <c r="N2250" s="14" t="n">
        <v>2</v>
      </c>
      <c r="O2250" s="14" t="n">
        <v>2</v>
      </c>
      <c r="P2250" s="14" t="n">
        <v>2</v>
      </c>
      <c r="Q2250" s="14"/>
      <c r="R2250" s="12" t="n">
        <f aca="false">IF(OR(N2250="",P2250=""),"",ROUND(N2250*O2250/P2250,1))</f>
        <v>2</v>
      </c>
      <c r="S2250" s="13" t="n">
        <f aca="false">IF(R2250="","",IF(Q2250="Y",1,IF(P2250&gt;='Read me'!$B$16,3,IF(AND(R2250&gt;='Read me'!$B$14,P2250&lt;='Read me'!$B$15),1,2))))</f>
        <v>2</v>
      </c>
    </row>
    <row r="2251" customFormat="false" ht="23.85" hidden="false" customHeight="false" outlineLevel="0" collapsed="false">
      <c r="A2251" s="11" t="s">
        <v>13787</v>
      </c>
      <c r="B2251" s="11" t="s">
        <v>50</v>
      </c>
      <c r="C2251" s="11" t="s">
        <v>446</v>
      </c>
      <c r="D2251" s="11" t="s">
        <v>447</v>
      </c>
      <c r="E2251" s="11" t="s">
        <v>1187</v>
      </c>
      <c r="F2251" s="11" t="s">
        <v>13764</v>
      </c>
      <c r="G2251" s="11" t="s">
        <v>13788</v>
      </c>
      <c r="H2251" s="11" t="s">
        <v>13789</v>
      </c>
      <c r="I2251" s="11" t="s">
        <v>13790</v>
      </c>
      <c r="J2251" s="11" t="s">
        <v>13791</v>
      </c>
      <c r="K2251" s="11" t="s">
        <v>13792</v>
      </c>
      <c r="L2251" s="11" t="s">
        <v>10768</v>
      </c>
      <c r="M2251" s="11"/>
      <c r="N2251" s="14" t="n">
        <v>2</v>
      </c>
      <c r="O2251" s="14" t="n">
        <v>3</v>
      </c>
      <c r="P2251" s="14" t="n">
        <v>2</v>
      </c>
      <c r="Q2251" s="14"/>
      <c r="R2251" s="12" t="n">
        <f aca="false">IF(OR(N2251="",P2251=""),"",ROUND(N2251*O2251/P2251,1))</f>
        <v>3</v>
      </c>
      <c r="S2251" s="13" t="n">
        <f aca="false">IF(R2251="","",IF(Q2251="Y",1,IF(P2251&gt;='Read me'!$B$16,3,IF(AND(R2251&gt;='Read me'!$B$14,P2251&lt;='Read me'!$B$15),1,2))))</f>
        <v>2</v>
      </c>
    </row>
    <row r="2252" customFormat="false" ht="23.85" hidden="false" customHeight="false" outlineLevel="0" collapsed="false">
      <c r="A2252" s="11" t="s">
        <v>13793</v>
      </c>
      <c r="B2252" s="11" t="s">
        <v>50</v>
      </c>
      <c r="C2252" s="11" t="s">
        <v>446</v>
      </c>
      <c r="D2252" s="11" t="s">
        <v>447</v>
      </c>
      <c r="E2252" s="11" t="s">
        <v>1187</v>
      </c>
      <c r="F2252" s="11" t="s">
        <v>13794</v>
      </c>
      <c r="G2252" s="11" t="s">
        <v>13795</v>
      </c>
      <c r="H2252" s="11" t="s">
        <v>13796</v>
      </c>
      <c r="I2252" s="11" t="s">
        <v>13797</v>
      </c>
      <c r="J2252" s="11" t="s">
        <v>13798</v>
      </c>
      <c r="K2252" s="11" t="s">
        <v>13799</v>
      </c>
      <c r="L2252" s="11" t="s">
        <v>13800</v>
      </c>
      <c r="M2252" s="11"/>
      <c r="N2252" s="14" t="n">
        <v>2</v>
      </c>
      <c r="O2252" s="14" t="n">
        <v>2</v>
      </c>
      <c r="P2252" s="14" t="n">
        <v>1</v>
      </c>
      <c r="Q2252" s="14"/>
      <c r="R2252" s="12" t="n">
        <f aca="false">IF(OR(N2252="",P2252=""),"",ROUND(N2252*O2252/P2252,1))</f>
        <v>4</v>
      </c>
      <c r="S2252" s="13" t="n">
        <f aca="false">IF(R2252="","",IF(Q2252="Y",1,IF(P2252&gt;='Read me'!$B$16,3,IF(AND(R2252&gt;='Read me'!$B$14,P2252&lt;='Read me'!$B$15),1,2))))</f>
        <v>2</v>
      </c>
    </row>
    <row r="2253" customFormat="false" ht="23.85" hidden="false" customHeight="false" outlineLevel="0" collapsed="false">
      <c r="A2253" s="11" t="s">
        <v>13801</v>
      </c>
      <c r="B2253" s="11" t="s">
        <v>50</v>
      </c>
      <c r="C2253" s="11" t="s">
        <v>446</v>
      </c>
      <c r="D2253" s="11" t="s">
        <v>447</v>
      </c>
      <c r="E2253" s="11" t="s">
        <v>1187</v>
      </c>
      <c r="F2253" s="11" t="s">
        <v>13770</v>
      </c>
      <c r="G2253" s="11" t="s">
        <v>11380</v>
      </c>
      <c r="H2253" s="11" t="s">
        <v>13802</v>
      </c>
      <c r="I2253" s="11" t="s">
        <v>13803</v>
      </c>
      <c r="J2253" s="11" t="s">
        <v>13804</v>
      </c>
      <c r="K2253" s="11" t="s">
        <v>13805</v>
      </c>
      <c r="L2253" s="11" t="s">
        <v>13806</v>
      </c>
      <c r="M2253" s="11"/>
      <c r="N2253" s="14" t="n">
        <v>1</v>
      </c>
      <c r="O2253" s="14" t="n">
        <v>2</v>
      </c>
      <c r="P2253" s="14" t="n">
        <v>2</v>
      </c>
      <c r="Q2253" s="14"/>
      <c r="R2253" s="12" t="n">
        <f aca="false">IF(OR(N2253="",P2253=""),"",ROUND(N2253*O2253/P2253,1))</f>
        <v>1</v>
      </c>
      <c r="S2253" s="13" t="n">
        <f aca="false">IF(R2253="","",IF(Q2253="Y",1,IF(P2253&gt;='Read me'!$B$16,3,IF(AND(R2253&gt;='Read me'!$B$14,P2253&lt;='Read me'!$B$15),1,2))))</f>
        <v>2</v>
      </c>
    </row>
    <row r="2254" customFormat="false" ht="23.85" hidden="false" customHeight="false" outlineLevel="0" collapsed="false">
      <c r="A2254" s="11" t="s">
        <v>13807</v>
      </c>
      <c r="B2254" s="11" t="s">
        <v>50</v>
      </c>
      <c r="C2254" s="11" t="s">
        <v>446</v>
      </c>
      <c r="D2254" s="11" t="s">
        <v>447</v>
      </c>
      <c r="E2254" s="11" t="s">
        <v>1187</v>
      </c>
      <c r="F2254" s="11" t="s">
        <v>13808</v>
      </c>
      <c r="G2254" s="11" t="s">
        <v>13809</v>
      </c>
      <c r="H2254" s="11" t="s">
        <v>13810</v>
      </c>
      <c r="I2254" s="11" t="s">
        <v>13811</v>
      </c>
      <c r="J2254" s="11" t="s">
        <v>13812</v>
      </c>
      <c r="K2254" s="11" t="s">
        <v>13726</v>
      </c>
      <c r="L2254" s="11" t="s">
        <v>13813</v>
      </c>
      <c r="M2254" s="11"/>
      <c r="N2254" s="14" t="n">
        <v>1</v>
      </c>
      <c r="O2254" s="14" t="n">
        <v>3</v>
      </c>
      <c r="P2254" s="14" t="n">
        <v>3</v>
      </c>
      <c r="Q2254" s="14"/>
      <c r="R2254" s="12" t="n">
        <f aca="false">IF(OR(N2254="",P2254=""),"",ROUND(N2254*O2254/P2254,1))</f>
        <v>1</v>
      </c>
      <c r="S2254" s="13" t="n">
        <f aca="false">IF(R2254="","",IF(Q2254="Y",1,IF(P2254&gt;='Read me'!$B$16,3,IF(AND(R2254&gt;='Read me'!$B$14,P2254&lt;='Read me'!$B$15),1,2))))</f>
        <v>2</v>
      </c>
    </row>
    <row r="2255" customFormat="false" ht="23.85" hidden="false" customHeight="false" outlineLevel="0" collapsed="false">
      <c r="A2255" s="11" t="s">
        <v>13814</v>
      </c>
      <c r="B2255" s="11" t="s">
        <v>50</v>
      </c>
      <c r="C2255" s="11" t="s">
        <v>446</v>
      </c>
      <c r="D2255" s="11" t="s">
        <v>447</v>
      </c>
      <c r="E2255" s="11" t="s">
        <v>1187</v>
      </c>
      <c r="F2255" s="11" t="s">
        <v>13815</v>
      </c>
      <c r="G2255" s="11" t="s">
        <v>13816</v>
      </c>
      <c r="H2255" s="11" t="s">
        <v>13817</v>
      </c>
      <c r="I2255" s="11" t="s">
        <v>13818</v>
      </c>
      <c r="J2255" s="11" t="s">
        <v>13819</v>
      </c>
      <c r="K2255" s="11" t="s">
        <v>13820</v>
      </c>
      <c r="L2255" s="11" t="s">
        <v>13821</v>
      </c>
      <c r="M2255" s="11"/>
      <c r="N2255" s="14" t="n">
        <v>1</v>
      </c>
      <c r="O2255" s="14" t="n">
        <v>2</v>
      </c>
      <c r="P2255" s="14" t="n">
        <v>2</v>
      </c>
      <c r="Q2255" s="14"/>
      <c r="R2255" s="12" t="n">
        <f aca="false">IF(OR(N2255="",P2255=""),"",ROUND(N2255*O2255/P2255,1))</f>
        <v>1</v>
      </c>
      <c r="S2255" s="13" t="n">
        <f aca="false">IF(R2255="","",IF(Q2255="Y",1,IF(P2255&gt;='Read me'!$B$16,3,IF(AND(R2255&gt;='Read me'!$B$14,P2255&lt;='Read me'!$B$15),1,2))))</f>
        <v>2</v>
      </c>
    </row>
    <row r="2256" customFormat="false" ht="23.85" hidden="false" customHeight="false" outlineLevel="0" collapsed="false">
      <c r="A2256" s="11" t="s">
        <v>13822</v>
      </c>
      <c r="B2256" s="11" t="s">
        <v>50</v>
      </c>
      <c r="C2256" s="11" t="s">
        <v>446</v>
      </c>
      <c r="D2256" s="11" t="s">
        <v>447</v>
      </c>
      <c r="E2256" s="11" t="s">
        <v>1372</v>
      </c>
      <c r="F2256" s="11" t="s">
        <v>13823</v>
      </c>
      <c r="G2256" s="11"/>
      <c r="H2256" s="11"/>
      <c r="I2256" s="11" t="s">
        <v>13824</v>
      </c>
      <c r="J2256" s="11" t="s">
        <v>13825</v>
      </c>
      <c r="K2256" s="11" t="s">
        <v>13748</v>
      </c>
      <c r="L2256" s="11" t="s">
        <v>13826</v>
      </c>
      <c r="M2256" s="11"/>
      <c r="N2256" s="14" t="n">
        <v>3</v>
      </c>
      <c r="O2256" s="14" t="n">
        <v>3</v>
      </c>
      <c r="P2256" s="14" t="n">
        <v>2</v>
      </c>
      <c r="Q2256" s="14"/>
      <c r="R2256" s="12" t="n">
        <f aca="false">IF(OR(N2256="",P2256=""),"",ROUND(N2256*O2256/P2256,1))</f>
        <v>4.5</v>
      </c>
      <c r="S2256" s="13" t="n">
        <f aca="false">IF(R2256="","",IF(Q2256="Y",1,IF(P2256&gt;='Read me'!$B$16,3,IF(AND(R2256&gt;='Read me'!$B$14,P2256&lt;='Read me'!$B$15),1,2))))</f>
        <v>2</v>
      </c>
    </row>
    <row r="2257" customFormat="false" ht="23.85" hidden="false" customHeight="false" outlineLevel="0" collapsed="false">
      <c r="A2257" s="11" t="s">
        <v>13827</v>
      </c>
      <c r="B2257" s="11" t="s">
        <v>50</v>
      </c>
      <c r="C2257" s="11" t="s">
        <v>446</v>
      </c>
      <c r="D2257" s="11" t="s">
        <v>447</v>
      </c>
      <c r="E2257" s="11" t="s">
        <v>1372</v>
      </c>
      <c r="F2257" s="11" t="s">
        <v>13828</v>
      </c>
      <c r="G2257" s="11"/>
      <c r="H2257" s="11"/>
      <c r="I2257" s="11" t="s">
        <v>13829</v>
      </c>
      <c r="J2257" s="11" t="s">
        <v>13830</v>
      </c>
      <c r="K2257" s="11" t="s">
        <v>13748</v>
      </c>
      <c r="L2257" s="11" t="s">
        <v>13831</v>
      </c>
      <c r="M2257" s="11"/>
      <c r="N2257" s="14" t="n">
        <v>2</v>
      </c>
      <c r="O2257" s="14" t="n">
        <v>1</v>
      </c>
      <c r="P2257" s="14" t="n">
        <v>1</v>
      </c>
      <c r="Q2257" s="14"/>
      <c r="R2257" s="12" t="n">
        <f aca="false">IF(OR(N2257="",P2257=""),"",ROUND(N2257*O2257/P2257,1))</f>
        <v>2</v>
      </c>
      <c r="S2257" s="13" t="n">
        <f aca="false">IF(R2257="","",IF(Q2257="Y",1,IF(P2257&gt;='Read me'!$B$16,3,IF(AND(R2257&gt;='Read me'!$B$14,P2257&lt;='Read me'!$B$15),1,2))))</f>
        <v>2</v>
      </c>
    </row>
    <row r="2258" customFormat="false" ht="46.25" hidden="false" customHeight="false" outlineLevel="0" collapsed="false">
      <c r="A2258" s="11" t="s">
        <v>13832</v>
      </c>
      <c r="B2258" s="11" t="s">
        <v>50</v>
      </c>
      <c r="C2258" s="11" t="s">
        <v>449</v>
      </c>
      <c r="D2258" s="11" t="s">
        <v>450</v>
      </c>
      <c r="E2258" s="11" t="s">
        <v>476</v>
      </c>
      <c r="F2258" s="11" t="s">
        <v>13833</v>
      </c>
      <c r="G2258" s="11" t="s">
        <v>11670</v>
      </c>
      <c r="H2258" s="11"/>
      <c r="I2258" s="11" t="s">
        <v>11671</v>
      </c>
      <c r="J2258" s="11" t="s">
        <v>13834</v>
      </c>
      <c r="K2258" s="11" t="s">
        <v>13835</v>
      </c>
      <c r="L2258" s="11" t="s">
        <v>13836</v>
      </c>
      <c r="M2258" s="11"/>
      <c r="N2258" s="14" t="n">
        <v>5</v>
      </c>
      <c r="O2258" s="14" t="n">
        <v>4</v>
      </c>
      <c r="P2258" s="14" t="n">
        <v>2</v>
      </c>
      <c r="Q2258" s="14"/>
      <c r="R2258" s="12" t="n">
        <f aca="false">IF(OR(N2258="",P2258=""),"",ROUND(N2258*O2258/P2258,1))</f>
        <v>10</v>
      </c>
      <c r="S2258" s="13" t="n">
        <f aca="false">IF(R2258="","",IF(Q2258="Y",1,IF(P2258&gt;='Read me'!$B$16,3,IF(AND(R2258&gt;='Read me'!$B$14,P2258&lt;='Read me'!$B$15),1,2))))</f>
        <v>1</v>
      </c>
    </row>
    <row r="2259" customFormat="false" ht="23.85" hidden="false" customHeight="false" outlineLevel="0" collapsed="false">
      <c r="A2259" s="11" t="s">
        <v>13837</v>
      </c>
      <c r="B2259" s="11" t="s">
        <v>50</v>
      </c>
      <c r="C2259" s="11" t="s">
        <v>449</v>
      </c>
      <c r="D2259" s="11" t="s">
        <v>450</v>
      </c>
      <c r="E2259" s="11" t="s">
        <v>476</v>
      </c>
      <c r="F2259" s="11" t="s">
        <v>13833</v>
      </c>
      <c r="G2259" s="11" t="s">
        <v>11514</v>
      </c>
      <c r="H2259" s="11"/>
      <c r="I2259" s="11" t="s">
        <v>13838</v>
      </c>
      <c r="J2259" s="11" t="s">
        <v>13839</v>
      </c>
      <c r="K2259" s="11" t="s">
        <v>916</v>
      </c>
      <c r="L2259" s="11" t="s">
        <v>13840</v>
      </c>
      <c r="M2259" s="11"/>
      <c r="N2259" s="14" t="n">
        <v>2</v>
      </c>
      <c r="O2259" s="14" t="n">
        <v>3</v>
      </c>
      <c r="P2259" s="14" t="n">
        <v>4</v>
      </c>
      <c r="Q2259" s="14"/>
      <c r="R2259" s="12" t="n">
        <f aca="false">IF(OR(N2259="",P2259=""),"",ROUND(N2259*O2259/P2259,1))</f>
        <v>1.5</v>
      </c>
      <c r="S2259" s="13" t="n">
        <f aca="false">IF(R2259="","",IF(Q2259="Y",1,IF(P2259&gt;='Read me'!$B$16,3,IF(AND(R2259&gt;='Read me'!$B$14,P2259&lt;='Read me'!$B$15),1,2))))</f>
        <v>3</v>
      </c>
    </row>
    <row r="2260" customFormat="false" ht="23.85" hidden="false" customHeight="false" outlineLevel="0" collapsed="false">
      <c r="A2260" s="11" t="s">
        <v>13841</v>
      </c>
      <c r="B2260" s="11" t="s">
        <v>50</v>
      </c>
      <c r="C2260" s="11" t="s">
        <v>449</v>
      </c>
      <c r="D2260" s="11" t="s">
        <v>450</v>
      </c>
      <c r="E2260" s="11" t="s">
        <v>476</v>
      </c>
      <c r="F2260" s="11" t="s">
        <v>13833</v>
      </c>
      <c r="G2260" s="11" t="s">
        <v>13842</v>
      </c>
      <c r="H2260" s="11"/>
      <c r="I2260" s="11" t="s">
        <v>13843</v>
      </c>
      <c r="J2260" s="11" t="s">
        <v>13844</v>
      </c>
      <c r="K2260" s="11" t="s">
        <v>13845</v>
      </c>
      <c r="L2260" s="11" t="s">
        <v>587</v>
      </c>
      <c r="M2260" s="11" t="s">
        <v>13846</v>
      </c>
      <c r="N2260" s="14" t="n">
        <v>2</v>
      </c>
      <c r="O2260" s="14" t="n">
        <v>2</v>
      </c>
      <c r="P2260" s="14" t="n">
        <v>2</v>
      </c>
      <c r="Q2260" s="14"/>
      <c r="R2260" s="12" t="n">
        <f aca="false">IF(OR(N2260="",P2260=""),"",ROUND(N2260*O2260/P2260,1))</f>
        <v>2</v>
      </c>
      <c r="S2260" s="13" t="n">
        <f aca="false">IF(R2260="","",IF(Q2260="Y",1,IF(P2260&gt;='Read me'!$B$16,3,IF(AND(R2260&gt;='Read me'!$B$14,P2260&lt;='Read me'!$B$15),1,2))))</f>
        <v>2</v>
      </c>
    </row>
    <row r="2261" customFormat="false" ht="35.05" hidden="false" customHeight="false" outlineLevel="0" collapsed="false">
      <c r="A2261" s="11" t="s">
        <v>13847</v>
      </c>
      <c r="B2261" s="11" t="s">
        <v>50</v>
      </c>
      <c r="C2261" s="11" t="s">
        <v>449</v>
      </c>
      <c r="D2261" s="11" t="s">
        <v>450</v>
      </c>
      <c r="E2261" s="11" t="s">
        <v>476</v>
      </c>
      <c r="F2261" s="11" t="s">
        <v>13848</v>
      </c>
      <c r="G2261" s="11" t="s">
        <v>13849</v>
      </c>
      <c r="H2261" s="11"/>
      <c r="I2261" s="11" t="s">
        <v>13850</v>
      </c>
      <c r="J2261" s="11" t="s">
        <v>13851</v>
      </c>
      <c r="K2261" s="11" t="s">
        <v>3996</v>
      </c>
      <c r="L2261" s="11" t="s">
        <v>13852</v>
      </c>
      <c r="M2261" s="11" t="s">
        <v>13853</v>
      </c>
      <c r="N2261" s="14" t="n">
        <v>3</v>
      </c>
      <c r="O2261" s="14" t="n">
        <v>3</v>
      </c>
      <c r="P2261" s="14" t="n">
        <v>3</v>
      </c>
      <c r="Q2261" s="14"/>
      <c r="R2261" s="12" t="n">
        <f aca="false">IF(OR(N2261="",P2261=""),"",ROUND(N2261*O2261/P2261,1))</f>
        <v>3</v>
      </c>
      <c r="S2261" s="13" t="n">
        <f aca="false">IF(R2261="","",IF(Q2261="Y",1,IF(P2261&gt;='Read me'!$B$16,3,IF(AND(R2261&gt;='Read me'!$B$14,P2261&lt;='Read me'!$B$15),1,2))))</f>
        <v>2</v>
      </c>
    </row>
    <row r="2262" customFormat="false" ht="35.05" hidden="false" customHeight="false" outlineLevel="0" collapsed="false">
      <c r="A2262" s="11" t="s">
        <v>13854</v>
      </c>
      <c r="B2262" s="11" t="s">
        <v>50</v>
      </c>
      <c r="C2262" s="11" t="s">
        <v>449</v>
      </c>
      <c r="D2262" s="11" t="s">
        <v>450</v>
      </c>
      <c r="E2262" s="11" t="s">
        <v>476</v>
      </c>
      <c r="F2262" s="11" t="s">
        <v>13855</v>
      </c>
      <c r="G2262" s="11" t="s">
        <v>7249</v>
      </c>
      <c r="H2262" s="11"/>
      <c r="I2262" s="11" t="s">
        <v>11744</v>
      </c>
      <c r="J2262" s="11" t="s">
        <v>13856</v>
      </c>
      <c r="K2262" s="11" t="s">
        <v>13857</v>
      </c>
      <c r="L2262" s="11" t="s">
        <v>13858</v>
      </c>
      <c r="M2262" s="11" t="s">
        <v>10463</v>
      </c>
      <c r="N2262" s="14" t="n">
        <v>3</v>
      </c>
      <c r="O2262" s="14" t="n">
        <v>3</v>
      </c>
      <c r="P2262" s="14" t="n">
        <v>3</v>
      </c>
      <c r="Q2262" s="14"/>
      <c r="R2262" s="12" t="n">
        <f aca="false">IF(OR(N2262="",P2262=""),"",ROUND(N2262*O2262/P2262,1))</f>
        <v>3</v>
      </c>
      <c r="S2262" s="13" t="n">
        <f aca="false">IF(R2262="","",IF(Q2262="Y",1,IF(P2262&gt;='Read me'!$B$16,3,IF(AND(R2262&gt;='Read me'!$B$14,P2262&lt;='Read me'!$B$15),1,2))))</f>
        <v>2</v>
      </c>
    </row>
    <row r="2263" customFormat="false" ht="23.85" hidden="false" customHeight="false" outlineLevel="0" collapsed="false">
      <c r="A2263" s="11" t="s">
        <v>13859</v>
      </c>
      <c r="B2263" s="11" t="s">
        <v>50</v>
      </c>
      <c r="C2263" s="11" t="s">
        <v>449</v>
      </c>
      <c r="D2263" s="11" t="s">
        <v>450</v>
      </c>
      <c r="E2263" s="11" t="s">
        <v>476</v>
      </c>
      <c r="F2263" s="11" t="s">
        <v>13860</v>
      </c>
      <c r="G2263" s="11" t="s">
        <v>13861</v>
      </c>
      <c r="H2263" s="11"/>
      <c r="I2263" s="11" t="s">
        <v>13862</v>
      </c>
      <c r="J2263" s="11" t="s">
        <v>13863</v>
      </c>
      <c r="K2263" s="11" t="s">
        <v>13864</v>
      </c>
      <c r="L2263" s="11" t="s">
        <v>13865</v>
      </c>
      <c r="M2263" s="11"/>
      <c r="N2263" s="14" t="n">
        <v>3</v>
      </c>
      <c r="O2263" s="14" t="n">
        <v>4</v>
      </c>
      <c r="P2263" s="14" t="n">
        <v>2</v>
      </c>
      <c r="Q2263" s="14"/>
      <c r="R2263" s="12" t="n">
        <f aca="false">IF(OR(N2263="",P2263=""),"",ROUND(N2263*O2263/P2263,1))</f>
        <v>6</v>
      </c>
      <c r="S2263" s="13" t="n">
        <f aca="false">IF(R2263="","",IF(Q2263="Y",1,IF(P2263&gt;='Read me'!$B$16,3,IF(AND(R2263&gt;='Read me'!$B$14,P2263&lt;='Read me'!$B$15),1,2))))</f>
        <v>1</v>
      </c>
    </row>
    <row r="2264" customFormat="false" ht="35.05" hidden="false" customHeight="false" outlineLevel="0" collapsed="false">
      <c r="A2264" s="11" t="s">
        <v>13866</v>
      </c>
      <c r="B2264" s="11" t="s">
        <v>50</v>
      </c>
      <c r="C2264" s="11" t="s">
        <v>449</v>
      </c>
      <c r="D2264" s="11" t="s">
        <v>450</v>
      </c>
      <c r="E2264" s="11" t="s">
        <v>476</v>
      </c>
      <c r="F2264" s="11" t="s">
        <v>13867</v>
      </c>
      <c r="G2264" s="11" t="s">
        <v>10559</v>
      </c>
      <c r="H2264" s="11"/>
      <c r="I2264" s="11" t="s">
        <v>13868</v>
      </c>
      <c r="J2264" s="11" t="s">
        <v>13869</v>
      </c>
      <c r="K2264" s="11" t="s">
        <v>890</v>
      </c>
      <c r="L2264" s="11" t="s">
        <v>13870</v>
      </c>
      <c r="M2264" s="11"/>
      <c r="N2264" s="14" t="n">
        <v>1</v>
      </c>
      <c r="O2264" s="14" t="n">
        <v>2</v>
      </c>
      <c r="P2264" s="14" t="n">
        <v>3</v>
      </c>
      <c r="Q2264" s="14"/>
      <c r="R2264" s="12" t="n">
        <f aca="false">IF(OR(N2264="",P2264=""),"",ROUND(N2264*O2264/P2264,1))</f>
        <v>0.7</v>
      </c>
      <c r="S2264" s="13" t="n">
        <f aca="false">IF(R2264="","",IF(Q2264="Y",1,IF(P2264&gt;='Read me'!$B$16,3,IF(AND(R2264&gt;='Read me'!$B$14,P2264&lt;='Read me'!$B$15),1,2))))</f>
        <v>2</v>
      </c>
    </row>
    <row r="2265" customFormat="false" ht="23.85" hidden="false" customHeight="false" outlineLevel="0" collapsed="false">
      <c r="A2265" s="11" t="s">
        <v>13871</v>
      </c>
      <c r="B2265" s="11" t="s">
        <v>50</v>
      </c>
      <c r="C2265" s="11" t="s">
        <v>449</v>
      </c>
      <c r="D2265" s="11" t="s">
        <v>450</v>
      </c>
      <c r="E2265" s="11" t="s">
        <v>476</v>
      </c>
      <c r="F2265" s="11" t="s">
        <v>13872</v>
      </c>
      <c r="G2265" s="11" t="s">
        <v>6948</v>
      </c>
      <c r="H2265" s="11"/>
      <c r="I2265" s="11" t="s">
        <v>13873</v>
      </c>
      <c r="J2265" s="11" t="s">
        <v>13874</v>
      </c>
      <c r="K2265" s="11" t="s">
        <v>5180</v>
      </c>
      <c r="L2265" s="11" t="s">
        <v>13875</v>
      </c>
      <c r="M2265" s="11"/>
      <c r="N2265" s="14" t="n">
        <v>1</v>
      </c>
      <c r="O2265" s="14" t="n">
        <v>3</v>
      </c>
      <c r="P2265" s="14" t="n">
        <v>2</v>
      </c>
      <c r="Q2265" s="14"/>
      <c r="R2265" s="12" t="n">
        <f aca="false">IF(OR(N2265="",P2265=""),"",ROUND(N2265*O2265/P2265,1))</f>
        <v>1.5</v>
      </c>
      <c r="S2265" s="13" t="n">
        <f aca="false">IF(R2265="","",IF(Q2265="Y",1,IF(P2265&gt;='Read me'!$B$16,3,IF(AND(R2265&gt;='Read me'!$B$14,P2265&lt;='Read me'!$B$15),1,2))))</f>
        <v>2</v>
      </c>
    </row>
    <row r="2266" customFormat="false" ht="23.85" hidden="false" customHeight="false" outlineLevel="0" collapsed="false">
      <c r="A2266" s="11" t="s">
        <v>13876</v>
      </c>
      <c r="B2266" s="11" t="s">
        <v>50</v>
      </c>
      <c r="C2266" s="11" t="s">
        <v>449</v>
      </c>
      <c r="D2266" s="11" t="s">
        <v>450</v>
      </c>
      <c r="E2266" s="11" t="s">
        <v>476</v>
      </c>
      <c r="F2266" s="11" t="s">
        <v>13877</v>
      </c>
      <c r="G2266" s="11" t="s">
        <v>13878</v>
      </c>
      <c r="H2266" s="11"/>
      <c r="I2266" s="11" t="s">
        <v>13879</v>
      </c>
      <c r="J2266" s="11" t="s">
        <v>13880</v>
      </c>
      <c r="K2266" s="11" t="s">
        <v>13881</v>
      </c>
      <c r="L2266" s="11" t="s">
        <v>13882</v>
      </c>
      <c r="M2266" s="11"/>
      <c r="N2266" s="14" t="n">
        <v>4</v>
      </c>
      <c r="O2266" s="14" t="n">
        <v>4</v>
      </c>
      <c r="P2266" s="14" t="n">
        <v>2</v>
      </c>
      <c r="Q2266" s="14"/>
      <c r="R2266" s="12" t="n">
        <f aca="false">IF(OR(N2266="",P2266=""),"",ROUND(N2266*O2266/P2266,1))</f>
        <v>8</v>
      </c>
      <c r="S2266" s="13" t="n">
        <f aca="false">IF(R2266="","",IF(Q2266="Y",1,IF(P2266&gt;='Read me'!$B$16,3,IF(AND(R2266&gt;='Read me'!$B$14,P2266&lt;='Read me'!$B$15),1,2))))</f>
        <v>1</v>
      </c>
    </row>
    <row r="2267" customFormat="false" ht="23.85" hidden="false" customHeight="false" outlineLevel="0" collapsed="false">
      <c r="A2267" s="11" t="s">
        <v>13883</v>
      </c>
      <c r="B2267" s="11" t="s">
        <v>50</v>
      </c>
      <c r="C2267" s="11" t="s">
        <v>449</v>
      </c>
      <c r="D2267" s="11" t="s">
        <v>450</v>
      </c>
      <c r="E2267" s="11" t="s">
        <v>751</v>
      </c>
      <c r="F2267" s="11" t="s">
        <v>13877</v>
      </c>
      <c r="G2267" s="11" t="s">
        <v>13878</v>
      </c>
      <c r="H2267" s="11"/>
      <c r="I2267" s="11" t="s">
        <v>13884</v>
      </c>
      <c r="J2267" s="11" t="s">
        <v>13885</v>
      </c>
      <c r="K2267" s="11" t="s">
        <v>1575</v>
      </c>
      <c r="L2267" s="11" t="s">
        <v>13886</v>
      </c>
      <c r="M2267" s="11" t="s">
        <v>1577</v>
      </c>
      <c r="N2267" s="14" t="n">
        <v>4</v>
      </c>
      <c r="O2267" s="14" t="n">
        <v>4</v>
      </c>
      <c r="P2267" s="14" t="n">
        <v>3</v>
      </c>
      <c r="Q2267" s="14"/>
      <c r="R2267" s="12" t="n">
        <f aca="false">IF(OR(N2267="",P2267=""),"",ROUND(N2267*O2267/P2267,1))</f>
        <v>5.3</v>
      </c>
      <c r="S2267" s="13" t="n">
        <f aca="false">IF(R2267="","",IF(Q2267="Y",1,IF(P2267&gt;='Read me'!$B$16,3,IF(AND(R2267&gt;='Read me'!$B$14,P2267&lt;='Read me'!$B$15),1,2))))</f>
        <v>2</v>
      </c>
    </row>
    <row r="2268" customFormat="false" ht="23.85" hidden="false" customHeight="false" outlineLevel="0" collapsed="false">
      <c r="A2268" s="11" t="s">
        <v>13887</v>
      </c>
      <c r="B2268" s="11" t="s">
        <v>50</v>
      </c>
      <c r="C2268" s="11" t="s">
        <v>449</v>
      </c>
      <c r="D2268" s="11" t="s">
        <v>450</v>
      </c>
      <c r="E2268" s="11" t="s">
        <v>751</v>
      </c>
      <c r="F2268" s="11" t="s">
        <v>13888</v>
      </c>
      <c r="G2268" s="11" t="s">
        <v>13889</v>
      </c>
      <c r="H2268" s="11"/>
      <c r="I2268" s="11" t="s">
        <v>512</v>
      </c>
      <c r="J2268" s="11" t="s">
        <v>13890</v>
      </c>
      <c r="K2268" s="11" t="s">
        <v>13767</v>
      </c>
      <c r="L2268" s="11" t="s">
        <v>13891</v>
      </c>
      <c r="M2268" s="11"/>
      <c r="N2268" s="14" t="n">
        <v>2</v>
      </c>
      <c r="O2268" s="14" t="n">
        <v>3</v>
      </c>
      <c r="P2268" s="14" t="n">
        <v>2</v>
      </c>
      <c r="Q2268" s="14"/>
      <c r="R2268" s="12" t="n">
        <f aca="false">IF(OR(N2268="",P2268=""),"",ROUND(N2268*O2268/P2268,1))</f>
        <v>3</v>
      </c>
      <c r="S2268" s="13" t="n">
        <f aca="false">IF(R2268="","",IF(Q2268="Y",1,IF(P2268&gt;='Read me'!$B$16,3,IF(AND(R2268&gt;='Read me'!$B$14,P2268&lt;='Read me'!$B$15),1,2))))</f>
        <v>2</v>
      </c>
    </row>
    <row r="2269" customFormat="false" ht="23.85" hidden="false" customHeight="false" outlineLevel="0" collapsed="false">
      <c r="A2269" s="11" t="s">
        <v>13892</v>
      </c>
      <c r="B2269" s="11" t="s">
        <v>50</v>
      </c>
      <c r="C2269" s="11" t="s">
        <v>449</v>
      </c>
      <c r="D2269" s="11" t="s">
        <v>450</v>
      </c>
      <c r="E2269" s="11" t="s">
        <v>1187</v>
      </c>
      <c r="F2269" s="11" t="s">
        <v>13833</v>
      </c>
      <c r="G2269" s="11" t="s">
        <v>13893</v>
      </c>
      <c r="H2269" s="11" t="s">
        <v>7242</v>
      </c>
      <c r="I2269" s="11" t="s">
        <v>13894</v>
      </c>
      <c r="J2269" s="11" t="s">
        <v>13895</v>
      </c>
      <c r="K2269" s="11" t="s">
        <v>675</v>
      </c>
      <c r="L2269" s="11" t="s">
        <v>13896</v>
      </c>
      <c r="M2269" s="11"/>
      <c r="N2269" s="14" t="n">
        <v>1</v>
      </c>
      <c r="O2269" s="14" t="n">
        <v>2</v>
      </c>
      <c r="P2269" s="14" t="n">
        <v>1</v>
      </c>
      <c r="Q2269" s="14"/>
      <c r="R2269" s="12" t="n">
        <f aca="false">IF(OR(N2269="",P2269=""),"",ROUND(N2269*O2269/P2269,1))</f>
        <v>2</v>
      </c>
      <c r="S2269" s="13" t="n">
        <f aca="false">IF(R2269="","",IF(Q2269="Y",1,IF(P2269&gt;='Read me'!$B$16,3,IF(AND(R2269&gt;='Read me'!$B$14,P2269&lt;='Read me'!$B$15),1,2))))</f>
        <v>2</v>
      </c>
    </row>
    <row r="2270" customFormat="false" ht="23.85" hidden="false" customHeight="false" outlineLevel="0" collapsed="false">
      <c r="A2270" s="11" t="s">
        <v>13897</v>
      </c>
      <c r="B2270" s="11" t="s">
        <v>50</v>
      </c>
      <c r="C2270" s="11" t="s">
        <v>449</v>
      </c>
      <c r="D2270" s="11" t="s">
        <v>450</v>
      </c>
      <c r="E2270" s="11" t="s">
        <v>1187</v>
      </c>
      <c r="F2270" s="11" t="s">
        <v>13898</v>
      </c>
      <c r="G2270" s="11" t="s">
        <v>13899</v>
      </c>
      <c r="H2270" s="11" t="s">
        <v>13900</v>
      </c>
      <c r="I2270" s="11" t="s">
        <v>13901</v>
      </c>
      <c r="J2270" s="11" t="s">
        <v>13902</v>
      </c>
      <c r="K2270" s="11" t="s">
        <v>11701</v>
      </c>
      <c r="L2270" s="11" t="s">
        <v>13903</v>
      </c>
      <c r="M2270" s="11"/>
      <c r="N2270" s="14" t="n">
        <v>2</v>
      </c>
      <c r="O2270" s="14" t="n">
        <v>2</v>
      </c>
      <c r="P2270" s="14" t="n">
        <v>1</v>
      </c>
      <c r="Q2270" s="14"/>
      <c r="R2270" s="12" t="n">
        <f aca="false">IF(OR(N2270="",P2270=""),"",ROUND(N2270*O2270/P2270,1))</f>
        <v>4</v>
      </c>
      <c r="S2270" s="13" t="n">
        <f aca="false">IF(R2270="","",IF(Q2270="Y",1,IF(P2270&gt;='Read me'!$B$16,3,IF(AND(R2270&gt;='Read me'!$B$14,P2270&lt;='Read me'!$B$15),1,2))))</f>
        <v>2</v>
      </c>
    </row>
    <row r="2271" customFormat="false" ht="23.85" hidden="false" customHeight="false" outlineLevel="0" collapsed="false">
      <c r="A2271" s="11" t="s">
        <v>13904</v>
      </c>
      <c r="B2271" s="11" t="s">
        <v>50</v>
      </c>
      <c r="C2271" s="11" t="s">
        <v>449</v>
      </c>
      <c r="D2271" s="11" t="s">
        <v>450</v>
      </c>
      <c r="E2271" s="11" t="s">
        <v>1187</v>
      </c>
      <c r="F2271" s="11" t="s">
        <v>13877</v>
      </c>
      <c r="G2271" s="11" t="s">
        <v>13905</v>
      </c>
      <c r="H2271" s="11" t="s">
        <v>1259</v>
      </c>
      <c r="I2271" s="11" t="s">
        <v>13906</v>
      </c>
      <c r="J2271" s="11" t="s">
        <v>13907</v>
      </c>
      <c r="K2271" s="11" t="s">
        <v>7405</v>
      </c>
      <c r="L2271" s="11" t="s">
        <v>13908</v>
      </c>
      <c r="M2271" s="11"/>
      <c r="N2271" s="14" t="n">
        <v>3</v>
      </c>
      <c r="O2271" s="14" t="n">
        <v>3</v>
      </c>
      <c r="P2271" s="14" t="n">
        <v>1</v>
      </c>
      <c r="Q2271" s="14"/>
      <c r="R2271" s="12" t="n">
        <f aca="false">IF(OR(N2271="",P2271=""),"",ROUND(N2271*O2271/P2271,1))</f>
        <v>9</v>
      </c>
      <c r="S2271" s="13" t="n">
        <f aca="false">IF(R2271="","",IF(Q2271="Y",1,IF(P2271&gt;='Read me'!$B$16,3,IF(AND(R2271&gt;='Read me'!$B$14,P2271&lt;='Read me'!$B$15),1,2))))</f>
        <v>1</v>
      </c>
    </row>
    <row r="2272" customFormat="false" ht="35.05" hidden="false" customHeight="false" outlineLevel="0" collapsed="false">
      <c r="A2272" s="11" t="s">
        <v>13909</v>
      </c>
      <c r="B2272" s="11" t="s">
        <v>50</v>
      </c>
      <c r="C2272" s="11" t="s">
        <v>449</v>
      </c>
      <c r="D2272" s="11" t="s">
        <v>450</v>
      </c>
      <c r="E2272" s="11" t="s">
        <v>1187</v>
      </c>
      <c r="F2272" s="11" t="s">
        <v>13877</v>
      </c>
      <c r="G2272" s="11" t="s">
        <v>13910</v>
      </c>
      <c r="H2272" s="11" t="s">
        <v>6665</v>
      </c>
      <c r="I2272" s="11" t="s">
        <v>13911</v>
      </c>
      <c r="J2272" s="11" t="s">
        <v>13912</v>
      </c>
      <c r="K2272" s="11" t="s">
        <v>762</v>
      </c>
      <c r="L2272" s="11" t="s">
        <v>13913</v>
      </c>
      <c r="M2272" s="11"/>
      <c r="N2272" s="14" t="n">
        <v>1</v>
      </c>
      <c r="O2272" s="14" t="n">
        <v>3</v>
      </c>
      <c r="P2272" s="14" t="n">
        <v>3</v>
      </c>
      <c r="Q2272" s="14"/>
      <c r="R2272" s="12" t="n">
        <f aca="false">IF(OR(N2272="",P2272=""),"",ROUND(N2272*O2272/P2272,1))</f>
        <v>1</v>
      </c>
      <c r="S2272" s="13" t="n">
        <f aca="false">IF(R2272="","",IF(Q2272="Y",1,IF(P2272&gt;='Read me'!$B$16,3,IF(AND(R2272&gt;='Read me'!$B$14,P2272&lt;='Read me'!$B$15),1,2))))</f>
        <v>2</v>
      </c>
    </row>
    <row r="2273" customFormat="false" ht="46.25" hidden="false" customHeight="false" outlineLevel="0" collapsed="false">
      <c r="A2273" s="11" t="s">
        <v>13914</v>
      </c>
      <c r="B2273" s="11" t="s">
        <v>50</v>
      </c>
      <c r="C2273" s="11" t="s">
        <v>449</v>
      </c>
      <c r="D2273" s="11" t="s">
        <v>450</v>
      </c>
      <c r="E2273" s="11" t="s">
        <v>1372</v>
      </c>
      <c r="F2273" s="11" t="s">
        <v>13915</v>
      </c>
      <c r="G2273" s="11" t="s">
        <v>13673</v>
      </c>
      <c r="H2273" s="11"/>
      <c r="I2273" s="11" t="s">
        <v>13916</v>
      </c>
      <c r="J2273" s="11" t="s">
        <v>13917</v>
      </c>
      <c r="K2273" s="11" t="s">
        <v>13918</v>
      </c>
      <c r="L2273" s="11" t="s">
        <v>13919</v>
      </c>
      <c r="M2273" s="11" t="s">
        <v>13920</v>
      </c>
      <c r="N2273" s="14" t="n">
        <v>4</v>
      </c>
      <c r="O2273" s="14" t="n">
        <v>3</v>
      </c>
      <c r="P2273" s="14" t="n">
        <v>3</v>
      </c>
      <c r="Q2273" s="14"/>
      <c r="R2273" s="12" t="n">
        <f aca="false">IF(OR(N2273="",P2273=""),"",ROUND(N2273*O2273/P2273,1))</f>
        <v>4</v>
      </c>
      <c r="S2273" s="13" t="n">
        <f aca="false">IF(R2273="","",IF(Q2273="Y",1,IF(P2273&gt;='Read me'!$B$16,3,IF(AND(R2273&gt;='Read me'!$B$14,P2273&lt;='Read me'!$B$15),1,2))))</f>
        <v>2</v>
      </c>
    </row>
    <row r="2274" customFormat="false" ht="23.85" hidden="false" customHeight="false" outlineLevel="0" collapsed="false">
      <c r="A2274" s="11" t="s">
        <v>13921</v>
      </c>
      <c r="B2274" s="11" t="s">
        <v>50</v>
      </c>
      <c r="C2274" s="11" t="s">
        <v>449</v>
      </c>
      <c r="D2274" s="11" t="s">
        <v>450</v>
      </c>
      <c r="E2274" s="11" t="s">
        <v>1372</v>
      </c>
      <c r="F2274" s="11" t="s">
        <v>13922</v>
      </c>
      <c r="G2274" s="11" t="s">
        <v>3775</v>
      </c>
      <c r="H2274" s="11"/>
      <c r="I2274" s="11" t="s">
        <v>13923</v>
      </c>
      <c r="J2274" s="11" t="s">
        <v>13924</v>
      </c>
      <c r="K2274" s="11" t="s">
        <v>11767</v>
      </c>
      <c r="L2274" s="11" t="s">
        <v>13925</v>
      </c>
      <c r="M2274" s="11"/>
      <c r="N2274" s="14" t="n">
        <v>3</v>
      </c>
      <c r="O2274" s="14" t="n">
        <v>3</v>
      </c>
      <c r="P2274" s="14" t="n">
        <v>1</v>
      </c>
      <c r="Q2274" s="14"/>
      <c r="R2274" s="12" t="n">
        <f aca="false">IF(OR(N2274="",P2274=""),"",ROUND(N2274*O2274/P2274,1))</f>
        <v>9</v>
      </c>
      <c r="S2274" s="13" t="n">
        <f aca="false">IF(R2274="","",IF(Q2274="Y",1,IF(P2274&gt;='Read me'!$B$16,3,IF(AND(R2274&gt;='Read me'!$B$14,P2274&lt;='Read me'!$B$15),1,2))))</f>
        <v>1</v>
      </c>
    </row>
    <row r="2275" customFormat="false" ht="23.85" hidden="false" customHeight="false" outlineLevel="0" collapsed="false">
      <c r="A2275" s="11" t="s">
        <v>13926</v>
      </c>
      <c r="B2275" s="11" t="s">
        <v>50</v>
      </c>
      <c r="C2275" s="11" t="s">
        <v>449</v>
      </c>
      <c r="D2275" s="11" t="s">
        <v>450</v>
      </c>
      <c r="E2275" s="11" t="s">
        <v>1372</v>
      </c>
      <c r="F2275" s="11" t="s">
        <v>13927</v>
      </c>
      <c r="G2275" s="11" t="s">
        <v>13928</v>
      </c>
      <c r="H2275" s="11"/>
      <c r="I2275" s="11" t="s">
        <v>8218</v>
      </c>
      <c r="J2275" s="11" t="s">
        <v>13929</v>
      </c>
      <c r="K2275" s="11" t="s">
        <v>11235</v>
      </c>
      <c r="L2275" s="11" t="s">
        <v>11236</v>
      </c>
      <c r="M2275" s="11"/>
      <c r="N2275" s="14" t="n">
        <v>2</v>
      </c>
      <c r="O2275" s="14" t="n">
        <v>3</v>
      </c>
      <c r="P2275" s="14" t="n">
        <v>2</v>
      </c>
      <c r="Q2275" s="14"/>
      <c r="R2275" s="12" t="n">
        <f aca="false">IF(OR(N2275="",P2275=""),"",ROUND(N2275*O2275/P2275,1))</f>
        <v>3</v>
      </c>
      <c r="S2275" s="13" t="n">
        <f aca="false">IF(R2275="","",IF(Q2275="Y",1,IF(P2275&gt;='Read me'!$B$16,3,IF(AND(R2275&gt;='Read me'!$B$14,P2275&lt;='Read me'!$B$15),1,2))))</f>
        <v>2</v>
      </c>
    </row>
    <row r="2276" customFormat="false" ht="23.85" hidden="false" customHeight="false" outlineLevel="0" collapsed="false">
      <c r="A2276" s="11" t="s">
        <v>13930</v>
      </c>
      <c r="B2276" s="11" t="s">
        <v>50</v>
      </c>
      <c r="C2276" s="11" t="s">
        <v>449</v>
      </c>
      <c r="D2276" s="11" t="s">
        <v>450</v>
      </c>
      <c r="E2276" s="11" t="s">
        <v>1372</v>
      </c>
      <c r="F2276" s="11" t="s">
        <v>13931</v>
      </c>
      <c r="G2276" s="11" t="s">
        <v>4253</v>
      </c>
      <c r="H2276" s="11"/>
      <c r="I2276" s="11" t="s">
        <v>13932</v>
      </c>
      <c r="J2276" s="11" t="s">
        <v>13933</v>
      </c>
      <c r="K2276" s="11" t="s">
        <v>13934</v>
      </c>
      <c r="L2276" s="11" t="s">
        <v>13935</v>
      </c>
      <c r="M2276" s="11" t="s">
        <v>1497</v>
      </c>
      <c r="N2276" s="14" t="n">
        <v>2</v>
      </c>
      <c r="O2276" s="14" t="n">
        <v>3</v>
      </c>
      <c r="P2276" s="14" t="n">
        <v>2</v>
      </c>
      <c r="Q2276" s="14"/>
      <c r="R2276" s="12" t="n">
        <f aca="false">IF(OR(N2276="",P2276=""),"",ROUND(N2276*O2276/P2276,1))</f>
        <v>3</v>
      </c>
      <c r="S2276" s="13" t="n">
        <f aca="false">IF(R2276="","",IF(Q2276="Y",1,IF(P2276&gt;='Read me'!$B$16,3,IF(AND(R2276&gt;='Read me'!$B$14,P2276&lt;='Read me'!$B$15),1,2))))</f>
        <v>2</v>
      </c>
    </row>
    <row r="2277" customFormat="false" ht="23.85" hidden="false" customHeight="false" outlineLevel="0" collapsed="false">
      <c r="A2277" s="11" t="s">
        <v>13936</v>
      </c>
      <c r="B2277" s="11" t="s">
        <v>50</v>
      </c>
      <c r="C2277" s="11" t="s">
        <v>449</v>
      </c>
      <c r="D2277" s="11" t="s">
        <v>450</v>
      </c>
      <c r="E2277" s="11" t="s">
        <v>1372</v>
      </c>
      <c r="F2277" s="11" t="s">
        <v>13937</v>
      </c>
      <c r="G2277" s="11" t="s">
        <v>1473</v>
      </c>
      <c r="H2277" s="11"/>
      <c r="I2277" s="11" t="s">
        <v>13938</v>
      </c>
      <c r="J2277" s="11" t="s">
        <v>13939</v>
      </c>
      <c r="K2277" s="11" t="s">
        <v>13940</v>
      </c>
      <c r="L2277" s="11" t="s">
        <v>13941</v>
      </c>
      <c r="M2277" s="11"/>
      <c r="N2277" s="14" t="n">
        <v>2</v>
      </c>
      <c r="O2277" s="14" t="n">
        <v>3</v>
      </c>
      <c r="P2277" s="14" t="n">
        <v>2</v>
      </c>
      <c r="Q2277" s="14"/>
      <c r="R2277" s="12" t="n">
        <f aca="false">IF(OR(N2277="",P2277=""),"",ROUND(N2277*O2277/P2277,1))</f>
        <v>3</v>
      </c>
      <c r="S2277" s="13" t="n">
        <f aca="false">IF(R2277="","",IF(Q2277="Y",1,IF(P2277&gt;='Read me'!$B$16,3,IF(AND(R2277&gt;='Read me'!$B$14,P2277&lt;='Read me'!$B$15),1,2))))</f>
        <v>2</v>
      </c>
    </row>
    <row r="2278" customFormat="false" ht="23.85" hidden="false" customHeight="false" outlineLevel="0" collapsed="false">
      <c r="A2278" s="11" t="s">
        <v>13942</v>
      </c>
      <c r="B2278" s="11" t="s">
        <v>50</v>
      </c>
      <c r="C2278" s="11" t="s">
        <v>449</v>
      </c>
      <c r="D2278" s="11" t="s">
        <v>450</v>
      </c>
      <c r="E2278" s="11" t="s">
        <v>1372</v>
      </c>
      <c r="F2278" s="11" t="s">
        <v>11790</v>
      </c>
      <c r="G2278" s="11"/>
      <c r="H2278" s="11"/>
      <c r="I2278" s="11" t="s">
        <v>13943</v>
      </c>
      <c r="J2278" s="11" t="s">
        <v>13944</v>
      </c>
      <c r="K2278" s="11" t="s">
        <v>5634</v>
      </c>
      <c r="L2278" s="11" t="s">
        <v>13945</v>
      </c>
      <c r="M2278" s="11"/>
      <c r="N2278" s="14" t="n">
        <v>2</v>
      </c>
      <c r="O2278" s="14" t="n">
        <v>2</v>
      </c>
      <c r="P2278" s="14" t="n">
        <v>2</v>
      </c>
      <c r="Q2278" s="14"/>
      <c r="R2278" s="12" t="n">
        <f aca="false">IF(OR(N2278="",P2278=""),"",ROUND(N2278*O2278/P2278,1))</f>
        <v>2</v>
      </c>
      <c r="S2278" s="13" t="n">
        <f aca="false">IF(R2278="","",IF(Q2278="Y",1,IF(P2278&gt;='Read me'!$B$16,3,IF(AND(R2278&gt;='Read me'!$B$14,P2278&lt;='Read me'!$B$15),1,2))))</f>
        <v>2</v>
      </c>
    </row>
    <row r="2279" customFormat="false" ht="23.85" hidden="false" customHeight="false" outlineLevel="0" collapsed="false">
      <c r="A2279" s="11" t="s">
        <v>13946</v>
      </c>
      <c r="B2279" s="11" t="s">
        <v>50</v>
      </c>
      <c r="C2279" s="11" t="s">
        <v>452</v>
      </c>
      <c r="D2279" s="11" t="s">
        <v>453</v>
      </c>
      <c r="E2279" s="11" t="s">
        <v>476</v>
      </c>
      <c r="F2279" s="11" t="s">
        <v>13947</v>
      </c>
      <c r="G2279" s="11"/>
      <c r="H2279" s="11"/>
      <c r="I2279" s="11" t="s">
        <v>13948</v>
      </c>
      <c r="J2279" s="11" t="s">
        <v>13949</v>
      </c>
      <c r="K2279" s="11" t="s">
        <v>13950</v>
      </c>
      <c r="L2279" s="11" t="s">
        <v>13951</v>
      </c>
      <c r="M2279" s="11" t="s">
        <v>10550</v>
      </c>
      <c r="N2279" s="14" t="n">
        <v>3</v>
      </c>
      <c r="O2279" s="14" t="n">
        <v>4</v>
      </c>
      <c r="P2279" s="14" t="n">
        <v>3</v>
      </c>
      <c r="Q2279" s="14"/>
      <c r="R2279" s="12" t="n">
        <f aca="false">IF(OR(N2279="",P2279=""),"",ROUND(N2279*O2279/P2279,1))</f>
        <v>4</v>
      </c>
      <c r="S2279" s="13" t="n">
        <f aca="false">IF(R2279="","",IF(Q2279="Y",1,IF(P2279&gt;='Read me'!$B$16,3,IF(AND(R2279&gt;='Read me'!$B$14,P2279&lt;='Read me'!$B$15),1,2))))</f>
        <v>2</v>
      </c>
    </row>
    <row r="2280" customFormat="false" ht="23.85" hidden="false" customHeight="false" outlineLevel="0" collapsed="false">
      <c r="A2280" s="11" t="s">
        <v>13952</v>
      </c>
      <c r="B2280" s="11" t="s">
        <v>50</v>
      </c>
      <c r="C2280" s="11" t="s">
        <v>452</v>
      </c>
      <c r="D2280" s="11" t="s">
        <v>453</v>
      </c>
      <c r="E2280" s="11" t="s">
        <v>476</v>
      </c>
      <c r="F2280" s="11" t="s">
        <v>13947</v>
      </c>
      <c r="G2280" s="11" t="s">
        <v>6948</v>
      </c>
      <c r="H2280" s="11"/>
      <c r="I2280" s="11" t="s">
        <v>13953</v>
      </c>
      <c r="J2280" s="11" t="s">
        <v>13954</v>
      </c>
      <c r="K2280" s="11" t="s">
        <v>13950</v>
      </c>
      <c r="L2280" s="11" t="s">
        <v>13821</v>
      </c>
      <c r="M2280" s="11"/>
      <c r="N2280" s="14" t="n">
        <v>1</v>
      </c>
      <c r="O2280" s="14" t="n">
        <v>3</v>
      </c>
      <c r="P2280" s="14" t="n">
        <v>2</v>
      </c>
      <c r="Q2280" s="14"/>
      <c r="R2280" s="12" t="n">
        <f aca="false">IF(OR(N2280="",P2280=""),"",ROUND(N2280*O2280/P2280,1))</f>
        <v>1.5</v>
      </c>
      <c r="S2280" s="13" t="n">
        <f aca="false">IF(R2280="","",IF(Q2280="Y",1,IF(P2280&gt;='Read me'!$B$16,3,IF(AND(R2280&gt;='Read me'!$B$14,P2280&lt;='Read me'!$B$15),1,2))))</f>
        <v>2</v>
      </c>
    </row>
    <row r="2281" customFormat="false" ht="23.85" hidden="false" customHeight="false" outlineLevel="0" collapsed="false">
      <c r="A2281" s="11" t="s">
        <v>13955</v>
      </c>
      <c r="B2281" s="11" t="s">
        <v>50</v>
      </c>
      <c r="C2281" s="11" t="s">
        <v>452</v>
      </c>
      <c r="D2281" s="11" t="s">
        <v>453</v>
      </c>
      <c r="E2281" s="11" t="s">
        <v>476</v>
      </c>
      <c r="F2281" s="11" t="s">
        <v>13956</v>
      </c>
      <c r="G2281" s="11"/>
      <c r="H2281" s="11"/>
      <c r="I2281" s="11" t="s">
        <v>13957</v>
      </c>
      <c r="J2281" s="11" t="s">
        <v>13958</v>
      </c>
      <c r="K2281" s="11" t="s">
        <v>13959</v>
      </c>
      <c r="L2281" s="11" t="s">
        <v>13821</v>
      </c>
      <c r="M2281" s="11"/>
      <c r="N2281" s="14" t="n">
        <v>3</v>
      </c>
      <c r="O2281" s="14" t="n">
        <v>3</v>
      </c>
      <c r="P2281" s="14" t="n">
        <v>2</v>
      </c>
      <c r="Q2281" s="14"/>
      <c r="R2281" s="12" t="n">
        <f aca="false">IF(OR(N2281="",P2281=""),"",ROUND(N2281*O2281/P2281,1))</f>
        <v>4.5</v>
      </c>
      <c r="S2281" s="13" t="n">
        <f aca="false">IF(R2281="","",IF(Q2281="Y",1,IF(P2281&gt;='Read me'!$B$16,3,IF(AND(R2281&gt;='Read me'!$B$14,P2281&lt;='Read me'!$B$15),1,2))))</f>
        <v>2</v>
      </c>
    </row>
    <row r="2282" customFormat="false" ht="23.85" hidden="false" customHeight="false" outlineLevel="0" collapsed="false">
      <c r="A2282" s="11" t="s">
        <v>13960</v>
      </c>
      <c r="B2282" s="11" t="s">
        <v>50</v>
      </c>
      <c r="C2282" s="11" t="s">
        <v>452</v>
      </c>
      <c r="D2282" s="11" t="s">
        <v>453</v>
      </c>
      <c r="E2282" s="11" t="s">
        <v>476</v>
      </c>
      <c r="F2282" s="11" t="s">
        <v>13961</v>
      </c>
      <c r="G2282" s="11" t="s">
        <v>4944</v>
      </c>
      <c r="H2282" s="11"/>
      <c r="I2282" s="11" t="s">
        <v>13962</v>
      </c>
      <c r="J2282" s="11" t="s">
        <v>13963</v>
      </c>
      <c r="K2282" s="11" t="s">
        <v>13964</v>
      </c>
      <c r="L2282" s="11" t="s">
        <v>13965</v>
      </c>
      <c r="M2282" s="11"/>
      <c r="N2282" s="14" t="n">
        <v>2</v>
      </c>
      <c r="O2282" s="14" t="n">
        <v>3</v>
      </c>
      <c r="P2282" s="14" t="n">
        <v>3</v>
      </c>
      <c r="Q2282" s="14"/>
      <c r="R2282" s="12" t="n">
        <f aca="false">IF(OR(N2282="",P2282=""),"",ROUND(N2282*O2282/P2282,1))</f>
        <v>2</v>
      </c>
      <c r="S2282" s="13" t="n">
        <f aca="false">IF(R2282="","",IF(Q2282="Y",1,IF(P2282&gt;='Read me'!$B$16,3,IF(AND(R2282&gt;='Read me'!$B$14,P2282&lt;='Read me'!$B$15),1,2))))</f>
        <v>2</v>
      </c>
    </row>
    <row r="2283" customFormat="false" ht="91" hidden="false" customHeight="false" outlineLevel="0" collapsed="false">
      <c r="A2283" s="11" t="s">
        <v>13966</v>
      </c>
      <c r="B2283" s="11" t="s">
        <v>50</v>
      </c>
      <c r="C2283" s="11" t="s">
        <v>452</v>
      </c>
      <c r="D2283" s="11" t="s">
        <v>453</v>
      </c>
      <c r="E2283" s="11" t="s">
        <v>476</v>
      </c>
      <c r="F2283" s="11" t="s">
        <v>13967</v>
      </c>
      <c r="G2283" s="11" t="s">
        <v>13968</v>
      </c>
      <c r="H2283" s="11"/>
      <c r="I2283" s="11" t="s">
        <v>512</v>
      </c>
      <c r="J2283" s="11" t="s">
        <v>13969</v>
      </c>
      <c r="K2283" s="11" t="s">
        <v>13970</v>
      </c>
      <c r="L2283" s="11" t="s">
        <v>13971</v>
      </c>
      <c r="M2283" s="11" t="s">
        <v>10463</v>
      </c>
      <c r="N2283" s="14" t="n">
        <v>2</v>
      </c>
      <c r="O2283" s="14" t="n">
        <v>3</v>
      </c>
      <c r="P2283" s="14" t="n">
        <v>3</v>
      </c>
      <c r="Q2283" s="14"/>
      <c r="R2283" s="12" t="n">
        <f aca="false">IF(OR(N2283="",P2283=""),"",ROUND(N2283*O2283/P2283,1))</f>
        <v>2</v>
      </c>
      <c r="S2283" s="13" t="n">
        <f aca="false">IF(R2283="","",IF(Q2283="Y",1,IF(P2283&gt;='Read me'!$B$16,3,IF(AND(R2283&gt;='Read me'!$B$14,P2283&lt;='Read me'!$B$15),1,2))))</f>
        <v>2</v>
      </c>
    </row>
    <row r="2284" customFormat="false" ht="23.85" hidden="false" customHeight="false" outlineLevel="0" collapsed="false">
      <c r="A2284" s="11" t="s">
        <v>13972</v>
      </c>
      <c r="B2284" s="11" t="s">
        <v>50</v>
      </c>
      <c r="C2284" s="11" t="s">
        <v>452</v>
      </c>
      <c r="D2284" s="11" t="s">
        <v>453</v>
      </c>
      <c r="E2284" s="11" t="s">
        <v>751</v>
      </c>
      <c r="F2284" s="11" t="s">
        <v>13973</v>
      </c>
      <c r="G2284" s="11" t="s">
        <v>13974</v>
      </c>
      <c r="H2284" s="11"/>
      <c r="I2284" s="11" t="s">
        <v>512</v>
      </c>
      <c r="J2284" s="11" t="s">
        <v>13975</v>
      </c>
      <c r="K2284" s="11" t="s">
        <v>10736</v>
      </c>
      <c r="L2284" s="11" t="s">
        <v>13976</v>
      </c>
      <c r="M2284" s="11"/>
      <c r="N2284" s="14" t="n">
        <v>2</v>
      </c>
      <c r="O2284" s="14" t="n">
        <v>3</v>
      </c>
      <c r="P2284" s="14" t="n">
        <v>2</v>
      </c>
      <c r="Q2284" s="14"/>
      <c r="R2284" s="12" t="n">
        <f aca="false">IF(OR(N2284="",P2284=""),"",ROUND(N2284*O2284/P2284,1))</f>
        <v>3</v>
      </c>
      <c r="S2284" s="13" t="n">
        <f aca="false">IF(R2284="","",IF(Q2284="Y",1,IF(P2284&gt;='Read me'!$B$16,3,IF(AND(R2284&gt;='Read me'!$B$14,P2284&lt;='Read me'!$B$15),1,2))))</f>
        <v>2</v>
      </c>
    </row>
    <row r="2285" customFormat="false" ht="35.05" hidden="false" customHeight="false" outlineLevel="0" collapsed="false">
      <c r="A2285" s="11" t="s">
        <v>13977</v>
      </c>
      <c r="B2285" s="11" t="s">
        <v>50</v>
      </c>
      <c r="C2285" s="11" t="s">
        <v>452</v>
      </c>
      <c r="D2285" s="11" t="s">
        <v>453</v>
      </c>
      <c r="E2285" s="11" t="s">
        <v>1187</v>
      </c>
      <c r="F2285" s="11" t="s">
        <v>13978</v>
      </c>
      <c r="G2285" s="11" t="s">
        <v>13979</v>
      </c>
      <c r="H2285" s="11" t="s">
        <v>13980</v>
      </c>
      <c r="I2285" s="11" t="s">
        <v>13981</v>
      </c>
      <c r="J2285" s="11" t="s">
        <v>13982</v>
      </c>
      <c r="K2285" s="11" t="s">
        <v>935</v>
      </c>
      <c r="L2285" s="11" t="s">
        <v>13983</v>
      </c>
      <c r="M2285" s="11" t="s">
        <v>10463</v>
      </c>
      <c r="N2285" s="14" t="n">
        <v>2</v>
      </c>
      <c r="O2285" s="14" t="n">
        <v>3</v>
      </c>
      <c r="P2285" s="14" t="n">
        <v>4</v>
      </c>
      <c r="Q2285" s="14"/>
      <c r="R2285" s="12" t="n">
        <f aca="false">IF(OR(N2285="",P2285=""),"",ROUND(N2285*O2285/P2285,1))</f>
        <v>1.5</v>
      </c>
      <c r="S2285" s="13" t="n">
        <f aca="false">IF(R2285="","",IF(Q2285="Y",1,IF(P2285&gt;='Read me'!$B$16,3,IF(AND(R2285&gt;='Read me'!$B$14,P2285&lt;='Read me'!$B$15),1,2))))</f>
        <v>3</v>
      </c>
    </row>
    <row r="2286" customFormat="false" ht="23.85" hidden="false" customHeight="false" outlineLevel="0" collapsed="false">
      <c r="A2286" s="11" t="s">
        <v>13984</v>
      </c>
      <c r="B2286" s="11" t="s">
        <v>50</v>
      </c>
      <c r="C2286" s="11" t="s">
        <v>452</v>
      </c>
      <c r="D2286" s="11" t="s">
        <v>453</v>
      </c>
      <c r="E2286" s="11" t="s">
        <v>1187</v>
      </c>
      <c r="F2286" s="11" t="s">
        <v>13973</v>
      </c>
      <c r="G2286" s="11" t="s">
        <v>13985</v>
      </c>
      <c r="H2286" s="11" t="s">
        <v>13986</v>
      </c>
      <c r="I2286" s="11" t="s">
        <v>13987</v>
      </c>
      <c r="J2286" s="11" t="s">
        <v>13988</v>
      </c>
      <c r="K2286" s="11" t="s">
        <v>13989</v>
      </c>
      <c r="L2286" s="11" t="s">
        <v>10768</v>
      </c>
      <c r="M2286" s="11"/>
      <c r="N2286" s="14" t="n">
        <v>2</v>
      </c>
      <c r="O2286" s="14" t="n">
        <v>3</v>
      </c>
      <c r="P2286" s="14" t="n">
        <v>2</v>
      </c>
      <c r="Q2286" s="14"/>
      <c r="R2286" s="12" t="n">
        <f aca="false">IF(OR(N2286="",P2286=""),"",ROUND(N2286*O2286/P2286,1))</f>
        <v>3</v>
      </c>
      <c r="S2286" s="13" t="n">
        <f aca="false">IF(R2286="","",IF(Q2286="Y",1,IF(P2286&gt;='Read me'!$B$16,3,IF(AND(R2286&gt;='Read me'!$B$14,P2286&lt;='Read me'!$B$15),1,2))))</f>
        <v>2</v>
      </c>
    </row>
    <row r="2287" customFormat="false" ht="23.85" hidden="false" customHeight="false" outlineLevel="0" collapsed="false">
      <c r="A2287" s="11" t="s">
        <v>13990</v>
      </c>
      <c r="B2287" s="11" t="s">
        <v>50</v>
      </c>
      <c r="C2287" s="11" t="s">
        <v>452</v>
      </c>
      <c r="D2287" s="11" t="s">
        <v>453</v>
      </c>
      <c r="E2287" s="11" t="s">
        <v>1187</v>
      </c>
      <c r="F2287" s="11" t="s">
        <v>13947</v>
      </c>
      <c r="G2287" s="11" t="s">
        <v>4537</v>
      </c>
      <c r="H2287" s="11" t="s">
        <v>11220</v>
      </c>
      <c r="I2287" s="11" t="s">
        <v>13991</v>
      </c>
      <c r="J2287" s="11" t="s">
        <v>13992</v>
      </c>
      <c r="K2287" s="11" t="s">
        <v>13993</v>
      </c>
      <c r="L2287" s="11" t="s">
        <v>13994</v>
      </c>
      <c r="M2287" s="11"/>
      <c r="N2287" s="14" t="n">
        <v>1</v>
      </c>
      <c r="O2287" s="14" t="n">
        <v>2</v>
      </c>
      <c r="P2287" s="14" t="n">
        <v>1</v>
      </c>
      <c r="Q2287" s="14"/>
      <c r="R2287" s="12" t="n">
        <f aca="false">IF(OR(N2287="",P2287=""),"",ROUND(N2287*O2287/P2287,1))</f>
        <v>2</v>
      </c>
      <c r="S2287" s="13" t="n">
        <f aca="false">IF(R2287="","",IF(Q2287="Y",1,IF(P2287&gt;='Read me'!$B$16,3,IF(AND(R2287&gt;='Read me'!$B$14,P2287&lt;='Read me'!$B$15),1,2))))</f>
        <v>2</v>
      </c>
    </row>
    <row r="2288" customFormat="false" ht="23.85" hidden="false" customHeight="false" outlineLevel="0" collapsed="false">
      <c r="A2288" s="11" t="s">
        <v>13995</v>
      </c>
      <c r="B2288" s="11" t="s">
        <v>50</v>
      </c>
      <c r="C2288" s="11" t="s">
        <v>452</v>
      </c>
      <c r="D2288" s="11" t="s">
        <v>453</v>
      </c>
      <c r="E2288" s="11" t="s">
        <v>1187</v>
      </c>
      <c r="F2288" s="11" t="s">
        <v>13947</v>
      </c>
      <c r="G2288" s="11" t="s">
        <v>13893</v>
      </c>
      <c r="H2288" s="11" t="s">
        <v>7242</v>
      </c>
      <c r="I2288" s="11" t="s">
        <v>13996</v>
      </c>
      <c r="J2288" s="11" t="s">
        <v>13997</v>
      </c>
      <c r="K2288" s="11" t="s">
        <v>935</v>
      </c>
      <c r="L2288" s="11" t="s">
        <v>13998</v>
      </c>
      <c r="M2288" s="11"/>
      <c r="N2288" s="14" t="n">
        <v>1</v>
      </c>
      <c r="O2288" s="14" t="n">
        <v>2</v>
      </c>
      <c r="P2288" s="14" t="n">
        <v>1</v>
      </c>
      <c r="Q2288" s="14"/>
      <c r="R2288" s="12" t="n">
        <f aca="false">IF(OR(N2288="",P2288=""),"",ROUND(N2288*O2288/P2288,1))</f>
        <v>2</v>
      </c>
      <c r="S2288" s="13" t="n">
        <f aca="false">IF(R2288="","",IF(Q2288="Y",1,IF(P2288&gt;='Read me'!$B$16,3,IF(AND(R2288&gt;='Read me'!$B$14,P2288&lt;='Read me'!$B$15),1,2))))</f>
        <v>2</v>
      </c>
    </row>
    <row r="2289" customFormat="false" ht="35.05" hidden="false" customHeight="false" outlineLevel="0" collapsed="false">
      <c r="A2289" s="11" t="s">
        <v>13999</v>
      </c>
      <c r="B2289" s="11" t="s">
        <v>50</v>
      </c>
      <c r="C2289" s="11" t="s">
        <v>452</v>
      </c>
      <c r="D2289" s="11" t="s">
        <v>453</v>
      </c>
      <c r="E2289" s="11" t="s">
        <v>1187</v>
      </c>
      <c r="F2289" s="11" t="s">
        <v>13947</v>
      </c>
      <c r="G2289" s="11" t="s">
        <v>10824</v>
      </c>
      <c r="H2289" s="11"/>
      <c r="I2289" s="11" t="s">
        <v>14000</v>
      </c>
      <c r="J2289" s="11" t="s">
        <v>14001</v>
      </c>
      <c r="K2289" s="11" t="s">
        <v>916</v>
      </c>
      <c r="L2289" s="11" t="s">
        <v>11088</v>
      </c>
      <c r="M2289" s="11"/>
      <c r="N2289" s="14" t="n">
        <v>1</v>
      </c>
      <c r="O2289" s="14" t="n">
        <v>3</v>
      </c>
      <c r="P2289" s="14" t="n">
        <v>4</v>
      </c>
      <c r="Q2289" s="14"/>
      <c r="R2289" s="12" t="n">
        <f aca="false">IF(OR(N2289="",P2289=""),"",ROUND(N2289*O2289/P2289,1))</f>
        <v>0.8</v>
      </c>
      <c r="S2289" s="13" t="n">
        <f aca="false">IF(R2289="","",IF(Q2289="Y",1,IF(P2289&gt;='Read me'!$B$16,3,IF(AND(R2289&gt;='Read me'!$B$14,P2289&lt;='Read me'!$B$15),1,2))))</f>
        <v>3</v>
      </c>
    </row>
    <row r="2290" customFormat="false" ht="23.85" hidden="false" customHeight="false" outlineLevel="0" collapsed="false">
      <c r="A2290" s="11" t="s">
        <v>14002</v>
      </c>
      <c r="B2290" s="11" t="s">
        <v>50</v>
      </c>
      <c r="C2290" s="11" t="s">
        <v>452</v>
      </c>
      <c r="D2290" s="11" t="s">
        <v>453</v>
      </c>
      <c r="E2290" s="11" t="s">
        <v>1187</v>
      </c>
      <c r="F2290" s="11" t="s">
        <v>13947</v>
      </c>
      <c r="G2290" s="11" t="s">
        <v>14003</v>
      </c>
      <c r="H2290" s="11" t="s">
        <v>14004</v>
      </c>
      <c r="I2290" s="11" t="s">
        <v>14005</v>
      </c>
      <c r="J2290" s="11" t="s">
        <v>14006</v>
      </c>
      <c r="K2290" s="11" t="s">
        <v>675</v>
      </c>
      <c r="L2290" s="11" t="s">
        <v>6801</v>
      </c>
      <c r="M2290" s="11"/>
      <c r="N2290" s="14" t="n">
        <v>1</v>
      </c>
      <c r="O2290" s="14" t="n">
        <v>2</v>
      </c>
      <c r="P2290" s="14" t="n">
        <v>4</v>
      </c>
      <c r="Q2290" s="14"/>
      <c r="R2290" s="12" t="n">
        <f aca="false">IF(OR(N2290="",P2290=""),"",ROUND(N2290*O2290/P2290,1))</f>
        <v>0.5</v>
      </c>
      <c r="S2290" s="13" t="n">
        <f aca="false">IF(R2290="","",IF(Q2290="Y",1,IF(P2290&gt;='Read me'!$B$16,3,IF(AND(R2290&gt;='Read me'!$B$14,P2290&lt;='Read me'!$B$15),1,2))))</f>
        <v>3</v>
      </c>
    </row>
    <row r="2291" customFormat="false" ht="35.05" hidden="false" customHeight="false" outlineLevel="0" collapsed="false">
      <c r="A2291" s="11" t="s">
        <v>14007</v>
      </c>
      <c r="B2291" s="11" t="s">
        <v>50</v>
      </c>
      <c r="C2291" s="11" t="s">
        <v>452</v>
      </c>
      <c r="D2291" s="11" t="s">
        <v>453</v>
      </c>
      <c r="E2291" s="11" t="s">
        <v>1133</v>
      </c>
      <c r="F2291" s="11" t="s">
        <v>13978</v>
      </c>
      <c r="G2291" s="11"/>
      <c r="H2291" s="11"/>
      <c r="I2291" s="11" t="s">
        <v>14008</v>
      </c>
      <c r="J2291" s="11" t="s">
        <v>14009</v>
      </c>
      <c r="K2291" s="11" t="s">
        <v>14010</v>
      </c>
      <c r="L2291" s="11" t="s">
        <v>14011</v>
      </c>
      <c r="M2291" s="11" t="s">
        <v>10463</v>
      </c>
      <c r="N2291" s="14" t="n">
        <v>2</v>
      </c>
      <c r="O2291" s="14" t="n">
        <v>3</v>
      </c>
      <c r="P2291" s="14" t="n">
        <v>4</v>
      </c>
      <c r="Q2291" s="14"/>
      <c r="R2291" s="12" t="n">
        <f aca="false">IF(OR(N2291="",P2291=""),"",ROUND(N2291*O2291/P2291,1))</f>
        <v>1.5</v>
      </c>
      <c r="S2291" s="13" t="n">
        <f aca="false">IF(R2291="","",IF(Q2291="Y",1,IF(P2291&gt;='Read me'!$B$16,3,IF(AND(R2291&gt;='Read me'!$B$14,P2291&lt;='Read me'!$B$15),1,2))))</f>
        <v>3</v>
      </c>
    </row>
    <row r="2292" customFormat="false" ht="23.85" hidden="false" customHeight="false" outlineLevel="0" collapsed="false">
      <c r="A2292" s="11" t="s">
        <v>14012</v>
      </c>
      <c r="B2292" s="11" t="s">
        <v>50</v>
      </c>
      <c r="C2292" s="11" t="s">
        <v>452</v>
      </c>
      <c r="D2292" s="11" t="s">
        <v>453</v>
      </c>
      <c r="E2292" s="11" t="s">
        <v>1372</v>
      </c>
      <c r="F2292" s="11" t="s">
        <v>14013</v>
      </c>
      <c r="G2292" s="11" t="s">
        <v>14014</v>
      </c>
      <c r="H2292" s="11"/>
      <c r="I2292" s="11" t="s">
        <v>14015</v>
      </c>
      <c r="J2292" s="11" t="s">
        <v>14016</v>
      </c>
      <c r="K2292" s="11" t="s">
        <v>4317</v>
      </c>
      <c r="L2292" s="11" t="s">
        <v>14017</v>
      </c>
      <c r="M2292" s="11"/>
      <c r="N2292" s="14" t="n">
        <v>2</v>
      </c>
      <c r="O2292" s="14" t="n">
        <v>2</v>
      </c>
      <c r="P2292" s="14" t="n">
        <v>2</v>
      </c>
      <c r="Q2292" s="14"/>
      <c r="R2292" s="12" t="n">
        <f aca="false">IF(OR(N2292="",P2292=""),"",ROUND(N2292*O2292/P2292,1))</f>
        <v>2</v>
      </c>
      <c r="S2292" s="13" t="n">
        <f aca="false">IF(R2292="","",IF(Q2292="Y",1,IF(P2292&gt;='Read me'!$B$16,3,IF(AND(R2292&gt;='Read me'!$B$14,P2292&lt;='Read me'!$B$15),1,2))))</f>
        <v>2</v>
      </c>
    </row>
    <row r="2293" customFormat="false" ht="23.85" hidden="false" customHeight="false" outlineLevel="0" collapsed="false">
      <c r="A2293" s="11" t="s">
        <v>14018</v>
      </c>
      <c r="B2293" s="11" t="s">
        <v>50</v>
      </c>
      <c r="C2293" s="11" t="s">
        <v>452</v>
      </c>
      <c r="D2293" s="11" t="s">
        <v>453</v>
      </c>
      <c r="E2293" s="11" t="s">
        <v>1372</v>
      </c>
      <c r="F2293" s="11" t="s">
        <v>14019</v>
      </c>
      <c r="G2293" s="11" t="s">
        <v>14020</v>
      </c>
      <c r="H2293" s="11"/>
      <c r="I2293" s="11" t="s">
        <v>14021</v>
      </c>
      <c r="J2293" s="11" t="s">
        <v>14022</v>
      </c>
      <c r="K2293" s="11" t="s">
        <v>1151</v>
      </c>
      <c r="L2293" s="11" t="s">
        <v>10768</v>
      </c>
      <c r="M2293" s="11"/>
      <c r="N2293" s="14" t="n">
        <v>1</v>
      </c>
      <c r="O2293" s="14" t="n">
        <v>2</v>
      </c>
      <c r="P2293" s="14" t="n">
        <v>2</v>
      </c>
      <c r="Q2293" s="14"/>
      <c r="R2293" s="12" t="n">
        <f aca="false">IF(OR(N2293="",P2293=""),"",ROUND(N2293*O2293/P2293,1))</f>
        <v>1</v>
      </c>
      <c r="S2293" s="13" t="n">
        <f aca="false">IF(R2293="","",IF(Q2293="Y",1,IF(P2293&gt;='Read me'!$B$16,3,IF(AND(R2293&gt;='Read me'!$B$14,P2293&lt;='Read me'!$B$15),1,2))))</f>
        <v>2</v>
      </c>
    </row>
    <row r="2294" customFormat="false" ht="35.05" hidden="false" customHeight="false" outlineLevel="0" collapsed="false">
      <c r="A2294" s="11" t="s">
        <v>14023</v>
      </c>
      <c r="B2294" s="11" t="s">
        <v>50</v>
      </c>
      <c r="C2294" s="11" t="s">
        <v>452</v>
      </c>
      <c r="D2294" s="11" t="s">
        <v>453</v>
      </c>
      <c r="E2294" s="11" t="s">
        <v>1372</v>
      </c>
      <c r="F2294" s="11" t="s">
        <v>14024</v>
      </c>
      <c r="G2294" s="11"/>
      <c r="H2294" s="11"/>
      <c r="I2294" s="11" t="s">
        <v>14025</v>
      </c>
      <c r="J2294" s="11" t="s">
        <v>14026</v>
      </c>
      <c r="K2294" s="11" t="s">
        <v>4369</v>
      </c>
      <c r="L2294" s="11" t="s">
        <v>14027</v>
      </c>
      <c r="M2294" s="11" t="s">
        <v>10463</v>
      </c>
      <c r="N2294" s="14" t="n">
        <v>1</v>
      </c>
      <c r="O2294" s="14" t="n">
        <v>1</v>
      </c>
      <c r="P2294" s="14" t="n">
        <v>1</v>
      </c>
      <c r="Q2294" s="14"/>
      <c r="R2294" s="12" t="n">
        <f aca="false">IF(OR(N2294="",P2294=""),"",ROUND(N2294*O2294/P2294,1))</f>
        <v>1</v>
      </c>
      <c r="S2294" s="13" t="n">
        <f aca="false">IF(R2294="","",IF(Q2294="Y",1,IF(P2294&gt;='Read me'!$B$16,3,IF(AND(R2294&gt;='Read me'!$B$14,P2294&lt;='Read me'!$B$15),1,2))))</f>
        <v>2</v>
      </c>
    </row>
    <row r="2295" customFormat="false" ht="23.85" hidden="false" customHeight="false" outlineLevel="0" collapsed="false">
      <c r="A2295" s="11" t="s">
        <v>14028</v>
      </c>
      <c r="B2295" s="11" t="s">
        <v>50</v>
      </c>
      <c r="C2295" s="11" t="s">
        <v>455</v>
      </c>
      <c r="D2295" s="11" t="s">
        <v>456</v>
      </c>
      <c r="E2295" s="11" t="s">
        <v>1187</v>
      </c>
      <c r="F2295" s="11" t="s">
        <v>11689</v>
      </c>
      <c r="G2295" s="11" t="s">
        <v>11690</v>
      </c>
      <c r="H2295" s="11" t="s">
        <v>11691</v>
      </c>
      <c r="I2295" s="11" t="s">
        <v>14029</v>
      </c>
      <c r="J2295" s="11" t="s">
        <v>14030</v>
      </c>
      <c r="K2295" s="11" t="s">
        <v>11694</v>
      </c>
      <c r="L2295" s="11" t="s">
        <v>14031</v>
      </c>
      <c r="M2295" s="11"/>
      <c r="N2295" s="14" t="n">
        <v>4</v>
      </c>
      <c r="O2295" s="14" t="n">
        <v>3</v>
      </c>
      <c r="P2295" s="14" t="n">
        <v>2</v>
      </c>
      <c r="Q2295" s="14"/>
      <c r="R2295" s="12" t="n">
        <f aca="false">IF(OR(N2295="",P2295=""),"",ROUND(N2295*O2295/P2295,1))</f>
        <v>6</v>
      </c>
      <c r="S2295" s="13" t="n">
        <f aca="false">IF(R2295="","",IF(Q2295="Y",1,IF(P2295&gt;='Read me'!$B$16,3,IF(AND(R2295&gt;='Read me'!$B$14,P2295&lt;='Read me'!$B$15),1,2))))</f>
        <v>1</v>
      </c>
    </row>
    <row r="2296" customFormat="false" ht="35.05" hidden="false" customHeight="false" outlineLevel="0" collapsed="false">
      <c r="A2296" s="11" t="s">
        <v>14032</v>
      </c>
      <c r="B2296" s="11" t="s">
        <v>50</v>
      </c>
      <c r="C2296" s="11" t="s">
        <v>455</v>
      </c>
      <c r="D2296" s="11" t="s">
        <v>456</v>
      </c>
      <c r="E2296" s="11" t="s">
        <v>1187</v>
      </c>
      <c r="F2296" s="11" t="s">
        <v>14033</v>
      </c>
      <c r="G2296" s="11" t="s">
        <v>14034</v>
      </c>
      <c r="H2296" s="11" t="s">
        <v>14035</v>
      </c>
      <c r="I2296" s="11" t="s">
        <v>14036</v>
      </c>
      <c r="J2296" s="11" t="s">
        <v>14037</v>
      </c>
      <c r="K2296" s="11" t="s">
        <v>14038</v>
      </c>
      <c r="L2296" s="11" t="s">
        <v>14039</v>
      </c>
      <c r="M2296" s="11" t="s">
        <v>10463</v>
      </c>
      <c r="N2296" s="14" t="n">
        <v>1</v>
      </c>
      <c r="O2296" s="14" t="n">
        <v>2</v>
      </c>
      <c r="P2296" s="14" t="n">
        <v>4</v>
      </c>
      <c r="Q2296" s="14"/>
      <c r="R2296" s="12" t="n">
        <f aca="false">IF(OR(N2296="",P2296=""),"",ROUND(N2296*O2296/P2296,1))</f>
        <v>0.5</v>
      </c>
      <c r="S2296" s="13" t="n">
        <f aca="false">IF(R2296="","",IF(Q2296="Y",1,IF(P2296&gt;='Read me'!$B$16,3,IF(AND(R2296&gt;='Read me'!$B$14,P2296&lt;='Read me'!$B$15),1,2))))</f>
        <v>3</v>
      </c>
    </row>
    <row r="2297" customFormat="false" ht="35.05" hidden="false" customHeight="false" outlineLevel="0" collapsed="false">
      <c r="A2297" s="11" t="s">
        <v>14040</v>
      </c>
      <c r="B2297" s="11" t="s">
        <v>50</v>
      </c>
      <c r="C2297" s="11" t="s">
        <v>455</v>
      </c>
      <c r="D2297" s="11" t="s">
        <v>456</v>
      </c>
      <c r="E2297" s="11" t="s">
        <v>1187</v>
      </c>
      <c r="F2297" s="11" t="s">
        <v>14041</v>
      </c>
      <c r="G2297" s="11" t="s">
        <v>14042</v>
      </c>
      <c r="H2297" s="11"/>
      <c r="I2297" s="11" t="s">
        <v>14043</v>
      </c>
      <c r="J2297" s="11" t="s">
        <v>14044</v>
      </c>
      <c r="K2297" s="11" t="s">
        <v>14045</v>
      </c>
      <c r="L2297" s="11" t="s">
        <v>14046</v>
      </c>
      <c r="M2297" s="11"/>
      <c r="N2297" s="14" t="n">
        <v>2</v>
      </c>
      <c r="O2297" s="14" t="n">
        <v>2</v>
      </c>
      <c r="P2297" s="14" t="n">
        <v>1</v>
      </c>
      <c r="Q2297" s="14"/>
      <c r="R2297" s="12" t="n">
        <f aca="false">IF(OR(N2297="",P2297=""),"",ROUND(N2297*O2297/P2297,1))</f>
        <v>4</v>
      </c>
      <c r="S2297" s="13" t="n">
        <f aca="false">IF(R2297="","",IF(Q2297="Y",1,IF(P2297&gt;='Read me'!$B$16,3,IF(AND(R2297&gt;='Read me'!$B$14,P2297&lt;='Read me'!$B$15),1,2))))</f>
        <v>2</v>
      </c>
    </row>
    <row r="2298" customFormat="false" ht="23.85" hidden="false" customHeight="false" outlineLevel="0" collapsed="false">
      <c r="A2298" s="11" t="s">
        <v>14047</v>
      </c>
      <c r="B2298" s="11" t="s">
        <v>50</v>
      </c>
      <c r="C2298" s="11" t="s">
        <v>455</v>
      </c>
      <c r="D2298" s="11" t="s">
        <v>456</v>
      </c>
      <c r="E2298" s="11" t="s">
        <v>1187</v>
      </c>
      <c r="F2298" s="11" t="s">
        <v>14048</v>
      </c>
      <c r="G2298" s="11" t="s">
        <v>14049</v>
      </c>
      <c r="H2298" s="11"/>
      <c r="I2298" s="11" t="s">
        <v>14050</v>
      </c>
      <c r="J2298" s="11" t="s">
        <v>14051</v>
      </c>
      <c r="K2298" s="11" t="s">
        <v>14052</v>
      </c>
      <c r="L2298" s="11" t="s">
        <v>14053</v>
      </c>
      <c r="M2298" s="11"/>
      <c r="N2298" s="14" t="n">
        <v>2</v>
      </c>
      <c r="O2298" s="14" t="n">
        <v>3</v>
      </c>
      <c r="P2298" s="14" t="n">
        <v>3</v>
      </c>
      <c r="Q2298" s="14"/>
      <c r="R2298" s="12" t="n">
        <f aca="false">IF(OR(N2298="",P2298=""),"",ROUND(N2298*O2298/P2298,1))</f>
        <v>2</v>
      </c>
      <c r="S2298" s="13" t="n">
        <f aca="false">IF(R2298="","",IF(Q2298="Y",1,IF(P2298&gt;='Read me'!$B$16,3,IF(AND(R2298&gt;='Read me'!$B$14,P2298&lt;='Read me'!$B$15),1,2))))</f>
        <v>2</v>
      </c>
    </row>
    <row r="2299" customFormat="false" ht="68.65" hidden="false" customHeight="false" outlineLevel="0" collapsed="false">
      <c r="A2299" s="11" t="s">
        <v>14054</v>
      </c>
      <c r="B2299" s="11" t="s">
        <v>50</v>
      </c>
      <c r="C2299" s="11" t="s">
        <v>455</v>
      </c>
      <c r="D2299" s="11" t="s">
        <v>456</v>
      </c>
      <c r="E2299" s="11" t="s">
        <v>1187</v>
      </c>
      <c r="F2299" s="11" t="s">
        <v>14055</v>
      </c>
      <c r="G2299" s="11" t="s">
        <v>14056</v>
      </c>
      <c r="H2299" s="11" t="s">
        <v>13158</v>
      </c>
      <c r="I2299" s="11" t="s">
        <v>14057</v>
      </c>
      <c r="J2299" s="11" t="s">
        <v>14058</v>
      </c>
      <c r="K2299" s="11" t="s">
        <v>2904</v>
      </c>
      <c r="L2299" s="11" t="s">
        <v>11035</v>
      </c>
      <c r="M2299" s="11" t="s">
        <v>10693</v>
      </c>
      <c r="N2299" s="14" t="n">
        <v>2</v>
      </c>
      <c r="O2299" s="14" t="n">
        <v>4</v>
      </c>
      <c r="P2299" s="14" t="n">
        <v>4</v>
      </c>
      <c r="Q2299" s="14"/>
      <c r="R2299" s="12" t="n">
        <f aca="false">IF(OR(N2299="",P2299=""),"",ROUND(N2299*O2299/P2299,1))</f>
        <v>2</v>
      </c>
      <c r="S2299" s="13" t="n">
        <f aca="false">IF(R2299="","",IF(Q2299="Y",1,IF(P2299&gt;='Read me'!$B$16,3,IF(AND(R2299&gt;='Read me'!$B$14,P2299&lt;='Read me'!$B$15),1,2))))</f>
        <v>3</v>
      </c>
    </row>
    <row r="2300" customFormat="false" ht="23.85" hidden="false" customHeight="false" outlineLevel="0" collapsed="false">
      <c r="A2300" s="11" t="s">
        <v>14059</v>
      </c>
      <c r="B2300" s="11" t="s">
        <v>50</v>
      </c>
      <c r="C2300" s="11" t="s">
        <v>455</v>
      </c>
      <c r="D2300" s="11" t="s">
        <v>456</v>
      </c>
      <c r="E2300" s="11" t="s">
        <v>1133</v>
      </c>
      <c r="F2300" s="11" t="s">
        <v>11723</v>
      </c>
      <c r="G2300" s="11"/>
      <c r="H2300" s="11"/>
      <c r="I2300" s="11" t="s">
        <v>14060</v>
      </c>
      <c r="J2300" s="11" t="s">
        <v>14061</v>
      </c>
      <c r="K2300" s="11" t="s">
        <v>14062</v>
      </c>
      <c r="L2300" s="11" t="s">
        <v>14063</v>
      </c>
      <c r="M2300" s="11"/>
      <c r="N2300" s="14" t="n">
        <v>4</v>
      </c>
      <c r="O2300" s="14" t="n">
        <v>2</v>
      </c>
      <c r="P2300" s="14" t="n">
        <v>1</v>
      </c>
      <c r="Q2300" s="14"/>
      <c r="R2300" s="12" t="n">
        <f aca="false">IF(OR(N2300="",P2300=""),"",ROUND(N2300*O2300/P2300,1))</f>
        <v>8</v>
      </c>
      <c r="S2300" s="13" t="n">
        <f aca="false">IF(R2300="","",IF(Q2300="Y",1,IF(P2300&gt;='Read me'!$B$16,3,IF(AND(R2300&gt;='Read me'!$B$14,P2300&lt;='Read me'!$B$15),1,2))))</f>
        <v>1</v>
      </c>
    </row>
    <row r="2301" customFormat="false" ht="23.85" hidden="false" customHeight="false" outlineLevel="0" collapsed="false">
      <c r="A2301" s="11" t="s">
        <v>14064</v>
      </c>
      <c r="B2301" s="11" t="s">
        <v>50</v>
      </c>
      <c r="C2301" s="11" t="s">
        <v>455</v>
      </c>
      <c r="D2301" s="11" t="s">
        <v>456</v>
      </c>
      <c r="E2301" s="11" t="s">
        <v>1133</v>
      </c>
      <c r="F2301" s="11" t="s">
        <v>14065</v>
      </c>
      <c r="G2301" s="11" t="s">
        <v>14066</v>
      </c>
      <c r="H2301" s="11"/>
      <c r="I2301" s="11" t="s">
        <v>512</v>
      </c>
      <c r="J2301" s="11" t="s">
        <v>14067</v>
      </c>
      <c r="K2301" s="11" t="s">
        <v>14068</v>
      </c>
      <c r="L2301" s="11" t="s">
        <v>14069</v>
      </c>
      <c r="M2301" s="11"/>
      <c r="N2301" s="14" t="n">
        <v>2</v>
      </c>
      <c r="O2301" s="14" t="n">
        <v>3</v>
      </c>
      <c r="P2301" s="14" t="n">
        <v>1</v>
      </c>
      <c r="Q2301" s="14"/>
      <c r="R2301" s="12" t="n">
        <f aca="false">IF(OR(N2301="",P2301=""),"",ROUND(N2301*O2301/P2301,1))</f>
        <v>6</v>
      </c>
      <c r="S2301" s="13" t="n">
        <f aca="false">IF(R2301="","",IF(Q2301="Y",1,IF(P2301&gt;='Read me'!$B$16,3,IF(AND(R2301&gt;='Read me'!$B$14,P2301&lt;='Read me'!$B$15),1,2))))</f>
        <v>1</v>
      </c>
    </row>
    <row r="2302" customFormat="false" ht="23.85" hidden="false" customHeight="false" outlineLevel="0" collapsed="false">
      <c r="A2302" s="11" t="s">
        <v>14070</v>
      </c>
      <c r="B2302" s="11" t="s">
        <v>50</v>
      </c>
      <c r="C2302" s="11" t="s">
        <v>455</v>
      </c>
      <c r="D2302" s="11" t="s">
        <v>456</v>
      </c>
      <c r="E2302" s="11" t="s">
        <v>1372</v>
      </c>
      <c r="F2302" s="11" t="s">
        <v>14071</v>
      </c>
      <c r="G2302" s="11" t="s">
        <v>14072</v>
      </c>
      <c r="H2302" s="11"/>
      <c r="I2302" s="11" t="s">
        <v>14073</v>
      </c>
      <c r="J2302" s="11" t="s">
        <v>14074</v>
      </c>
      <c r="K2302" s="11" t="s">
        <v>14075</v>
      </c>
      <c r="L2302" s="11" t="s">
        <v>14076</v>
      </c>
      <c r="M2302" s="11"/>
      <c r="N2302" s="14" t="n">
        <v>3</v>
      </c>
      <c r="O2302" s="14" t="n">
        <v>3</v>
      </c>
      <c r="P2302" s="14" t="n">
        <v>1</v>
      </c>
      <c r="Q2302" s="14"/>
      <c r="R2302" s="12" t="n">
        <f aca="false">IF(OR(N2302="",P2302=""),"",ROUND(N2302*O2302/P2302,1))</f>
        <v>9</v>
      </c>
      <c r="S2302" s="13" t="n">
        <f aca="false">IF(R2302="","",IF(Q2302="Y",1,IF(P2302&gt;='Read me'!$B$16,3,IF(AND(R2302&gt;='Read me'!$B$14,P2302&lt;='Read me'!$B$15),1,2))))</f>
        <v>1</v>
      </c>
    </row>
    <row r="2303" customFormat="false" ht="23.85" hidden="false" customHeight="false" outlineLevel="0" collapsed="false">
      <c r="A2303" s="11" t="s">
        <v>14077</v>
      </c>
      <c r="B2303" s="11" t="s">
        <v>50</v>
      </c>
      <c r="C2303" s="11" t="s">
        <v>455</v>
      </c>
      <c r="D2303" s="11" t="s">
        <v>456</v>
      </c>
      <c r="E2303" s="11" t="s">
        <v>1372</v>
      </c>
      <c r="F2303" s="11" t="s">
        <v>14071</v>
      </c>
      <c r="G2303" s="11" t="s">
        <v>14078</v>
      </c>
      <c r="H2303" s="11"/>
      <c r="I2303" s="11" t="s">
        <v>14079</v>
      </c>
      <c r="J2303" s="11" t="s">
        <v>14080</v>
      </c>
      <c r="K2303" s="11" t="s">
        <v>14075</v>
      </c>
      <c r="L2303" s="11" t="s">
        <v>14081</v>
      </c>
      <c r="M2303" s="11"/>
      <c r="N2303" s="14" t="n">
        <v>2</v>
      </c>
      <c r="O2303" s="14" t="n">
        <v>3</v>
      </c>
      <c r="P2303" s="14" t="n">
        <v>2</v>
      </c>
      <c r="Q2303" s="14"/>
      <c r="R2303" s="12" t="n">
        <f aca="false">IF(OR(N2303="",P2303=""),"",ROUND(N2303*O2303/P2303,1))</f>
        <v>3</v>
      </c>
      <c r="S2303" s="13" t="n">
        <f aca="false">IF(R2303="","",IF(Q2303="Y",1,IF(P2303&gt;='Read me'!$B$16,3,IF(AND(R2303&gt;='Read me'!$B$14,P2303&lt;='Read me'!$B$15),1,2))))</f>
        <v>2</v>
      </c>
    </row>
    <row r="2304" customFormat="false" ht="23.85" hidden="false" customHeight="false" outlineLevel="0" collapsed="false">
      <c r="A2304" s="11" t="s">
        <v>14082</v>
      </c>
      <c r="B2304" s="11" t="s">
        <v>50</v>
      </c>
      <c r="C2304" s="11" t="s">
        <v>455</v>
      </c>
      <c r="D2304" s="11" t="s">
        <v>456</v>
      </c>
      <c r="E2304" s="11" t="s">
        <v>1372</v>
      </c>
      <c r="F2304" s="11" t="s">
        <v>14083</v>
      </c>
      <c r="G2304" s="11" t="s">
        <v>14084</v>
      </c>
      <c r="H2304" s="11"/>
      <c r="I2304" s="11" t="s">
        <v>14085</v>
      </c>
      <c r="J2304" s="11" t="s">
        <v>14086</v>
      </c>
      <c r="K2304" s="11" t="s">
        <v>14075</v>
      </c>
      <c r="L2304" s="11" t="s">
        <v>14087</v>
      </c>
      <c r="M2304" s="11"/>
      <c r="N2304" s="14" t="n">
        <v>2</v>
      </c>
      <c r="O2304" s="14" t="n">
        <v>3</v>
      </c>
      <c r="P2304" s="14" t="n">
        <v>1</v>
      </c>
      <c r="Q2304" s="14"/>
      <c r="R2304" s="12" t="n">
        <f aca="false">IF(OR(N2304="",P2304=""),"",ROUND(N2304*O2304/P2304,1))</f>
        <v>6</v>
      </c>
      <c r="S2304" s="13" t="n">
        <f aca="false">IF(R2304="","",IF(Q2304="Y",1,IF(P2304&gt;='Read me'!$B$16,3,IF(AND(R2304&gt;='Read me'!$B$14,P2304&lt;='Read me'!$B$15),1,2))))</f>
        <v>1</v>
      </c>
    </row>
    <row r="2305" customFormat="false" ht="35.05" hidden="false" customHeight="false" outlineLevel="0" collapsed="false">
      <c r="A2305" s="11" t="s">
        <v>14088</v>
      </c>
      <c r="B2305" s="11" t="s">
        <v>50</v>
      </c>
      <c r="C2305" s="11" t="s">
        <v>455</v>
      </c>
      <c r="D2305" s="11" t="s">
        <v>456</v>
      </c>
      <c r="E2305" s="11" t="s">
        <v>1372</v>
      </c>
      <c r="F2305" s="11" t="s">
        <v>11742</v>
      </c>
      <c r="G2305" s="11"/>
      <c r="H2305" s="11"/>
      <c r="I2305" s="11" t="s">
        <v>14089</v>
      </c>
      <c r="J2305" s="11" t="s">
        <v>14090</v>
      </c>
      <c r="K2305" s="11" t="s">
        <v>11746</v>
      </c>
      <c r="L2305" s="11" t="s">
        <v>13858</v>
      </c>
      <c r="M2305" s="11" t="s">
        <v>10463</v>
      </c>
      <c r="N2305" s="14" t="n">
        <v>3</v>
      </c>
      <c r="O2305" s="14" t="n">
        <v>3</v>
      </c>
      <c r="P2305" s="14" t="n">
        <v>3</v>
      </c>
      <c r="Q2305" s="14"/>
      <c r="R2305" s="12" t="n">
        <f aca="false">IF(OR(N2305="",P2305=""),"",ROUND(N2305*O2305/P2305,1))</f>
        <v>3</v>
      </c>
      <c r="S2305" s="13" t="n">
        <f aca="false">IF(R2305="","",IF(Q2305="Y",1,IF(P2305&gt;='Read me'!$B$16,3,IF(AND(R2305&gt;='Read me'!$B$14,P2305&lt;='Read me'!$B$15),1,2))))</f>
        <v>2</v>
      </c>
    </row>
    <row r="2306" customFormat="false" ht="23.85" hidden="false" customHeight="false" outlineLevel="0" collapsed="false">
      <c r="A2306" s="11" t="s">
        <v>14091</v>
      </c>
      <c r="B2306" s="11" t="s">
        <v>50</v>
      </c>
      <c r="C2306" s="11" t="s">
        <v>455</v>
      </c>
      <c r="D2306" s="11" t="s">
        <v>456</v>
      </c>
      <c r="E2306" s="11" t="s">
        <v>1372</v>
      </c>
      <c r="F2306" s="11" t="s">
        <v>14092</v>
      </c>
      <c r="G2306" s="11" t="s">
        <v>14093</v>
      </c>
      <c r="H2306" s="11"/>
      <c r="I2306" s="11" t="s">
        <v>11751</v>
      </c>
      <c r="J2306" s="11" t="s">
        <v>14094</v>
      </c>
      <c r="K2306" s="11" t="s">
        <v>11753</v>
      </c>
      <c r="L2306" s="11" t="s">
        <v>14095</v>
      </c>
      <c r="M2306" s="11"/>
      <c r="N2306" s="14" t="n">
        <v>3</v>
      </c>
      <c r="O2306" s="14" t="n">
        <v>3</v>
      </c>
      <c r="P2306" s="14" t="n">
        <v>1</v>
      </c>
      <c r="Q2306" s="14"/>
      <c r="R2306" s="12" t="n">
        <f aca="false">IF(OR(N2306="",P2306=""),"",ROUND(N2306*O2306/P2306,1))</f>
        <v>9</v>
      </c>
      <c r="S2306" s="13" t="n">
        <f aca="false">IF(R2306="","",IF(Q2306="Y",1,IF(P2306&gt;='Read me'!$B$16,3,IF(AND(R2306&gt;='Read me'!$B$14,P2306&lt;='Read me'!$B$15),1,2))))</f>
        <v>1</v>
      </c>
    </row>
    <row r="2307" customFormat="false" ht="35.05" hidden="false" customHeight="false" outlineLevel="0" collapsed="false">
      <c r="A2307" s="11" t="s">
        <v>14096</v>
      </c>
      <c r="B2307" s="11" t="s">
        <v>50</v>
      </c>
      <c r="C2307" s="11" t="s">
        <v>455</v>
      </c>
      <c r="D2307" s="11" t="s">
        <v>456</v>
      </c>
      <c r="E2307" s="11" t="s">
        <v>1372</v>
      </c>
      <c r="F2307" s="11" t="s">
        <v>14092</v>
      </c>
      <c r="G2307" s="11" t="s">
        <v>14097</v>
      </c>
      <c r="H2307" s="11" t="s">
        <v>14098</v>
      </c>
      <c r="I2307" s="11" t="s">
        <v>14099</v>
      </c>
      <c r="J2307" s="11" t="s">
        <v>14100</v>
      </c>
      <c r="K2307" s="11" t="s">
        <v>916</v>
      </c>
      <c r="L2307" s="11" t="s">
        <v>14101</v>
      </c>
      <c r="M2307" s="11" t="s">
        <v>10463</v>
      </c>
      <c r="N2307" s="14" t="n">
        <v>1</v>
      </c>
      <c r="O2307" s="14" t="n">
        <v>3</v>
      </c>
      <c r="P2307" s="14" t="n">
        <v>5</v>
      </c>
      <c r="Q2307" s="14"/>
      <c r="R2307" s="12" t="n">
        <f aca="false">IF(OR(N2307="",P2307=""),"",ROUND(N2307*O2307/P2307,1))</f>
        <v>0.6</v>
      </c>
      <c r="S2307" s="13" t="n">
        <f aca="false">IF(R2307="","",IF(Q2307="Y",1,IF(P2307&gt;='Read me'!$B$16,3,IF(AND(R2307&gt;='Read me'!$B$14,P2307&lt;='Read me'!$B$15),1,2))))</f>
        <v>3</v>
      </c>
    </row>
    <row r="2308" customFormat="false" ht="35.05" hidden="false" customHeight="false" outlineLevel="0" collapsed="false">
      <c r="A2308" s="11" t="s">
        <v>14102</v>
      </c>
      <c r="B2308" s="11" t="s">
        <v>50</v>
      </c>
      <c r="C2308" s="11" t="s">
        <v>455</v>
      </c>
      <c r="D2308" s="11" t="s">
        <v>456</v>
      </c>
      <c r="E2308" s="11" t="s">
        <v>1372</v>
      </c>
      <c r="F2308" s="11" t="s">
        <v>14033</v>
      </c>
      <c r="G2308" s="11"/>
      <c r="H2308" s="11"/>
      <c r="I2308" s="11" t="s">
        <v>14103</v>
      </c>
      <c r="J2308" s="11" t="s">
        <v>14104</v>
      </c>
      <c r="K2308" s="11" t="s">
        <v>11767</v>
      </c>
      <c r="L2308" s="11" t="s">
        <v>14105</v>
      </c>
      <c r="M2308" s="11" t="s">
        <v>10463</v>
      </c>
      <c r="N2308" s="14" t="n">
        <v>2</v>
      </c>
      <c r="O2308" s="14" t="n">
        <v>2</v>
      </c>
      <c r="P2308" s="14" t="n">
        <v>3</v>
      </c>
      <c r="Q2308" s="14"/>
      <c r="R2308" s="12" t="n">
        <f aca="false">IF(OR(N2308="",P2308=""),"",ROUND(N2308*O2308/P2308,1))</f>
        <v>1.3</v>
      </c>
      <c r="S2308" s="13" t="n">
        <f aca="false">IF(R2308="","",IF(Q2308="Y",1,IF(P2308&gt;='Read me'!$B$16,3,IF(AND(R2308&gt;='Read me'!$B$14,P2308&lt;='Read me'!$B$15),1,2))))</f>
        <v>2</v>
      </c>
    </row>
    <row r="2309" customFormat="false" ht="35.05" hidden="false" customHeight="false" outlineLevel="0" collapsed="false">
      <c r="A2309" s="11" t="s">
        <v>14106</v>
      </c>
      <c r="B2309" s="11" t="s">
        <v>50</v>
      </c>
      <c r="C2309" s="11" t="s">
        <v>455</v>
      </c>
      <c r="D2309" s="11" t="s">
        <v>456</v>
      </c>
      <c r="E2309" s="11" t="s">
        <v>1372</v>
      </c>
      <c r="F2309" s="11" t="s">
        <v>14107</v>
      </c>
      <c r="G2309" s="11"/>
      <c r="H2309" s="11"/>
      <c r="I2309" s="11" t="s">
        <v>14108</v>
      </c>
      <c r="J2309" s="11" t="s">
        <v>14109</v>
      </c>
      <c r="K2309" s="11" t="s">
        <v>9605</v>
      </c>
      <c r="L2309" s="11" t="s">
        <v>14110</v>
      </c>
      <c r="M2309" s="11" t="s">
        <v>10463</v>
      </c>
      <c r="N2309" s="14" t="n">
        <v>1</v>
      </c>
      <c r="O2309" s="14" t="n">
        <v>2</v>
      </c>
      <c r="P2309" s="14" t="n">
        <v>3</v>
      </c>
      <c r="Q2309" s="14"/>
      <c r="R2309" s="12" t="n">
        <f aca="false">IF(OR(N2309="",P2309=""),"",ROUND(N2309*O2309/P2309,1))</f>
        <v>0.7</v>
      </c>
      <c r="S2309" s="13" t="n">
        <f aca="false">IF(R2309="","",IF(Q2309="Y",1,IF(P2309&gt;='Read me'!$B$16,3,IF(AND(R2309&gt;='Read me'!$B$14,P2309&lt;='Read me'!$B$15),1,2))))</f>
        <v>2</v>
      </c>
    </row>
    <row r="2310" customFormat="false" ht="23.85" hidden="false" customHeight="false" outlineLevel="0" collapsed="false">
      <c r="A2310" s="11" t="s">
        <v>14111</v>
      </c>
      <c r="B2310" s="11" t="s">
        <v>50</v>
      </c>
      <c r="C2310" s="11" t="s">
        <v>455</v>
      </c>
      <c r="D2310" s="11" t="s">
        <v>456</v>
      </c>
      <c r="E2310" s="11" t="s">
        <v>1372</v>
      </c>
      <c r="F2310" s="11" t="s">
        <v>14112</v>
      </c>
      <c r="G2310" s="11"/>
      <c r="H2310" s="11"/>
      <c r="I2310" s="11" t="s">
        <v>12282</v>
      </c>
      <c r="J2310" s="11" t="s">
        <v>14113</v>
      </c>
      <c r="K2310" s="11" t="s">
        <v>12284</v>
      </c>
      <c r="L2310" s="11" t="s">
        <v>14114</v>
      </c>
      <c r="M2310" s="11"/>
      <c r="N2310" s="14" t="n">
        <v>3</v>
      </c>
      <c r="O2310" s="14" t="n">
        <v>2</v>
      </c>
      <c r="P2310" s="14" t="n">
        <v>1</v>
      </c>
      <c r="Q2310" s="14"/>
      <c r="R2310" s="12" t="n">
        <f aca="false">IF(OR(N2310="",P2310=""),"",ROUND(N2310*O2310/P2310,1))</f>
        <v>6</v>
      </c>
      <c r="S2310" s="13" t="n">
        <f aca="false">IF(R2310="","",IF(Q2310="Y",1,IF(P2310&gt;='Read me'!$B$16,3,IF(AND(R2310&gt;='Read me'!$B$14,P2310&lt;='Read me'!$B$15),1,2))))</f>
        <v>1</v>
      </c>
    </row>
    <row r="2311" customFormat="false" ht="23.85" hidden="false" customHeight="false" outlineLevel="0" collapsed="false">
      <c r="A2311" s="11" t="s">
        <v>14115</v>
      </c>
      <c r="B2311" s="11" t="s">
        <v>50</v>
      </c>
      <c r="C2311" s="11" t="s">
        <v>455</v>
      </c>
      <c r="D2311" s="11" t="s">
        <v>456</v>
      </c>
      <c r="E2311" s="11" t="s">
        <v>1372</v>
      </c>
      <c r="F2311" s="11" t="s">
        <v>14116</v>
      </c>
      <c r="G2311" s="11" t="s">
        <v>14117</v>
      </c>
      <c r="H2311" s="11"/>
      <c r="I2311" s="11" t="s">
        <v>14118</v>
      </c>
      <c r="J2311" s="11" t="s">
        <v>14119</v>
      </c>
      <c r="K2311" s="11" t="s">
        <v>11806</v>
      </c>
      <c r="L2311" s="11" t="s">
        <v>14120</v>
      </c>
      <c r="M2311" s="11"/>
      <c r="N2311" s="14" t="n">
        <v>2</v>
      </c>
      <c r="O2311" s="14" t="n">
        <v>2</v>
      </c>
      <c r="P2311" s="14" t="n">
        <v>1</v>
      </c>
      <c r="Q2311" s="14"/>
      <c r="R2311" s="12" t="n">
        <f aca="false">IF(OR(N2311="",P2311=""),"",ROUND(N2311*O2311/P2311,1))</f>
        <v>4</v>
      </c>
      <c r="S2311" s="13" t="n">
        <f aca="false">IF(R2311="","",IF(Q2311="Y",1,IF(P2311&gt;='Read me'!$B$16,3,IF(AND(R2311&gt;='Read me'!$B$14,P2311&lt;='Read me'!$B$15),1,2))))</f>
        <v>2</v>
      </c>
    </row>
    <row r="2312" customFormat="false" ht="23.85" hidden="false" customHeight="false" outlineLevel="0" collapsed="false">
      <c r="A2312" s="11" t="s">
        <v>14121</v>
      </c>
      <c r="B2312" s="11" t="s">
        <v>50</v>
      </c>
      <c r="C2312" s="11" t="s">
        <v>455</v>
      </c>
      <c r="D2312" s="11" t="s">
        <v>456</v>
      </c>
      <c r="E2312" s="11" t="s">
        <v>1372</v>
      </c>
      <c r="F2312" s="11" t="s">
        <v>14116</v>
      </c>
      <c r="G2312" s="11" t="s">
        <v>11797</v>
      </c>
      <c r="H2312" s="11"/>
      <c r="I2312" s="11" t="s">
        <v>14122</v>
      </c>
      <c r="J2312" s="11" t="s">
        <v>14123</v>
      </c>
      <c r="K2312" s="11" t="s">
        <v>13940</v>
      </c>
      <c r="L2312" s="11" t="s">
        <v>14120</v>
      </c>
      <c r="M2312" s="11"/>
      <c r="N2312" s="14" t="n">
        <v>1</v>
      </c>
      <c r="O2312" s="14" t="n">
        <v>1</v>
      </c>
      <c r="P2312" s="14" t="n">
        <v>1</v>
      </c>
      <c r="Q2312" s="14"/>
      <c r="R2312" s="12" t="n">
        <f aca="false">IF(OR(N2312="",P2312=""),"",ROUND(N2312*O2312/P2312,1))</f>
        <v>1</v>
      </c>
      <c r="S2312" s="13" t="n">
        <f aca="false">IF(R2312="","",IF(Q2312="Y",1,IF(P2312&gt;='Read me'!$B$16,3,IF(AND(R2312&gt;='Read me'!$B$14,P2312&lt;='Read me'!$B$15),1,2))))</f>
        <v>2</v>
      </c>
    </row>
    <row r="2313" customFormat="false" ht="23.85" hidden="false" customHeight="false" outlineLevel="0" collapsed="false">
      <c r="A2313" s="11" t="s">
        <v>14124</v>
      </c>
      <c r="B2313" s="11" t="s">
        <v>50</v>
      </c>
      <c r="C2313" s="11" t="s">
        <v>455</v>
      </c>
      <c r="D2313" s="11" t="s">
        <v>456</v>
      </c>
      <c r="E2313" s="11" t="s">
        <v>1372</v>
      </c>
      <c r="F2313" s="11" t="s">
        <v>11709</v>
      </c>
      <c r="G2313" s="11"/>
      <c r="H2313" s="11"/>
      <c r="I2313" s="11" t="s">
        <v>14125</v>
      </c>
      <c r="J2313" s="11" t="s">
        <v>14126</v>
      </c>
      <c r="K2313" s="11" t="s">
        <v>4317</v>
      </c>
      <c r="L2313" s="11" t="s">
        <v>14127</v>
      </c>
      <c r="M2313" s="11"/>
      <c r="N2313" s="14" t="n">
        <v>2</v>
      </c>
      <c r="O2313" s="14" t="n">
        <v>1</v>
      </c>
      <c r="P2313" s="14" t="n">
        <v>2</v>
      </c>
      <c r="Q2313" s="14"/>
      <c r="R2313" s="12" t="n">
        <f aca="false">IF(OR(N2313="",P2313=""),"",ROUND(N2313*O2313/P2313,1))</f>
        <v>1</v>
      </c>
      <c r="S2313" s="13" t="n">
        <f aca="false">IF(R2313="","",IF(Q2313="Y",1,IF(P2313&gt;='Read me'!$B$16,3,IF(AND(R2313&gt;='Read me'!$B$14,P2313&lt;='Read me'!$B$15),1,2))))</f>
        <v>2</v>
      </c>
    </row>
    <row r="2314" customFormat="false" ht="35.05" hidden="false" customHeight="false" outlineLevel="0" collapsed="false">
      <c r="A2314" s="11" t="s">
        <v>14128</v>
      </c>
      <c r="B2314" s="11" t="s">
        <v>50</v>
      </c>
      <c r="C2314" s="11" t="s">
        <v>455</v>
      </c>
      <c r="D2314" s="11" t="s">
        <v>456</v>
      </c>
      <c r="E2314" s="11" t="s">
        <v>1372</v>
      </c>
      <c r="F2314" s="11" t="s">
        <v>14129</v>
      </c>
      <c r="G2314" s="11"/>
      <c r="H2314" s="11"/>
      <c r="I2314" s="11" t="s">
        <v>14130</v>
      </c>
      <c r="J2314" s="11" t="s">
        <v>14131</v>
      </c>
      <c r="K2314" s="11" t="s">
        <v>9605</v>
      </c>
      <c r="L2314" s="11" t="s">
        <v>14132</v>
      </c>
      <c r="M2314" s="11" t="s">
        <v>10463</v>
      </c>
      <c r="N2314" s="14" t="n">
        <v>2</v>
      </c>
      <c r="O2314" s="14" t="n">
        <v>2</v>
      </c>
      <c r="P2314" s="14" t="n">
        <v>2</v>
      </c>
      <c r="Q2314" s="14"/>
      <c r="R2314" s="12" t="n">
        <f aca="false">IF(OR(N2314="",P2314=""),"",ROUND(N2314*O2314/P2314,1))</f>
        <v>2</v>
      </c>
      <c r="S2314" s="13" t="n">
        <f aca="false">IF(R2314="","",IF(Q2314="Y",1,IF(P2314&gt;='Read me'!$B$16,3,IF(AND(R2314&gt;='Read me'!$B$14,P2314&lt;='Read me'!$B$15),1,2))))</f>
        <v>2</v>
      </c>
    </row>
    <row r="2315" customFormat="false" ht="35.05" hidden="false" customHeight="false" outlineLevel="0" collapsed="false">
      <c r="A2315" s="11" t="s">
        <v>14133</v>
      </c>
      <c r="B2315" s="11" t="s">
        <v>50</v>
      </c>
      <c r="C2315" s="11" t="s">
        <v>455</v>
      </c>
      <c r="D2315" s="11" t="s">
        <v>456</v>
      </c>
      <c r="E2315" s="11" t="s">
        <v>1372</v>
      </c>
      <c r="F2315" s="11" t="s">
        <v>11817</v>
      </c>
      <c r="G2315" s="11"/>
      <c r="H2315" s="11"/>
      <c r="I2315" s="11" t="s">
        <v>14134</v>
      </c>
      <c r="J2315" s="11" t="s">
        <v>14135</v>
      </c>
      <c r="K2315" s="11" t="s">
        <v>14136</v>
      </c>
      <c r="L2315" s="11" t="s">
        <v>14137</v>
      </c>
      <c r="M2315" s="11" t="s">
        <v>10463</v>
      </c>
      <c r="N2315" s="14" t="n">
        <v>1</v>
      </c>
      <c r="O2315" s="14" t="n">
        <v>2</v>
      </c>
      <c r="P2315" s="14" t="n">
        <v>3</v>
      </c>
      <c r="Q2315" s="14"/>
      <c r="R2315" s="12" t="n">
        <f aca="false">IF(OR(N2315="",P2315=""),"",ROUND(N2315*O2315/P2315,1))</f>
        <v>0.7</v>
      </c>
      <c r="S2315" s="13" t="n">
        <f aca="false">IF(R2315="","",IF(Q2315="Y",1,IF(P2315&gt;='Read me'!$B$16,3,IF(AND(R2315&gt;='Read me'!$B$14,P2315&lt;='Read me'!$B$15),1,2))))</f>
        <v>2</v>
      </c>
    </row>
    <row r="2316" customFormat="false" ht="35.05" hidden="false" customHeight="false" outlineLevel="0" collapsed="false">
      <c r="A2316" s="11" t="s">
        <v>14138</v>
      </c>
      <c r="B2316" s="11" t="s">
        <v>50</v>
      </c>
      <c r="C2316" s="11" t="s">
        <v>455</v>
      </c>
      <c r="D2316" s="11" t="s">
        <v>456</v>
      </c>
      <c r="E2316" s="11" t="s">
        <v>1372</v>
      </c>
      <c r="F2316" s="11" t="s">
        <v>11824</v>
      </c>
      <c r="G2316" s="11"/>
      <c r="H2316" s="11"/>
      <c r="I2316" s="11" t="s">
        <v>14139</v>
      </c>
      <c r="J2316" s="11" t="s">
        <v>14140</v>
      </c>
      <c r="K2316" s="11" t="s">
        <v>9605</v>
      </c>
      <c r="L2316" s="11" t="s">
        <v>14141</v>
      </c>
      <c r="M2316" s="11" t="s">
        <v>10463</v>
      </c>
      <c r="N2316" s="14" t="n">
        <v>1</v>
      </c>
      <c r="O2316" s="14" t="n">
        <v>2</v>
      </c>
      <c r="P2316" s="14" t="n">
        <v>4</v>
      </c>
      <c r="Q2316" s="14"/>
      <c r="R2316" s="12" t="n">
        <f aca="false">IF(OR(N2316="",P2316=""),"",ROUND(N2316*O2316/P2316,1))</f>
        <v>0.5</v>
      </c>
      <c r="S2316" s="13" t="n">
        <f aca="false">IF(R2316="","",IF(Q2316="Y",1,IF(P2316&gt;='Read me'!$B$16,3,IF(AND(R2316&gt;='Read me'!$B$14,P2316&lt;='Read me'!$B$15),1,2))))</f>
        <v>3</v>
      </c>
    </row>
  </sheetData>
  <autoFilter ref="A1:S2316"/>
  <conditionalFormatting sqref="S2:S6000">
    <cfRule type="cellIs" priority="2" operator="equal" aboveAverage="0" equalAverage="0" bottom="0" percent="0" rank="0" text="" dxfId="12">
      <formula>1</formula>
    </cfRule>
    <cfRule type="cellIs" priority="3" operator="equal" aboveAverage="0" equalAverage="0" bottom="0" percent="0" rank="0" text="" dxfId="13">
      <formula>3</formula>
    </cfRule>
  </conditionalFormatting>
  <dataValidations count="2">
    <dataValidation allowBlank="false" error="Use 1 to 5" errorStyle="stop" operator="between" showDropDown="false" showErrorMessage="true" showInputMessage="false" sqref="N2:P3316" type="whole">
      <formula1>1</formula1>
      <formula2>5</formula2>
    </dataValidation>
    <dataValidation allowBlank="false" errorStyle="stop" operator="between" showDropDown="false" showErrorMessage="true" showInputMessage="false" sqref="E2:E3316" type="list">
      <formula1>"Discover,Search,Choose,Pay,Add-ons,Before,During,Problem,After,Account"</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10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24"/>
    <col collapsed="false" customWidth="true" hidden="false" outlineLevel="0" max="2" min="2" style="0" width="12"/>
    <col collapsed="false" customWidth="true" hidden="false" outlineLevel="0" max="3" min="3" style="0" width="60"/>
    <col collapsed="false" customWidth="true" hidden="false" outlineLevel="0" max="4" min="4" style="0" width="36"/>
  </cols>
  <sheetData>
    <row r="1" customFormat="false" ht="15" hidden="false" customHeight="false" outlineLevel="0" collapsed="false">
      <c r="A1" s="9" t="s">
        <v>14142</v>
      </c>
      <c r="B1" s="9" t="s">
        <v>14143</v>
      </c>
      <c r="C1" s="9" t="s">
        <v>14144</v>
      </c>
      <c r="D1" s="9" t="s">
        <v>14145</v>
      </c>
    </row>
    <row r="2" customFormat="false" ht="35.05" hidden="false" customHeight="false" outlineLevel="0" collapsed="false">
      <c r="A2" s="3" t="s">
        <v>14146</v>
      </c>
      <c r="B2" s="2" t="n">
        <f aca="false">COUNTIF('Use cases'!$K$2:$K$6000,"*NEW: ClaimTracker,*")+COUNTIF('Use cases'!$K$2:$K$6000,"*NEW: ClaimTracker")+COUNTIF('Use cases'!$K$2:$K$6000,"*NEW: ClaimTracker *")</f>
        <v>75</v>
      </c>
      <c r="C2" s="2" t="s">
        <v>14147</v>
      </c>
      <c r="D2" s="2" t="s">
        <v>14148</v>
      </c>
    </row>
    <row r="3" customFormat="false" ht="15" hidden="false" customHeight="false" outlineLevel="0" collapsed="false">
      <c r="A3" s="3" t="s">
        <v>14149</v>
      </c>
      <c r="B3" s="2" t="n">
        <f aca="false">COUNTIF('Use cases'!$K$2:$K$6000,"*NEW: ServiceCard,*")+COUNTIF('Use cases'!$K$2:$K$6000,"*NEW: ServiceCard")+COUNTIF('Use cases'!$K$2:$K$6000,"*NEW: ServiceCard *")</f>
        <v>29</v>
      </c>
      <c r="C3" s="2" t="s">
        <v>14150</v>
      </c>
      <c r="D3" s="2"/>
    </row>
    <row r="4" customFormat="false" ht="15" hidden="false" customHeight="false" outlineLevel="0" collapsed="false">
      <c r="A4" s="3" t="s">
        <v>14151</v>
      </c>
      <c r="B4" s="2" t="n">
        <f aca="false">COUNTIF('Use cases'!$K$2:$K$6000,"*NEW: SubscriptionCard,*")+COUNTIF('Use cases'!$K$2:$K$6000,"*NEW: SubscriptionCard")+COUNTIF('Use cases'!$K$2:$K$6000,"*NEW: SubscriptionCard *")</f>
        <v>28</v>
      </c>
      <c r="C4" s="2" t="s">
        <v>14152</v>
      </c>
      <c r="D4" s="2"/>
    </row>
    <row r="5" customFormat="false" ht="23.85" hidden="false" customHeight="false" outlineLevel="0" collapsed="false">
      <c r="A5" s="3" t="s">
        <v>14153</v>
      </c>
      <c r="B5" s="2" t="n">
        <f aca="false">COUNTIF('Use cases'!$K$2:$K$6000,"*NEW: Upload,*")+COUNTIF('Use cases'!$K$2:$K$6000,"*NEW: Upload")+COUNTIF('Use cases'!$K$2:$K$6000,"*NEW: Upload *")</f>
        <v>26</v>
      </c>
      <c r="C5" s="2" t="s">
        <v>14154</v>
      </c>
      <c r="D5" s="2" t="s">
        <v>14155</v>
      </c>
    </row>
    <row r="6" customFormat="false" ht="15" hidden="false" customHeight="false" outlineLevel="0" collapsed="false">
      <c r="A6" s="3" t="s">
        <v>14156</v>
      </c>
      <c r="B6" s="2" t="n">
        <f aca="false">COUNTIF('Use cases'!$K$2:$K$6000,"*NEW: Basket,*")+COUNTIF('Use cases'!$K$2:$K$6000,"*NEW: Basket")+COUNTIF('Use cases'!$K$2:$K$6000,"*NEW: Basket *")</f>
        <v>25</v>
      </c>
      <c r="C6" s="2" t="s">
        <v>14157</v>
      </c>
      <c r="D6" s="2"/>
    </row>
    <row r="7" customFormat="false" ht="15" hidden="false" customHeight="false" outlineLevel="0" collapsed="false">
      <c r="A7" s="3" t="s">
        <v>14158</v>
      </c>
      <c r="B7" s="2" t="n">
        <f aca="false">COUNTIF('Use cases'!$K$2:$K$6000,"*NEW: CardControls,*")+COUNTIF('Use cases'!$K$2:$K$6000,"*NEW: CardControls")+COUNTIF('Use cases'!$K$2:$K$6000,"*NEW: CardControls *")</f>
        <v>25</v>
      </c>
      <c r="C7" s="2" t="s">
        <v>14159</v>
      </c>
      <c r="D7" s="2"/>
    </row>
    <row r="8" customFormat="false" ht="15" hidden="false" customHeight="false" outlineLevel="0" collapsed="false">
      <c r="A8" s="3" t="s">
        <v>14160</v>
      </c>
      <c r="B8" s="2" t="n">
        <f aca="false">COUNTIF('Use cases'!$K$2:$K$6000,"*NEW: RestaurantCard,*")+COUNTIF('Use cases'!$K$2:$K$6000,"*NEW: RestaurantCard")+COUNTIF('Use cases'!$K$2:$K$6000,"*NEW: RestaurantCard *")</f>
        <v>21</v>
      </c>
      <c r="C8" s="2" t="s">
        <v>14161</v>
      </c>
      <c r="D8" s="2"/>
    </row>
    <row r="9" customFormat="false" ht="23.85" hidden="false" customHeight="false" outlineLevel="0" collapsed="false">
      <c r="A9" s="3" t="s">
        <v>14162</v>
      </c>
      <c r="B9" s="2" t="n">
        <f aca="false">COUNTIF('Use cases'!$K$2:$K$6000,"*NEW: Map,*")+COUNTIF('Use cases'!$K$2:$K$6000,"*NEW: Map")+COUNTIF('Use cases'!$K$2:$K$6000,"*NEW: Map *")</f>
        <v>18</v>
      </c>
      <c r="C9" s="2" t="s">
        <v>14163</v>
      </c>
      <c r="D9" s="2" t="s">
        <v>14164</v>
      </c>
    </row>
    <row r="10" customFormat="false" ht="15" hidden="false" customHeight="false" outlineLevel="0" collapsed="false">
      <c r="A10" s="3" t="s">
        <v>14165</v>
      </c>
      <c r="B10" s="2" t="n">
        <f aca="false">COUNTIF('Use cases'!$K$2:$K$6000,"*NEW: VoucherCode,*")+COUNTIF('Use cases'!$K$2:$K$6000,"*NEW: VoucherCode")+COUNTIF('Use cases'!$K$2:$K$6000,"*NEW: VoucherCode *")</f>
        <v>17</v>
      </c>
      <c r="C10" s="2" t="s">
        <v>14166</v>
      </c>
      <c r="D10" s="2"/>
    </row>
    <row r="11" customFormat="false" ht="15" hidden="false" customHeight="false" outlineLevel="0" collapsed="false">
      <c r="A11" s="3" t="s">
        <v>14167</v>
      </c>
      <c r="B11" s="2" t="n">
        <f aca="false">COUNTIF('Use cases'!$K$2:$K$6000,"*NEW: DeliveryTracker,*")+COUNTIF('Use cases'!$K$2:$K$6000,"*NEW: DeliveryTracker")+COUNTIF('Use cases'!$K$2:$K$6000,"*NEW: DeliveryTracker *")</f>
        <v>16</v>
      </c>
      <c r="C11" s="2" t="s">
        <v>14168</v>
      </c>
      <c r="D11" s="2"/>
    </row>
    <row r="12" customFormat="false" ht="15" hidden="false" customHeight="false" outlineLevel="0" collapsed="false">
      <c r="A12" s="3" t="s">
        <v>14169</v>
      </c>
      <c r="B12" s="2" t="n">
        <f aca="false">COUNTIF('Use cases'!$K$2:$K$6000,"*NEW: RightsGuide,*")+COUNTIF('Use cases'!$K$2:$K$6000,"*NEW: RightsGuide")+COUNTIF('Use cases'!$K$2:$K$6000,"*NEW: RightsGuide *")</f>
        <v>16</v>
      </c>
      <c r="C12" s="2" t="s">
        <v>411</v>
      </c>
      <c r="D12" s="2"/>
    </row>
    <row r="13" customFormat="false" ht="15" hidden="false" customHeight="false" outlineLevel="0" collapsed="false">
      <c r="A13" s="3" t="s">
        <v>14170</v>
      </c>
      <c r="B13" s="2" t="n">
        <f aca="false">COUNTIF('Use cases'!$K$2:$K$6000,"*NEW: AlertSettings,*")+COUNTIF('Use cases'!$K$2:$K$6000,"*NEW: AlertSettings")+COUNTIF('Use cases'!$K$2:$K$6000,"*NEW: AlertSettings *")</f>
        <v>16</v>
      </c>
      <c r="C13" s="2" t="s">
        <v>14171</v>
      </c>
      <c r="D13" s="2" t="s">
        <v>14172</v>
      </c>
    </row>
    <row r="14" customFormat="false" ht="15" hidden="false" customHeight="false" outlineLevel="0" collapsed="false">
      <c r="A14" s="3" t="s">
        <v>14173</v>
      </c>
      <c r="B14" s="2" t="n">
        <f aca="false">COUNTIF('Use cases'!$K$2:$K$6000,"*NEW: TicketWallet,*")+COUNTIF('Use cases'!$K$2:$K$6000,"*NEW: TicketWallet")+COUNTIF('Use cases'!$K$2:$K$6000,"*NEW: TicketWallet *")</f>
        <v>14</v>
      </c>
      <c r="C14" s="2" t="s">
        <v>14174</v>
      </c>
      <c r="D14" s="2" t="s">
        <v>14175</v>
      </c>
    </row>
    <row r="15" customFormat="false" ht="15" hidden="false" customHeight="false" outlineLevel="0" collapsed="false">
      <c r="A15" s="3" t="s">
        <v>14176</v>
      </c>
      <c r="B15" s="2" t="n">
        <f aca="false">COUNTIF('Use cases'!$K$2:$K$6000,"*NEW: ConciergeBrief,*")+COUNTIF('Use cases'!$K$2:$K$6000,"*NEW: ConciergeBrief")+COUNTIF('Use cases'!$K$2:$K$6000,"*NEW: ConciergeBrief *")</f>
        <v>14</v>
      </c>
      <c r="C15" s="2" t="s">
        <v>14177</v>
      </c>
      <c r="D15" s="2"/>
    </row>
    <row r="16" customFormat="false" ht="15" hidden="false" customHeight="false" outlineLevel="0" collapsed="false">
      <c r="A16" s="3" t="s">
        <v>14178</v>
      </c>
      <c r="B16" s="2" t="n">
        <f aca="false">COUNTIF('Use cases'!$K$2:$K$6000,"*NEW: CharityCard,*")+COUNTIF('Use cases'!$K$2:$K$6000,"*NEW: CharityCard")+COUNTIF('Use cases'!$K$2:$K$6000,"*NEW: CharityCard *")</f>
        <v>14</v>
      </c>
      <c r="C16" s="2" t="s">
        <v>14179</v>
      </c>
      <c r="D16" s="2"/>
    </row>
    <row r="17" customFormat="false" ht="15" hidden="false" customHeight="false" outlineLevel="0" collapsed="false">
      <c r="A17" s="3" t="s">
        <v>14180</v>
      </c>
      <c r="B17" s="2" t="n">
        <f aca="false">COUNTIF('Use cases'!$K$2:$K$6000,"*NEW: GreeterCard,*")+COUNTIF('Use cases'!$K$2:$K$6000,"*NEW: GreeterCard")+COUNTIF('Use cases'!$K$2:$K$6000,"*NEW: GreeterCard *")</f>
        <v>13</v>
      </c>
      <c r="C17" s="2" t="s">
        <v>14181</v>
      </c>
      <c r="D17" s="2"/>
    </row>
    <row r="18" customFormat="false" ht="15" hidden="false" customHeight="false" outlineLevel="0" collapsed="false">
      <c r="A18" s="3" t="s">
        <v>14182</v>
      </c>
      <c r="B18" s="2" t="n">
        <f aca="false">COUNTIF('Use cases'!$K$2:$K$6000,"*NEW: PolicyCard,*")+COUNTIF('Use cases'!$K$2:$K$6000,"*NEW: PolicyCard")+COUNTIF('Use cases'!$K$2:$K$6000,"*NEW: PolicyCard *")</f>
        <v>13</v>
      </c>
      <c r="C18" s="2" t="s">
        <v>360</v>
      </c>
      <c r="D18" s="2"/>
    </row>
    <row r="19" customFormat="false" ht="15" hidden="false" customHeight="false" outlineLevel="0" collapsed="false">
      <c r="A19" s="3" t="s">
        <v>14183</v>
      </c>
      <c r="B19" s="2" t="n">
        <f aca="false">COUNTIF('Use cases'!$K$2:$K$6000,"*NEW: InstalmentPlan,*")+COUNTIF('Use cases'!$K$2:$K$6000,"*NEW: InstalmentPlan")+COUNTIF('Use cases'!$K$2:$K$6000,"*NEW: InstalmentPlan *")</f>
        <v>12</v>
      </c>
      <c r="C19" s="2" t="s">
        <v>14184</v>
      </c>
      <c r="D19" s="2" t="s">
        <v>14185</v>
      </c>
    </row>
    <row r="20" customFormat="false" ht="15" hidden="false" customHeight="false" outlineLevel="0" collapsed="false">
      <c r="A20" s="3" t="s">
        <v>14186</v>
      </c>
      <c r="B20" s="2" t="n">
        <f aca="false">COUNTIF('Use cases'!$K$2:$K$6000,"*NEW: ChallengeCard,*")+COUNTIF('Use cases'!$K$2:$K$6000,"*NEW: ChallengeCard")+COUNTIF('Use cases'!$K$2:$K$6000,"*NEW: ChallengeCard *")</f>
        <v>12</v>
      </c>
      <c r="C20" s="2" t="s">
        <v>446</v>
      </c>
      <c r="D20" s="2"/>
    </row>
    <row r="21" customFormat="false" ht="15" hidden="false" customHeight="false" outlineLevel="0" collapsed="false">
      <c r="A21" s="3" t="s">
        <v>14187</v>
      </c>
      <c r="B21" s="2" t="n">
        <f aca="false">COUNTIF('Use cases'!$K$2:$K$6000,"*NEW: SupportLines,*")+COUNTIF('Use cases'!$K$2:$K$6000,"*NEW: SupportLines")+COUNTIF('Use cases'!$K$2:$K$6000,"*NEW: SupportLines *")</f>
        <v>12</v>
      </c>
      <c r="C21" s="2" t="s">
        <v>14188</v>
      </c>
      <c r="D21" s="2"/>
    </row>
    <row r="22" customFormat="false" ht="15" hidden="false" customHeight="false" outlineLevel="0" collapsed="false">
      <c r="A22" s="3" t="s">
        <v>14189</v>
      </c>
      <c r="B22" s="2" t="n">
        <f aca="false">COUNTIF('Use cases'!$K$2:$K$6000,"*NEW: TrainCard,*")+COUNTIF('Use cases'!$K$2:$K$6000,"*NEW: TrainCard")+COUNTIF('Use cases'!$K$2:$K$6000,"*NEW: TrainCard *")</f>
        <v>11</v>
      </c>
      <c r="C22" s="2" t="s">
        <v>155</v>
      </c>
      <c r="D22" s="2"/>
    </row>
    <row r="23" customFormat="false" ht="15" hidden="false" customHeight="false" outlineLevel="0" collapsed="false">
      <c r="A23" s="3" t="s">
        <v>14190</v>
      </c>
      <c r="B23" s="2" t="n">
        <f aca="false">COUNTIF('Use cases'!$K$2:$K$6000,"*NEW: VenueSeatMap,*")+COUNTIF('Use cases'!$K$2:$K$6000,"*NEW: VenueSeatMap")+COUNTIF('Use cases'!$K$2:$K$6000,"*NEW: VenueSeatMap *")</f>
        <v>11</v>
      </c>
      <c r="C23" s="2" t="s">
        <v>14191</v>
      </c>
      <c r="D23" s="2"/>
    </row>
    <row r="24" customFormat="false" ht="15" hidden="false" customHeight="false" outlineLevel="0" collapsed="false">
      <c r="A24" s="3" t="s">
        <v>14192</v>
      </c>
      <c r="B24" s="2" t="n">
        <f aca="false">COUNTIF('Use cases'!$K$2:$K$6000,"*NEW: ReturnFlow,*")+COUNTIF('Use cases'!$K$2:$K$6000,"*NEW: ReturnFlow")+COUNTIF('Use cases'!$K$2:$K$6000,"*NEW: ReturnFlow *")</f>
        <v>11</v>
      </c>
      <c r="C24" s="2" t="s">
        <v>14193</v>
      </c>
      <c r="D24" s="2"/>
    </row>
    <row r="25" customFormat="false" ht="15" hidden="false" customHeight="false" outlineLevel="0" collapsed="false">
      <c r="A25" s="3" t="s">
        <v>14194</v>
      </c>
      <c r="B25" s="2" t="n">
        <f aca="false">COUNTIF('Use cases'!$K$2:$K$6000,"*NEW: IssuePicker,*")+COUNTIF('Use cases'!$K$2:$K$6000,"*NEW: IssuePicker")+COUNTIF('Use cases'!$K$2:$K$6000,"*NEW: IssuePicker *")</f>
        <v>10</v>
      </c>
      <c r="C25" s="2" t="s">
        <v>14195</v>
      </c>
      <c r="D25" s="2"/>
    </row>
    <row r="26" customFormat="false" ht="15" hidden="false" customHeight="false" outlineLevel="0" collapsed="false">
      <c r="A26" s="3" t="s">
        <v>14196</v>
      </c>
      <c r="B26" s="2" t="n">
        <f aca="false">COUNTIF('Use cases'!$K$2:$K$6000,"*NEW: RiskDisclosure,*")+COUNTIF('Use cases'!$K$2:$K$6000,"*NEW: RiskDisclosure")+COUNTIF('Use cases'!$K$2:$K$6000,"*NEW: RiskDisclosure *")</f>
        <v>10</v>
      </c>
      <c r="C26" s="2" t="s">
        <v>14197</v>
      </c>
      <c r="D26" s="2"/>
    </row>
    <row r="27" customFormat="false" ht="15" hidden="false" customHeight="false" outlineLevel="0" collapsed="false">
      <c r="A27" s="3" t="s">
        <v>14198</v>
      </c>
      <c r="B27" s="2" t="n">
        <f aca="false">COUNTIF('Use cases'!$K$2:$K$6000,"*NEW: MoneyBackRoute,*")+COUNTIF('Use cases'!$K$2:$K$6000,"*NEW: MoneyBackRoute")+COUNTIF('Use cases'!$K$2:$K$6000,"*NEW: MoneyBackRoute *")</f>
        <v>10</v>
      </c>
      <c r="C27" s="2" t="s">
        <v>397</v>
      </c>
      <c r="D27" s="2"/>
    </row>
    <row r="28" customFormat="false" ht="15" hidden="false" customHeight="false" outlineLevel="0" collapsed="false">
      <c r="A28" s="3" t="s">
        <v>14199</v>
      </c>
      <c r="B28" s="2" t="n">
        <f aca="false">COUNTIF('Use cases'!$K$2:$K$6000,"*NEW: AddressPicker,*")+COUNTIF('Use cases'!$K$2:$K$6000,"*NEW: AddressPicker")+COUNTIF('Use cases'!$K$2:$K$6000,"*NEW: AddressPicker *")</f>
        <v>9</v>
      </c>
      <c r="C28" s="2" t="s">
        <v>14200</v>
      </c>
      <c r="D28" s="2"/>
    </row>
    <row r="29" customFormat="false" ht="15" hidden="false" customHeight="false" outlineLevel="0" collapsed="false">
      <c r="A29" s="3" t="s">
        <v>14201</v>
      </c>
      <c r="B29" s="2" t="n">
        <f aca="false">COUNTIF('Use cases'!$K$2:$K$6000,"*NEW: MemoryList,*")+COUNTIF('Use cases'!$K$2:$K$6000,"*NEW: MemoryList")+COUNTIF('Use cases'!$K$2:$K$6000,"*NEW: MemoryList *")</f>
        <v>8</v>
      </c>
      <c r="C29" s="2" t="s">
        <v>14202</v>
      </c>
      <c r="D29" s="2"/>
    </row>
    <row r="30" customFormat="false" ht="15" hidden="false" customHeight="false" outlineLevel="0" collapsed="false">
      <c r="A30" s="3" t="s">
        <v>14203</v>
      </c>
      <c r="B30" s="2" t="n">
        <f aca="false">COUNTIF('Use cases'!$K$2:$K$6000,"*NEW: ReferralCard,*")+COUNTIF('Use cases'!$K$2:$K$6000,"*NEW: ReferralCard")+COUNTIF('Use cases'!$K$2:$K$6000,"*NEW: ReferralCard *")</f>
        <v>8</v>
      </c>
      <c r="C30" s="2" t="s">
        <v>452</v>
      </c>
      <c r="D30" s="2"/>
    </row>
    <row r="31" customFormat="false" ht="15" hidden="false" customHeight="false" outlineLevel="0" collapsed="false">
      <c r="A31" s="3" t="s">
        <v>14204</v>
      </c>
      <c r="B31" s="2" t="n">
        <f aca="false">COUNTIF('Use cases'!$K$2:$K$6000,"*NEW: StatementCard,*")+COUNTIF('Use cases'!$K$2:$K$6000,"*NEW: StatementCard")+COUNTIF('Use cases'!$K$2:$K$6000,"*NEW: StatementCard *")</f>
        <v>8</v>
      </c>
      <c r="C31" s="2" t="s">
        <v>14205</v>
      </c>
      <c r="D31" s="2"/>
    </row>
    <row r="32" customFormat="false" ht="15" hidden="false" customHeight="false" outlineLevel="0" collapsed="false">
      <c r="A32" s="3" t="s">
        <v>14206</v>
      </c>
      <c r="B32" s="2" t="n">
        <f aca="false">COUNTIF('Use cases'!$K$2:$K$6000,"*NEW: CardholderList,*")+COUNTIF('Use cases'!$K$2:$K$6000,"*NEW: CardholderList")+COUNTIF('Use cases'!$K$2:$K$6000,"*NEW: CardholderList *")</f>
        <v>8</v>
      </c>
      <c r="C32" s="2" t="s">
        <v>14207</v>
      </c>
      <c r="D32" s="2"/>
    </row>
    <row r="33" customFormat="false" ht="15" hidden="false" customHeight="false" outlineLevel="0" collapsed="false">
      <c r="A33" s="3" t="s">
        <v>14208</v>
      </c>
      <c r="B33" s="2" t="n">
        <f aca="false">COUNTIF('Use cases'!$K$2:$K$6000,"*NEW: EarnTracker,*")+COUNTIF('Use cases'!$K$2:$K$6000,"*NEW: EarnTracker")+COUNTIF('Use cases'!$K$2:$K$6000,"*NEW: EarnTracker *")</f>
        <v>7</v>
      </c>
      <c r="C33" s="2" t="s">
        <v>232</v>
      </c>
      <c r="D33" s="2"/>
    </row>
    <row r="34" customFormat="false" ht="15" hidden="false" customHeight="false" outlineLevel="0" collapsed="false">
      <c r="A34" s="3" t="s">
        <v>14209</v>
      </c>
      <c r="B34" s="2" t="n">
        <f aca="false">COUNTIF('Use cases'!$K$2:$K$6000,"*NEW: HoldingsCard,*")+COUNTIF('Use cases'!$K$2:$K$6000,"*NEW: HoldingsCard")+COUNTIF('Use cases'!$K$2:$K$6000,"*NEW: HoldingsCard *")</f>
        <v>7</v>
      </c>
      <c r="C34" s="2" t="s">
        <v>14197</v>
      </c>
      <c r="D34" s="2"/>
    </row>
    <row r="35" customFormat="false" ht="15" hidden="false" customHeight="false" outlineLevel="0" collapsed="false">
      <c r="A35" s="3" t="s">
        <v>14210</v>
      </c>
      <c r="B35" s="2" t="n">
        <f aca="false">COUNTIF('Use cases'!$K$2:$K$6000,"*NEW: BalanceCard,*")+COUNTIF('Use cases'!$K$2:$K$6000,"*NEW: BalanceCard")+COUNTIF('Use cases'!$K$2:$K$6000,"*NEW: BalanceCard *")</f>
        <v>7</v>
      </c>
      <c r="C35" s="2" t="s">
        <v>14211</v>
      </c>
      <c r="D35" s="2"/>
    </row>
    <row r="36" customFormat="false" ht="15" hidden="false" customHeight="false" outlineLevel="0" collapsed="false">
      <c r="A36" s="3" t="s">
        <v>14212</v>
      </c>
      <c r="B36" s="2" t="n">
        <f aca="false">COUNTIF('Use cases'!$K$2:$K$6000,"*NEW: SpendBreakdown,*")+COUNTIF('Use cases'!$K$2:$K$6000,"*NEW: SpendBreakdown")+COUNTIF('Use cases'!$K$2:$K$6000,"*NEW: SpendBreakdown *")</f>
        <v>7</v>
      </c>
      <c r="C36" s="2" t="s">
        <v>14213</v>
      </c>
      <c r="D36" s="2"/>
    </row>
    <row r="37" customFormat="false" ht="15" hidden="false" customHeight="false" outlineLevel="0" collapsed="false">
      <c r="A37" s="3" t="s">
        <v>14214</v>
      </c>
      <c r="B37" s="2" t="n">
        <f aca="false">COUNTIF('Use cases'!$K$2:$K$6000,"*NEW: MenuCard,*")+COUNTIF('Use cases'!$K$2:$K$6000,"*NEW: MenuCard")+COUNTIF('Use cases'!$K$2:$K$6000,"*NEW: MenuCard *")</f>
        <v>6</v>
      </c>
      <c r="C37" s="2" t="s">
        <v>14215</v>
      </c>
      <c r="D37" s="2" t="s">
        <v>14216</v>
      </c>
    </row>
    <row r="38" customFormat="false" ht="15" hidden="false" customHeight="false" outlineLevel="0" collapsed="false">
      <c r="A38" s="3" t="s">
        <v>14217</v>
      </c>
      <c r="B38" s="2" t="n">
        <f aca="false">COUNTIF('Use cases'!$K$2:$K$6000,"*NEW: VariantPicker,*")+COUNTIF('Use cases'!$K$2:$K$6000,"*NEW: VariantPicker")+COUNTIF('Use cases'!$K$2:$K$6000,"*NEW: VariantPicker *")</f>
        <v>6</v>
      </c>
      <c r="C38" s="2" t="s">
        <v>14218</v>
      </c>
      <c r="D38" s="2"/>
    </row>
    <row r="39" customFormat="false" ht="15" hidden="false" customHeight="false" outlineLevel="0" collapsed="false">
      <c r="A39" s="3" t="s">
        <v>14219</v>
      </c>
      <c r="B39" s="2" t="n">
        <f aca="false">COUNTIF('Use cases'!$K$2:$K$6000,"*NEW: FxRate,*")+COUNTIF('Use cases'!$K$2:$K$6000,"*NEW: FxRate")+COUNTIF('Use cases'!$K$2:$K$6000,"*NEW: FxRate *")</f>
        <v>6</v>
      </c>
      <c r="C39" s="2" t="s">
        <v>357</v>
      </c>
      <c r="D39" s="2"/>
    </row>
    <row r="40" customFormat="false" ht="15" hidden="false" customHeight="false" outlineLevel="0" collapsed="false">
      <c r="A40" s="3" t="s">
        <v>14220</v>
      </c>
      <c r="B40" s="2" t="n">
        <f aca="false">COUNTIF('Use cases'!$K$2:$K$6000,"*NEW: EsimPlan,*")+COUNTIF('Use cases'!$K$2:$K$6000,"*NEW: EsimPlan")+COUNTIF('Use cases'!$K$2:$K$6000,"*NEW: EsimPlan *")</f>
        <v>6</v>
      </c>
      <c r="C40" s="2" t="s">
        <v>364</v>
      </c>
      <c r="D40" s="2"/>
    </row>
    <row r="41" customFormat="false" ht="15" hidden="false" customHeight="false" outlineLevel="0" collapsed="false">
      <c r="A41" s="3" t="s">
        <v>14221</v>
      </c>
      <c r="B41" s="2" t="n">
        <f aca="false">COUNTIF('Use cases'!$K$2:$K$6000,"*NEW: DocumentWallet,*")+COUNTIF('Use cases'!$K$2:$K$6000,"*NEW: DocumentWallet")+COUNTIF('Use cases'!$K$2:$K$6000,"*NEW: DocumentWallet *")</f>
        <v>6</v>
      </c>
      <c r="C41" s="2" t="s">
        <v>367</v>
      </c>
      <c r="D41" s="2"/>
    </row>
    <row r="42" customFormat="false" ht="15" hidden="false" customHeight="false" outlineLevel="0" collapsed="false">
      <c r="A42" s="3" t="s">
        <v>14222</v>
      </c>
      <c r="B42" s="2" t="n">
        <f aca="false">COUNTIF('Use cases'!$K$2:$K$6000,"*NEW: RideTracker,*")+COUNTIF('Use cases'!$K$2:$K$6000,"*NEW: RideTracker")+COUNTIF('Use cases'!$K$2:$K$6000,"*NEW: RideTracker *")</f>
        <v>5</v>
      </c>
      <c r="C42" s="2" t="s">
        <v>14223</v>
      </c>
      <c r="D42" s="2"/>
    </row>
    <row r="43" customFormat="false" ht="15" hidden="false" customHeight="false" outlineLevel="0" collapsed="false">
      <c r="A43" s="3" t="s">
        <v>14224</v>
      </c>
      <c r="B43" s="2" t="n">
        <f aca="false">COUNTIF('Use cases'!$K$2:$K$6000,"*NEW: CarCard,*")+COUNTIF('Use cases'!$K$2:$K$6000,"*NEW: CarCard")+COUNTIF('Use cases'!$K$2:$K$6000,"*NEW: CarCard *")</f>
        <v>5</v>
      </c>
      <c r="C43" s="2" t="s">
        <v>159</v>
      </c>
      <c r="D43" s="2"/>
    </row>
    <row r="44" customFormat="false" ht="15" hidden="false" customHeight="false" outlineLevel="0" collapsed="false">
      <c r="A44" s="3" t="s">
        <v>14225</v>
      </c>
      <c r="B44" s="2" t="n">
        <f aca="false">COUNTIF('Use cases'!$K$2:$K$6000,"*NEW: GiftMessage,*")+COUNTIF('Use cases'!$K$2:$K$6000,"*NEW: GiftMessage")+COUNTIF('Use cases'!$K$2:$K$6000,"*NEW: GiftMessage *")</f>
        <v>5</v>
      </c>
      <c r="C44" s="2" t="s">
        <v>14226</v>
      </c>
      <c r="D44" s="2"/>
    </row>
    <row r="45" customFormat="false" ht="15" hidden="false" customHeight="false" outlineLevel="0" collapsed="false">
      <c r="A45" s="3" t="s">
        <v>14227</v>
      </c>
      <c r="B45" s="2" t="n">
        <f aca="false">COUNTIF('Use cases'!$K$2:$K$6000,"*NEW: RecipientList,*")+COUNTIF('Use cases'!$K$2:$K$6000,"*NEW: RecipientList")+COUNTIF('Use cases'!$K$2:$K$6000,"*NEW: RecipientList *")</f>
        <v>5</v>
      </c>
      <c r="C45" s="2" t="s">
        <v>14228</v>
      </c>
      <c r="D45" s="2"/>
    </row>
    <row r="46" customFormat="false" ht="15" hidden="false" customHeight="false" outlineLevel="0" collapsed="false">
      <c r="A46" s="3" t="s">
        <v>14229</v>
      </c>
      <c r="B46" s="2" t="n">
        <f aca="false">COUNTIF('Use cases'!$K$2:$K$6000,"*NEW: MilestoneTracker,*")+COUNTIF('Use cases'!$K$2:$K$6000,"*NEW: MilestoneTracker")+COUNTIF('Use cases'!$K$2:$K$6000,"*NEW: MilestoneTracker *")</f>
        <v>5</v>
      </c>
      <c r="C46" s="2" t="s">
        <v>320</v>
      </c>
      <c r="D46" s="2"/>
    </row>
    <row r="47" customFormat="false" ht="15" hidden="false" customHeight="false" outlineLevel="0" collapsed="false">
      <c r="A47" s="3" t="s">
        <v>14230</v>
      </c>
      <c r="B47" s="2" t="n">
        <f aca="false">COUNTIF('Use cases'!$K$2:$K$6000,"*NEW: PriceChart,*")+COUNTIF('Use cases'!$K$2:$K$6000,"*NEW: PriceChart")+COUNTIF('Use cases'!$K$2:$K$6000,"*NEW: PriceChart *")</f>
        <v>5</v>
      </c>
      <c r="C47" s="2" t="s">
        <v>14197</v>
      </c>
      <c r="D47" s="2"/>
    </row>
    <row r="48" customFormat="false" ht="15" hidden="false" customHeight="false" outlineLevel="0" collapsed="false">
      <c r="A48" s="3" t="s">
        <v>14231</v>
      </c>
      <c r="B48" s="2" t="n">
        <f aca="false">COUNTIF('Use cases'!$K$2:$K$6000,"*NEW: StreakTracker,*")+COUNTIF('Use cases'!$K$2:$K$6000,"*NEW: StreakTracker")+COUNTIF('Use cases'!$K$2:$K$6000,"*NEW: StreakTracker *")</f>
        <v>5</v>
      </c>
      <c r="C48" s="2" t="s">
        <v>446</v>
      </c>
      <c r="D48" s="2"/>
    </row>
    <row r="49" customFormat="false" ht="15" hidden="false" customHeight="false" outlineLevel="0" collapsed="false">
      <c r="A49" s="3" t="s">
        <v>14232</v>
      </c>
      <c r="B49" s="2" t="n">
        <f aca="false">COUNTIF('Use cases'!$K$2:$K$6000,"*NEW: DirectDebitCard,*")+COUNTIF('Use cases'!$K$2:$K$6000,"*NEW: DirectDebitCard")+COUNTIF('Use cases'!$K$2:$K$6000,"*NEW: DirectDebitCard *")</f>
        <v>5</v>
      </c>
      <c r="C49" s="2" t="s">
        <v>14233</v>
      </c>
      <c r="D49" s="2"/>
    </row>
    <row r="50" customFormat="false" ht="15" hidden="false" customHeight="false" outlineLevel="0" collapsed="false">
      <c r="A50" s="3" t="s">
        <v>14234</v>
      </c>
      <c r="B50" s="2" t="n">
        <f aca="false">COUNTIF('Use cases'!$K$2:$K$6000,"*NEW: ApprovalPrompt,*")+COUNTIF('Use cases'!$K$2:$K$6000,"*NEW: ApprovalPrompt")+COUNTIF('Use cases'!$K$2:$K$6000,"*NEW: ApprovalPrompt *")</f>
        <v>5</v>
      </c>
      <c r="C50" s="2" t="s">
        <v>14235</v>
      </c>
      <c r="D50" s="2"/>
    </row>
    <row r="51" customFormat="false" ht="15" hidden="false" customHeight="false" outlineLevel="0" collapsed="false">
      <c r="A51" s="3" t="s">
        <v>14236</v>
      </c>
      <c r="B51" s="2" t="n">
        <f aca="false">COUNTIF('Use cases'!$K$2:$K$6000,"*NEW: LoyaltyNumber,*")+COUNTIF('Use cases'!$K$2:$K$6000,"*NEW: LoyaltyNumber")+COUNTIF('Use cases'!$K$2:$K$6000,"*NEW: LoyaltyNumber *")</f>
        <v>4</v>
      </c>
      <c r="C51" s="2" t="s">
        <v>120</v>
      </c>
      <c r="D51" s="2"/>
    </row>
    <row r="52" customFormat="false" ht="15" hidden="false" customHeight="false" outlineLevel="0" collapsed="false">
      <c r="A52" s="3" t="s">
        <v>14237</v>
      </c>
      <c r="B52" s="2" t="n">
        <f aca="false">COUNTIF('Use cases'!$K$2:$K$6000,"*NEW: SubstitutionPicker,*")+COUNTIF('Use cases'!$K$2:$K$6000,"*NEW: SubstitutionPicker")+COUNTIF('Use cases'!$K$2:$K$6000,"*NEW: SubstitutionPicker *")</f>
        <v>4</v>
      </c>
      <c r="C52" s="2" t="s">
        <v>14238</v>
      </c>
      <c r="D52" s="2"/>
    </row>
    <row r="53" customFormat="false" ht="15" hidden="false" customHeight="false" outlineLevel="0" collapsed="false">
      <c r="A53" s="3" t="s">
        <v>14239</v>
      </c>
      <c r="B53" s="2" t="n">
        <f aca="false">COUNTIF('Use cases'!$K$2:$K$6000,"*NEW: SizePicker,*")+COUNTIF('Use cases'!$K$2:$K$6000,"*NEW: SizePicker")+COUNTIF('Use cases'!$K$2:$K$6000,"*NEW: SizePicker *")</f>
        <v>4</v>
      </c>
      <c r="C53" s="2" t="s">
        <v>220</v>
      </c>
      <c r="D53" s="2"/>
    </row>
    <row r="54" customFormat="false" ht="15" hidden="false" customHeight="false" outlineLevel="0" collapsed="false">
      <c r="A54" s="3" t="s">
        <v>14240</v>
      </c>
      <c r="B54" s="2" t="n">
        <f aca="false">COUNTIF('Use cases'!$K$2:$K$6000,"*NEW: ProgrammeLink,*")+COUNTIF('Use cases'!$K$2:$K$6000,"*NEW: ProgrammeLink")+COUNTIF('Use cases'!$K$2:$K$6000,"*NEW: ProgrammeLink *")</f>
        <v>4</v>
      </c>
      <c r="C54" s="2" t="s">
        <v>14241</v>
      </c>
      <c r="D54" s="2"/>
    </row>
    <row r="55" customFormat="false" ht="15" hidden="false" customHeight="false" outlineLevel="0" collapsed="false">
      <c r="A55" s="3" t="s">
        <v>14242</v>
      </c>
      <c r="B55" s="2" t="n">
        <f aca="false">COUNTIF('Use cases'!$K$2:$K$6000,"*NEW: KycCheck,*")+COUNTIF('Use cases'!$K$2:$K$6000,"*NEW: KycCheck")+COUNTIF('Use cases'!$K$2:$K$6000,"*NEW: KycCheck *")</f>
        <v>4</v>
      </c>
      <c r="C55" s="2" t="s">
        <v>14243</v>
      </c>
      <c r="D55" s="2"/>
    </row>
    <row r="56" customFormat="false" ht="15" hidden="false" customHeight="false" outlineLevel="0" collapsed="false">
      <c r="A56" s="3" t="s">
        <v>14244</v>
      </c>
      <c r="B56" s="2" t="n">
        <f aca="false">COUNTIF('Use cases'!$K$2:$K$6000,"*NEW: TaxSummary,*")+COUNTIF('Use cases'!$K$2:$K$6000,"*NEW: TaxSummary")+COUNTIF('Use cases'!$K$2:$K$6000,"*NEW: TaxSummary *")</f>
        <v>4</v>
      </c>
      <c r="C56" s="2" t="s">
        <v>349</v>
      </c>
      <c r="D56" s="2"/>
    </row>
    <row r="57" customFormat="false" ht="15" hidden="false" customHeight="false" outlineLevel="0" collapsed="false">
      <c r="A57" s="3" t="s">
        <v>14245</v>
      </c>
      <c r="B57" s="2" t="n">
        <f aca="false">COUNTIF('Use cases'!$K$2:$K$6000,"*NEW: SecureCardDetails,*")+COUNTIF('Use cases'!$K$2:$K$6000,"*NEW: SecureCardDetails")+COUNTIF('Use cases'!$K$2:$K$6000,"*NEW: SecureCardDetails *")</f>
        <v>4</v>
      </c>
      <c r="C57" s="2" t="s">
        <v>14235</v>
      </c>
      <c r="D57" s="2"/>
    </row>
    <row r="58" customFormat="false" ht="15" hidden="false" customHeight="false" outlineLevel="0" collapsed="false">
      <c r="A58" s="3" t="s">
        <v>14246</v>
      </c>
      <c r="B58" s="2" t="n">
        <f aca="false">COUNTIF('Use cases'!$K$2:$K$6000,"*NEW: AmountSlider,*")+COUNTIF('Use cases'!$K$2:$K$6000,"*NEW: AmountSlider")+COUNTIF('Use cases'!$K$2:$K$6000,"*NEW: AmountSlider *")</f>
        <v>4</v>
      </c>
      <c r="C58" s="2" t="s">
        <v>426</v>
      </c>
      <c r="D58" s="2"/>
    </row>
    <row r="59" customFormat="false" ht="15" hidden="false" customHeight="false" outlineLevel="0" collapsed="false">
      <c r="A59" s="3" t="s">
        <v>14247</v>
      </c>
      <c r="B59" s="2" t="n">
        <f aca="false">COUNTIF('Use cases'!$K$2:$K$6000,"*NEW: ReviewSummary,*")+COUNTIF('Use cases'!$K$2:$K$6000,"*NEW: ReviewSummary")+COUNTIF('Use cases'!$K$2:$K$6000,"*NEW: ReviewSummary *")</f>
        <v>3</v>
      </c>
      <c r="C59" s="2" t="s">
        <v>14248</v>
      </c>
      <c r="D59" s="2" t="s">
        <v>14249</v>
      </c>
    </row>
    <row r="60" customFormat="false" ht="15" hidden="false" customHeight="false" outlineLevel="0" collapsed="false">
      <c r="A60" s="3" t="s">
        <v>1203</v>
      </c>
      <c r="B60" s="2" t="n">
        <f aca="false">COUNTIF('Use cases'!$K$2:$K$6000,"*NEW: Queue,*")+COUNTIF('Use cases'!$K$2:$K$6000,"*NEW: Queue")+COUNTIF('Use cases'!$K$2:$K$6000,"*NEW: Queue *")</f>
        <v>3</v>
      </c>
      <c r="C60" s="2" t="s">
        <v>14250</v>
      </c>
      <c r="D60" s="2"/>
    </row>
    <row r="61" customFormat="false" ht="15" hidden="false" customHeight="false" outlineLevel="0" collapsed="false">
      <c r="A61" s="3" t="s">
        <v>14251</v>
      </c>
      <c r="B61" s="2" t="n">
        <f aca="false">COUNTIF('Use cases'!$K$2:$K$6000,"*NEW: StockAlert,*")+COUNTIF('Use cases'!$K$2:$K$6000,"*NEW: StockAlert")+COUNTIF('Use cases'!$K$2:$K$6000,"*NEW: StockAlert *")</f>
        <v>3</v>
      </c>
      <c r="C61" s="2" t="s">
        <v>14252</v>
      </c>
      <c r="D61" s="2"/>
    </row>
    <row r="62" customFormat="false" ht="15" hidden="false" customHeight="false" outlineLevel="0" collapsed="false">
      <c r="A62" s="3" t="s">
        <v>14253</v>
      </c>
      <c r="B62" s="2" t="n">
        <f aca="false">COUNTIF('Use cases'!$K$2:$K$6000,"*NEW: WarrantyCard,*")+COUNTIF('Use cases'!$K$2:$K$6000,"*NEW: WarrantyCard")+COUNTIF('Use cases'!$K$2:$K$6000,"*NEW: WarrantyCard *")</f>
        <v>3</v>
      </c>
      <c r="C62" s="2" t="s">
        <v>14254</v>
      </c>
      <c r="D62" s="2"/>
    </row>
    <row r="63" customFormat="false" ht="15" hidden="false" customHeight="false" outlineLevel="0" collapsed="false">
      <c r="A63" s="3" t="s">
        <v>14255</v>
      </c>
      <c r="B63" s="2" t="n">
        <f aca="false">COUNTIF('Use cases'!$K$2:$K$6000,"*NEW: GiftCardWallet,*")+COUNTIF('Use cases'!$K$2:$K$6000,"*NEW: GiftCardWallet")+COUNTIF('Use cases'!$K$2:$K$6000,"*NEW: GiftCardWallet *")</f>
        <v>3</v>
      </c>
      <c r="C63" s="2" t="s">
        <v>14256</v>
      </c>
      <c r="D63" s="2"/>
    </row>
    <row r="64" customFormat="false" ht="15" hidden="false" customHeight="false" outlineLevel="0" collapsed="false">
      <c r="A64" s="3" t="s">
        <v>14257</v>
      </c>
      <c r="B64" s="2" t="n">
        <f aca="false">COUNTIF('Use cases'!$K$2:$K$6000,"*NEW: RoomsAndGuests,*")+COUNTIF('Use cases'!$K$2:$K$6000,"*NEW: RoomsAndGuests")+COUNTIF('Use cases'!$K$2:$K$6000,"*NEW: RoomsAndGuests *")</f>
        <v>2</v>
      </c>
      <c r="C64" s="2" t="s">
        <v>14258</v>
      </c>
      <c r="D64" s="2"/>
    </row>
    <row r="65" customFormat="false" ht="15" hidden="false" customHeight="false" outlineLevel="0" collapsed="false">
      <c r="A65" s="3" t="s">
        <v>14259</v>
      </c>
      <c r="B65" s="2" t="n">
        <f aca="false">COUNTIF('Use cases'!$K$2:$K$6000,"*NEW: PhotoGallery,*")+COUNTIF('Use cases'!$K$2:$K$6000,"*NEW: PhotoGallery")+COUNTIF('Use cases'!$K$2:$K$6000,"*NEW: PhotoGallery *")</f>
        <v>2</v>
      </c>
      <c r="C65" s="2" t="s">
        <v>14258</v>
      </c>
      <c r="D65" s="2"/>
    </row>
    <row r="66" customFormat="false" ht="15" hidden="false" customHeight="false" outlineLevel="0" collapsed="false">
      <c r="A66" s="3" t="s">
        <v>14260</v>
      </c>
      <c r="B66" s="2" t="n">
        <f aca="false">COUNTIF('Use cases'!$K$2:$K$6000,"*NEW: HouseRules,*")+COUNTIF('Use cases'!$K$2:$K$6000,"*NEW: HouseRules")+COUNTIF('Use cases'!$K$2:$K$6000,"*NEW: HouseRules *")</f>
        <v>2</v>
      </c>
      <c r="C66" s="2" t="s">
        <v>104</v>
      </c>
      <c r="D66" s="2"/>
    </row>
    <row r="67" customFormat="false" ht="15" hidden="false" customHeight="false" outlineLevel="0" collapsed="false">
      <c r="A67" s="3" t="s">
        <v>14261</v>
      </c>
      <c r="B67" s="2" t="n">
        <f aca="false">COUNTIF('Use cases'!$K$2:$K$6000,"*NEW: CheckInInstructions,*")+COUNTIF('Use cases'!$K$2:$K$6000,"*NEW: CheckInInstructions")+COUNTIF('Use cases'!$K$2:$K$6000,"*NEW: CheckInInstructions *")</f>
        <v>2</v>
      </c>
      <c r="C67" s="2" t="s">
        <v>104</v>
      </c>
      <c r="D67" s="2"/>
    </row>
    <row r="68" customFormat="false" ht="15" hidden="false" customHeight="false" outlineLevel="0" collapsed="false">
      <c r="A68" s="3" t="s">
        <v>14262</v>
      </c>
      <c r="B68" s="2" t="n">
        <f aca="false">COUNTIF('Use cases'!$K$2:$K$6000,"*NEW: DepositHold,*")+COUNTIF('Use cases'!$K$2:$K$6000,"*NEW: DepositHold")+COUNTIF('Use cases'!$K$2:$K$6000,"*NEW: DepositHold *")</f>
        <v>2</v>
      </c>
      <c r="C68" s="2" t="s">
        <v>14263</v>
      </c>
      <c r="D68" s="2"/>
    </row>
    <row r="69" customFormat="false" ht="15" hidden="false" customHeight="false" outlineLevel="0" collapsed="false">
      <c r="A69" s="3" t="s">
        <v>14264</v>
      </c>
      <c r="B69" s="2" t="n">
        <f aca="false">COUNTIF('Use cases'!$K$2:$K$6000,"*NEW: PackageBuilder,*")+COUNTIF('Use cases'!$K$2:$K$6000,"*NEW: PackageBuilder")+COUNTIF('Use cases'!$K$2:$K$6000,"*NEW: PackageBuilder *")</f>
        <v>2</v>
      </c>
      <c r="C69" s="2" t="s">
        <v>14265</v>
      </c>
      <c r="D69" s="2"/>
    </row>
    <row r="70" customFormat="false" ht="15" hidden="false" customHeight="false" outlineLevel="0" collapsed="false">
      <c r="A70" s="3" t="s">
        <v>14266</v>
      </c>
      <c r="B70" s="2" t="n">
        <f aca="false">COUNTIF('Use cases'!$K$2:$K$6000,"*NEW: TrainTicket,*")+COUNTIF('Use cases'!$K$2:$K$6000,"*NEW: TrainTicket")+COUNTIF('Use cases'!$K$2:$K$6000,"*NEW: TrainTicket *")</f>
        <v>2</v>
      </c>
      <c r="C70" s="2" t="s">
        <v>155</v>
      </c>
      <c r="D70" s="2"/>
    </row>
    <row r="71" customFormat="false" ht="15" hidden="false" customHeight="false" outlineLevel="0" collapsed="false">
      <c r="A71" s="3" t="s">
        <v>14267</v>
      </c>
      <c r="B71" s="2" t="n">
        <f aca="false">COUNTIF('Use cases'!$K$2:$K$6000,"*NEW: DamageCheck,*")+COUNTIF('Use cases'!$K$2:$K$6000,"*NEW: DamageCheck")+COUNTIF('Use cases'!$K$2:$K$6000,"*NEW: DamageCheck *")</f>
        <v>2</v>
      </c>
      <c r="C71" s="2" t="s">
        <v>159</v>
      </c>
      <c r="D71" s="2"/>
    </row>
    <row r="72" customFormat="false" ht="15" hidden="false" customHeight="false" outlineLevel="0" collapsed="false">
      <c r="A72" s="3" t="s">
        <v>14268</v>
      </c>
      <c r="B72" s="2" t="n">
        <f aca="false">COUNTIF('Use cases'!$K$2:$K$6000,"*NEW: DriverCard,*")+COUNTIF('Use cases'!$K$2:$K$6000,"*NEW: DriverCard")+COUNTIF('Use cases'!$K$2:$K$6000,"*NEW: DriverCard *")</f>
        <v>2</v>
      </c>
      <c r="C72" s="2" t="s">
        <v>162</v>
      </c>
      <c r="D72" s="2"/>
    </row>
    <row r="73" customFormat="false" ht="15" hidden="false" customHeight="false" outlineLevel="0" collapsed="false">
      <c r="A73" s="3" t="s">
        <v>14269</v>
      </c>
      <c r="B73" s="2" t="n">
        <f aca="false">COUNTIF('Use cases'!$K$2:$K$6000,"*NEW: Waiver,*")+COUNTIF('Use cases'!$K$2:$K$6000,"*NEW: Waiver")+COUNTIF('Use cases'!$K$2:$K$6000,"*NEW: Waiver *")</f>
        <v>2</v>
      </c>
      <c r="C73" s="2" t="s">
        <v>14270</v>
      </c>
      <c r="D73" s="2"/>
    </row>
    <row r="74" customFormat="false" ht="15" hidden="false" customHeight="false" outlineLevel="0" collapsed="false">
      <c r="A74" s="3" t="s">
        <v>14271</v>
      </c>
      <c r="B74" s="2" t="n">
        <f aca="false">COUNTIF('Use cases'!$K$2:$K$6000,"*NEW: BulkOrder,*")+COUNTIF('Use cases'!$K$2:$K$6000,"*NEW: BulkOrder")+COUNTIF('Use cases'!$K$2:$K$6000,"*NEW: BulkOrder *")</f>
        <v>2</v>
      </c>
      <c r="C74" s="2" t="s">
        <v>261</v>
      </c>
      <c r="D74" s="2"/>
    </row>
    <row r="75" customFormat="false" ht="15" hidden="false" customHeight="false" outlineLevel="0" collapsed="false">
      <c r="A75" s="3" t="s">
        <v>14272</v>
      </c>
      <c r="B75" s="2" t="n">
        <f aca="false">COUNTIF('Use cases'!$K$2:$K$6000,"*NEW: BulkReport,*")+COUNTIF('Use cases'!$K$2:$K$6000,"*NEW: BulkReport")+COUNTIF('Use cases'!$K$2:$K$6000,"*NEW: BulkReport *")</f>
        <v>2</v>
      </c>
      <c r="C75" s="2" t="s">
        <v>261</v>
      </c>
      <c r="D75" s="2"/>
    </row>
    <row r="76" customFormat="false" ht="15" hidden="false" customHeight="false" outlineLevel="0" collapsed="false">
      <c r="A76" s="3" t="s">
        <v>14273</v>
      </c>
      <c r="B76" s="2" t="n">
        <f aca="false">COUNTIF('Use cases'!$K$2:$K$6000,"*NEW: ExpiryTimeline,*")+COUNTIF('Use cases'!$K$2:$K$6000,"*NEW: ExpiryTimeline")+COUNTIF('Use cases'!$K$2:$K$6000,"*NEW: ExpiryTimeline *")</f>
        <v>2</v>
      </c>
      <c r="C76" s="2" t="s">
        <v>314</v>
      </c>
      <c r="D76" s="2"/>
    </row>
    <row r="77" customFormat="false" ht="15" hidden="false" customHeight="false" outlineLevel="0" collapsed="false">
      <c r="A77" s="3" t="s">
        <v>14274</v>
      </c>
      <c r="B77" s="2" t="n">
        <f aca="false">COUNTIF('Use cases'!$K$2:$K$6000,"*NEW: SuitabilityQuiz,*")+COUNTIF('Use cases'!$K$2:$K$6000,"*NEW: SuitabilityQuiz")+COUNTIF('Use cases'!$K$2:$K$6000,"*NEW: SuitabilityQuiz *")</f>
        <v>2</v>
      </c>
      <c r="C77" s="2" t="s">
        <v>14275</v>
      </c>
      <c r="D77" s="2"/>
    </row>
    <row r="78" customFormat="false" ht="15" hidden="false" customHeight="false" outlineLevel="0" collapsed="false">
      <c r="A78" s="3" t="s">
        <v>14276</v>
      </c>
      <c r="B78" s="2" t="n">
        <f aca="false">COUNTIF('Use cases'!$K$2:$K$6000,"*NEW: VisaChecklist,*")+COUNTIF('Use cases'!$K$2:$K$6000,"*NEW: VisaChecklist")+COUNTIF('Use cases'!$K$2:$K$6000,"*NEW: VisaChecklist *")</f>
        <v>2</v>
      </c>
      <c r="C78" s="2" t="s">
        <v>352</v>
      </c>
      <c r="D78" s="2"/>
    </row>
    <row r="79" customFormat="false" ht="15" hidden="false" customHeight="false" outlineLevel="0" collapsed="false">
      <c r="A79" s="3" t="s">
        <v>14277</v>
      </c>
      <c r="B79" s="2" t="n">
        <f aca="false">COUNTIF('Use cases'!$K$2:$K$6000,"*NEW: EsimInstall,*")+COUNTIF('Use cases'!$K$2:$K$6000,"*NEW: EsimInstall")+COUNTIF('Use cases'!$K$2:$K$6000,"*NEW: EsimInstall *")</f>
        <v>2</v>
      </c>
      <c r="C79" s="2" t="s">
        <v>364</v>
      </c>
      <c r="D79" s="2"/>
    </row>
    <row r="80" customFormat="false" ht="15" hidden="false" customHeight="false" outlineLevel="0" collapsed="false">
      <c r="A80" s="3" t="s">
        <v>14278</v>
      </c>
      <c r="B80" s="2" t="n">
        <f aca="false">COUNTIF('Use cases'!$K$2:$K$6000,"*NEW: PolicyDoc,*")+COUNTIF('Use cases'!$K$2:$K$6000,"*NEW: PolicyDoc")+COUNTIF('Use cases'!$K$2:$K$6000,"*NEW: PolicyDoc *")</f>
        <v>2</v>
      </c>
      <c r="C80" s="2" t="s">
        <v>401</v>
      </c>
      <c r="D80" s="2"/>
    </row>
    <row r="81" customFormat="false" ht="15" hidden="false" customHeight="false" outlineLevel="0" collapsed="false">
      <c r="A81" s="3" t="s">
        <v>14279</v>
      </c>
      <c r="B81" s="2" t="n">
        <f aca="false">COUNTIF('Use cases'!$K$2:$K$6000,"*NEW: RewardsLedger,*")+COUNTIF('Use cases'!$K$2:$K$6000,"*NEW: RewardsLedger")+COUNTIF('Use cases'!$K$2:$K$6000,"*NEW: RewardsLedger *")</f>
        <v>2</v>
      </c>
      <c r="C81" s="2" t="s">
        <v>14280</v>
      </c>
      <c r="D81" s="2"/>
    </row>
    <row r="82" customFormat="false" ht="15" hidden="false" customHeight="false" outlineLevel="0" collapsed="false">
      <c r="A82" s="3" t="s">
        <v>14281</v>
      </c>
      <c r="B82" s="2" t="n">
        <f aca="false">COUNTIF('Use cases'!$K$2:$K$6000,"*NEW: MembershipCard,*")+COUNTIF('Use cases'!$K$2:$K$6000,"*NEW: MembershipCard")+COUNTIF('Use cases'!$K$2:$K$6000,"*NEW: MembershipCard *")</f>
        <v>2</v>
      </c>
      <c r="C82" s="2" t="s">
        <v>14282</v>
      </c>
      <c r="D82" s="2"/>
    </row>
    <row r="83" customFormat="false" ht="15" hidden="false" customHeight="false" outlineLevel="0" collapsed="false">
      <c r="A83" s="3" t="s">
        <v>14283</v>
      </c>
      <c r="B83" s="2" t="n">
        <f aca="false">COUNTIF('Use cases'!$K$2:$K$6000,"*NEW: ConversationHistory,*")+COUNTIF('Use cases'!$K$2:$K$6000,"*NEW: ConversationHistory")+COUNTIF('Use cases'!$K$2:$K$6000,"*NEW: ConversationHistory *")</f>
        <v>2</v>
      </c>
      <c r="C83" s="2" t="s">
        <v>414</v>
      </c>
      <c r="D83" s="2"/>
    </row>
    <row r="84" customFormat="false" ht="15" hidden="false" customHeight="false" outlineLevel="0" collapsed="false">
      <c r="A84" s="3" t="s">
        <v>14284</v>
      </c>
      <c r="B84" s="2" t="n">
        <f aca="false">COUNTIF('Use cases'!$K$2:$K$6000,"*NEW: SettingsList,*")+COUNTIF('Use cases'!$K$2:$K$6000,"*NEW: SettingsList")+COUNTIF('Use cases'!$K$2:$K$6000,"*NEW: SettingsList *")</f>
        <v>2</v>
      </c>
      <c r="C84" s="2" t="s">
        <v>414</v>
      </c>
      <c r="D84" s="2"/>
    </row>
    <row r="85" customFormat="false" ht="15" hidden="false" customHeight="false" outlineLevel="0" collapsed="false">
      <c r="A85" s="3" t="s">
        <v>14285</v>
      </c>
      <c r="B85" s="2" t="n">
        <f aca="false">COUNTIF('Use cases'!$K$2:$K$6000,"*NEW: ExportSheet,*")+COUNTIF('Use cases'!$K$2:$K$6000,"*NEW: ExportSheet")+COUNTIF('Use cases'!$K$2:$K$6000,"*NEW: ExportSheet *")</f>
        <v>2</v>
      </c>
      <c r="C85" s="2" t="s">
        <v>14286</v>
      </c>
      <c r="D85" s="2"/>
    </row>
    <row r="86" customFormat="false" ht="15" hidden="false" customHeight="false" outlineLevel="0" collapsed="false">
      <c r="A86" s="3" t="s">
        <v>14287</v>
      </c>
      <c r="B86" s="2" t="n">
        <f aca="false">COUNTIF('Use cases'!$K$2:$K$6000,"*NEW: RepaymentCalculator,*")+COUNTIF('Use cases'!$K$2:$K$6000,"*NEW: RepaymentCalculator")+COUNTIF('Use cases'!$K$2:$K$6000,"*NEW: RepaymentCalculator *")</f>
        <v>2</v>
      </c>
      <c r="C86" s="2" t="s">
        <v>14288</v>
      </c>
      <c r="D86" s="2"/>
    </row>
    <row r="87" customFormat="false" ht="15" hidden="false" customHeight="false" outlineLevel="0" collapsed="false">
      <c r="A87" s="3" t="s">
        <v>14289</v>
      </c>
      <c r="B87" s="2" t="n">
        <f aca="false">COUNTIF('Use cases'!$K$2:$K$6000,"*NEW: CreditScoreCard,*")+COUNTIF('Use cases'!$K$2:$K$6000,"*NEW: CreditScoreCard")+COUNTIF('Use cases'!$K$2:$K$6000,"*NEW: CreditScoreCard *")</f>
        <v>2</v>
      </c>
      <c r="C87" s="2" t="s">
        <v>426</v>
      </c>
      <c r="D87" s="2"/>
    </row>
    <row r="88" customFormat="false" ht="15" hidden="false" customHeight="false" outlineLevel="0" collapsed="false">
      <c r="A88" s="3" t="s">
        <v>14290</v>
      </c>
      <c r="B88" s="2" t="n">
        <f aca="false">COUNTIF('Use cases'!$K$2:$K$6000,"*NEW: ComplaintForm,*")+COUNTIF('Use cases'!$K$2:$K$6000,"*NEW: ComplaintForm")+COUNTIF('Use cases'!$K$2:$K$6000,"*NEW: ComplaintForm *")</f>
        <v>2</v>
      </c>
      <c r="C88" s="2" t="s">
        <v>432</v>
      </c>
      <c r="D88" s="2"/>
    </row>
    <row r="89" customFormat="false" ht="15" hidden="false" customHeight="false" outlineLevel="0" collapsed="false">
      <c r="A89" s="3" t="s">
        <v>14291</v>
      </c>
      <c r="B89" s="2" t="n">
        <f aca="false">COUNTIF('Use cases'!$K$2:$K$6000,"*NEW: Inclusions,*")+COUNTIF('Use cases'!$K$2:$K$6000,"*NEW: Inclusions")+COUNTIF('Use cases'!$K$2:$K$6000,"*NEW: Inclusions *")</f>
        <v>1</v>
      </c>
      <c r="C89" s="2" t="s">
        <v>108</v>
      </c>
      <c r="D89" s="2"/>
    </row>
    <row r="90" customFormat="false" ht="15" hidden="false" customHeight="false" outlineLevel="0" collapsed="false">
      <c r="A90" s="3" t="s">
        <v>14292</v>
      </c>
      <c r="B90" s="2" t="n">
        <f aca="false">COUNTIF('Use cases'!$K$2:$K$6000,"*NEW: DigitalKey,*")+COUNTIF('Use cases'!$K$2:$K$6000,"*NEW: DigitalKey")+COUNTIF('Use cases'!$K$2:$K$6000,"*NEW: DigitalKey *")</f>
        <v>1</v>
      </c>
      <c r="C90" s="2" t="s">
        <v>115</v>
      </c>
      <c r="D90" s="2"/>
    </row>
    <row r="91" customFormat="false" ht="15" hidden="false" customHeight="false" outlineLevel="0" collapsed="false">
      <c r="A91" s="3" t="s">
        <v>14293</v>
      </c>
      <c r="B91" s="2" t="n">
        <f aca="false">COUNTIF('Use cases'!$K$2:$K$6000,"*NEW: RailSeatPicker,*")+COUNTIF('Use cases'!$K$2:$K$6000,"*NEW: RailSeatPicker")+COUNTIF('Use cases'!$K$2:$K$6000,"*NEW: RailSeatPicker *")</f>
        <v>1</v>
      </c>
      <c r="C91" s="2" t="s">
        <v>155</v>
      </c>
      <c r="D91" s="2"/>
    </row>
    <row r="92" customFormat="false" ht="15" hidden="false" customHeight="false" outlineLevel="0" collapsed="false">
      <c r="A92" s="3" t="s">
        <v>14294</v>
      </c>
      <c r="B92" s="2" t="n">
        <f aca="false">COUNTIF('Use cases'!$K$2:$K$6000,"*NEW: RiderContact,*")+COUNTIF('Use cases'!$K$2:$K$6000,"*NEW: RiderContact")+COUNTIF('Use cases'!$K$2:$K$6000,"*NEW: RiderContact *")</f>
        <v>1</v>
      </c>
      <c r="C92" s="2" t="s">
        <v>202</v>
      </c>
      <c r="D92" s="2"/>
    </row>
    <row r="93" customFormat="false" ht="15" hidden="false" customHeight="false" outlineLevel="0" collapsed="false">
      <c r="A93" s="3" t="s">
        <v>14295</v>
      </c>
      <c r="B93" s="2" t="n">
        <f aca="false">COUNTIF('Use cases'!$K$2:$K$6000,"*NEW: TradeInQuote,*")+COUNTIF('Use cases'!$K$2:$K$6000,"*NEW: TradeInQuote")+COUNTIF('Use cases'!$K$2:$K$6000,"*NEW: TradeInQuote *")</f>
        <v>1</v>
      </c>
      <c r="C93" s="2" t="s">
        <v>215</v>
      </c>
      <c r="D93" s="2"/>
    </row>
    <row r="94" customFormat="false" ht="15" hidden="false" customHeight="false" outlineLevel="0" collapsed="false">
      <c r="A94" s="3" t="s">
        <v>14296</v>
      </c>
      <c r="B94" s="2" t="n">
        <f aca="false">COUNTIF('Use cases'!$K$2:$K$6000,"*NEW: SavingsGoal,*")+COUNTIF('Use cases'!$K$2:$K$6000,"*NEW: SavingsGoal")+COUNTIF('Use cases'!$K$2:$K$6000,"*NEW: SavingsGoal *")</f>
        <v>1</v>
      </c>
      <c r="C94" s="2" t="s">
        <v>215</v>
      </c>
      <c r="D94" s="2"/>
    </row>
    <row r="95" customFormat="false" ht="15" hidden="false" customHeight="false" outlineLevel="0" collapsed="false">
      <c r="A95" s="3" t="s">
        <v>14297</v>
      </c>
      <c r="B95" s="2" t="n">
        <f aca="false">COUNTIF('Use cases'!$K$2:$K$6000,"*NEW: ShadeFinder,*")+COUNTIF('Use cases'!$K$2:$K$6000,"*NEW: ShadeFinder")+COUNTIF('Use cases'!$K$2:$K$6000,"*NEW: ShadeFinder *")</f>
        <v>1</v>
      </c>
      <c r="C95" s="2" t="s">
        <v>220</v>
      </c>
      <c r="D95" s="2"/>
    </row>
    <row r="96" customFormat="false" ht="15" hidden="false" customHeight="false" outlineLevel="0" collapsed="false">
      <c r="A96" s="3" t="s">
        <v>14298</v>
      </c>
      <c r="B96" s="2" t="n">
        <f aca="false">COUNTIF('Use cases'!$K$2:$K$6000,"*NEW: OutboundLink,*")+COUNTIF('Use cases'!$K$2:$K$6000,"*NEW: OutboundLink")+COUNTIF('Use cases'!$K$2:$K$6000,"*NEW: OutboundLink *")</f>
        <v>1</v>
      </c>
      <c r="C96" s="2" t="s">
        <v>232</v>
      </c>
      <c r="D96" s="2"/>
    </row>
    <row r="97" customFormat="false" ht="15" hidden="false" customHeight="false" outlineLevel="0" collapsed="false">
      <c r="A97" s="3" t="s">
        <v>14299</v>
      </c>
      <c r="B97" s="2" t="n">
        <f aca="false">COUNTIF('Use cases'!$K$2:$K$6000,"*NEW: GroupGift,*")+COUNTIF('Use cases'!$K$2:$K$6000,"*NEW: GroupGift")+COUNTIF('Use cases'!$K$2:$K$6000,"*NEW: GroupGift *")</f>
        <v>1</v>
      </c>
      <c r="C97" s="2" t="s">
        <v>252</v>
      </c>
      <c r="D97" s="2"/>
    </row>
    <row r="98" customFormat="false" ht="15" hidden="false" customHeight="false" outlineLevel="0" collapsed="false">
      <c r="A98" s="3" t="s">
        <v>14300</v>
      </c>
      <c r="B98" s="2" t="n">
        <f aca="false">COUNTIF('Use cases'!$K$2:$K$6000,"*NEW: PointsChart,*")+COUNTIF('Use cases'!$K$2:$K$6000,"*NEW: PointsChart")+COUNTIF('Use cases'!$K$2:$K$6000,"*NEW: PointsChart *")</f>
        <v>1</v>
      </c>
      <c r="C98" s="2" t="s">
        <v>310</v>
      </c>
      <c r="D98" s="2"/>
    </row>
    <row r="99" customFormat="false" ht="15" hidden="false" customHeight="false" outlineLevel="0" collapsed="false">
      <c r="A99" s="3" t="s">
        <v>14301</v>
      </c>
      <c r="B99" s="2" t="n">
        <f aca="false">COUNTIF('Use cases'!$K$2:$K$6000,"*NEW: GiftAidDeclaration,*")+COUNTIF('Use cases'!$K$2:$K$6000,"*NEW: GiftAidDeclaration")+COUNTIF('Use cases'!$K$2:$K$6000,"*NEW: GiftAidDeclaration *")</f>
        <v>1</v>
      </c>
      <c r="C99" s="2" t="s">
        <v>349</v>
      </c>
      <c r="D99" s="2"/>
    </row>
    <row r="100" customFormat="false" ht="15" hidden="false" customHeight="false" outlineLevel="0" collapsed="false">
      <c r="A100" s="3" t="s">
        <v>14302</v>
      </c>
      <c r="B100" s="2" t="n">
        <f aca="false">COUNTIF('Use cases'!$K$2:$K$6000,"*NEW: DeviceCheck,*")+COUNTIF('Use cases'!$K$2:$K$6000,"*NEW: DeviceCheck")+COUNTIF('Use cases'!$K$2:$K$6000,"*NEW: DeviceCheck *")</f>
        <v>1</v>
      </c>
      <c r="C100" s="2" t="s">
        <v>364</v>
      </c>
      <c r="D100" s="2"/>
    </row>
    <row r="101" customFormat="false" ht="15" hidden="false" customHeight="false" outlineLevel="0" collapsed="false">
      <c r="A101" s="3" t="s">
        <v>14303</v>
      </c>
      <c r="B101" s="2" t="n">
        <f aca="false">COUNTIF('Use cases'!$K$2:$K$6000,"*NEW: MessageDraft,*")+COUNTIF('Use cases'!$K$2:$K$6000,"*NEW: MessageDraft")+COUNTIF('Use cases'!$K$2:$K$6000,"*NEW: MessageDraft *")</f>
        <v>1</v>
      </c>
      <c r="C101" s="2" t="s">
        <v>397</v>
      </c>
      <c r="D101" s="2"/>
    </row>
    <row r="102" customFormat="false" ht="15" hidden="false" customHeight="false" outlineLevel="0" collapsed="false">
      <c r="A102" s="3" t="s">
        <v>14304</v>
      </c>
      <c r="B102" s="2" t="n">
        <f aca="false">COUNTIF('Use cases'!$K$2:$K$6000,"*NEW: ConsentSheet,*")+COUNTIF('Use cases'!$K$2:$K$6000,"*NEW: ConsentSheet")+COUNTIF('Use cases'!$K$2:$K$6000,"*NEW: ConsentSheet *")</f>
        <v>1</v>
      </c>
      <c r="C102" s="2" t="s">
        <v>449</v>
      </c>
      <c r="D102" s="2"/>
    </row>
    <row r="103" customFormat="false" ht="15" hidden="false" customHeight="false" outlineLevel="0" collapsed="false">
      <c r="A103" s="3" t="s">
        <v>14305</v>
      </c>
      <c r="B103" s="2" t="n">
        <f aca="false">COUNTIF('Use cases'!$K$2:$K$6000,"*NEW: RateAnswer,*")+COUNTIF('Use cases'!$K$2:$K$6000,"*NEW: RateAnswer")+COUNTIF('Use cases'!$K$2:$K$6000,"*NEW: RateAnswer *")</f>
        <v>1</v>
      </c>
      <c r="C103" s="2" t="s">
        <v>414</v>
      </c>
      <c r="D103" s="2"/>
    </row>
    <row r="104" customFormat="false" ht="15" hidden="false" customHeight="false" outlineLevel="0" collapsed="false">
      <c r="A104" s="3" t="s">
        <v>14306</v>
      </c>
      <c r="B104" s="2" t="n">
        <f aca="false">COUNTIF('Use cases'!$K$2:$K$6000,"*NEW: BankTransferDetails,*")+COUNTIF('Use cases'!$K$2:$K$6000,"*NEW: BankTransferDetails")+COUNTIF('Use cases'!$K$2:$K$6000,"*NEW: BankTransferDetails *")</f>
        <v>1</v>
      </c>
      <c r="C104" s="2" t="s">
        <v>417</v>
      </c>
      <c r="D104" s="2"/>
    </row>
    <row r="105" customFormat="false" ht="15" hidden="false" customHeight="false" outlineLevel="0" collapsed="false">
      <c r="A105" s="3" t="s">
        <v>14307</v>
      </c>
      <c r="B105" s="2" t="n">
        <f aca="false">COUNTIF('Use cases'!$K$2:$K$6000,"*NEW: DatePicker,*")+COUNTIF('Use cases'!$K$2:$K$6000,"*NEW: DatePicker")+COUNTIF('Use cases'!$K$2:$K$6000,"*NEW: DatePicker *")</f>
        <v>1</v>
      </c>
      <c r="C105" s="2" t="s">
        <v>417</v>
      </c>
      <c r="D105" s="2"/>
    </row>
    <row r="106" customFormat="false" ht="15" hidden="false" customHeight="false" outlineLevel="0" collapsed="false">
      <c r="A106" s="3" t="s">
        <v>14308</v>
      </c>
      <c r="B106" s="2" t="n">
        <f aca="false">COUNTIF('Use cases'!$K$2:$K$6000,"*NEW: PinReveal,*")+COUNTIF('Use cases'!$K$2:$K$6000,"*NEW: PinReveal")+COUNTIF('Use cases'!$K$2:$K$6000,"*NEW: PinReveal *")</f>
        <v>1</v>
      </c>
      <c r="C106" s="2" t="s">
        <v>423</v>
      </c>
      <c r="D106" s="2"/>
    </row>
    <row r="107" customFormat="false" ht="15" hidden="false" customHeight="false" outlineLevel="0" collapsed="false">
      <c r="A107" s="3" t="s">
        <v>14309</v>
      </c>
      <c r="B107" s="2" t="n">
        <f aca="false">COUNTIF('Use cases'!$K$2:$K$6000,"*NEW: SecurityCode,*")+COUNTIF('Use cases'!$K$2:$K$6000,"*NEW: SecurityCode")+COUNTIF('Use cases'!$K$2:$K$6000,"*NEW: SecurityCode *")</f>
        <v>1</v>
      </c>
      <c r="C107" s="2" t="s">
        <v>423</v>
      </c>
      <c r="D107" s="2"/>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6"/>
    <col collapsed="false" customWidth="true" hidden="false" outlineLevel="0" max="2" min="2" style="0" width="11"/>
    <col collapsed="false" customWidth="true" hidden="false" outlineLevel="0" max="3" min="3" style="0" width="26"/>
    <col collapsed="false" customWidth="true" hidden="false" outlineLevel="0" max="4" min="4" style="0" width="30"/>
    <col collapsed="false" customWidth="true" hidden="false" outlineLevel="0" max="5" min="5" style="0" width="18"/>
    <col collapsed="false" customWidth="true" hidden="false" outlineLevel="0" max="7" min="6" style="0" width="30"/>
    <col collapsed="false" customWidth="true" hidden="false" outlineLevel="0" max="8" min="8" style="0" width="28"/>
    <col collapsed="false" customWidth="true" hidden="false" outlineLevel="0" max="9" min="9" style="0" width="10"/>
    <col collapsed="false" customWidth="true" hidden="false" outlineLevel="0" max="10" min="10" style="0" width="30"/>
    <col collapsed="false" customWidth="true" hidden="false" outlineLevel="0" max="11" min="11" style="0" width="28"/>
  </cols>
  <sheetData>
    <row r="1" customFormat="false" ht="23.85" hidden="false" customHeight="false" outlineLevel="0" collapsed="false">
      <c r="A1" s="10" t="s">
        <v>14310</v>
      </c>
      <c r="B1" s="10" t="s">
        <v>14311</v>
      </c>
      <c r="C1" s="10" t="s">
        <v>14312</v>
      </c>
      <c r="D1" s="10" t="s">
        <v>14313</v>
      </c>
      <c r="E1" s="10" t="s">
        <v>14314</v>
      </c>
      <c r="F1" s="10" t="s">
        <v>14315</v>
      </c>
      <c r="G1" s="10" t="s">
        <v>14316</v>
      </c>
      <c r="H1" s="10" t="s">
        <v>14317</v>
      </c>
      <c r="I1" s="10" t="s">
        <v>14318</v>
      </c>
      <c r="J1" s="10" t="s">
        <v>14319</v>
      </c>
      <c r="K1" s="10" t="s">
        <v>14320</v>
      </c>
    </row>
    <row r="2" customFormat="false" ht="23.85" hidden="false" customHeight="false" outlineLevel="0" collapsed="false">
      <c r="A2" s="11" t="s">
        <v>14321</v>
      </c>
      <c r="B2" s="11" t="s">
        <v>14322</v>
      </c>
      <c r="C2" s="11" t="s">
        <v>14323</v>
      </c>
      <c r="D2" s="11" t="s">
        <v>14324</v>
      </c>
      <c r="E2" s="11" t="s">
        <v>14325</v>
      </c>
      <c r="F2" s="11" t="s">
        <v>14326</v>
      </c>
      <c r="G2" s="11" t="s">
        <v>14327</v>
      </c>
      <c r="H2" s="11" t="s">
        <v>14328</v>
      </c>
      <c r="I2" s="11" t="s">
        <v>14329</v>
      </c>
      <c r="J2" s="11" t="s">
        <v>14330</v>
      </c>
      <c r="K2" s="11" t="s">
        <v>14331</v>
      </c>
    </row>
    <row r="3" customFormat="false" ht="35.05" hidden="false" customHeight="false" outlineLevel="0" collapsed="false">
      <c r="A3" s="11" t="s">
        <v>14332</v>
      </c>
      <c r="B3" s="11" t="s">
        <v>14333</v>
      </c>
      <c r="C3" s="11" t="s">
        <v>14334</v>
      </c>
      <c r="D3" s="11" t="s">
        <v>14335</v>
      </c>
      <c r="E3" s="11" t="s">
        <v>14336</v>
      </c>
      <c r="F3" s="11" t="s">
        <v>14337</v>
      </c>
      <c r="G3" s="11" t="s">
        <v>14338</v>
      </c>
      <c r="H3" s="11" t="s">
        <v>14339</v>
      </c>
      <c r="I3" s="11" t="s">
        <v>14329</v>
      </c>
      <c r="J3" s="11" t="s">
        <v>14340</v>
      </c>
      <c r="K3" s="11" t="s">
        <v>14341</v>
      </c>
    </row>
    <row r="4" customFormat="false" ht="35.05" hidden="false" customHeight="false" outlineLevel="0" collapsed="false">
      <c r="A4" s="11" t="s">
        <v>14342</v>
      </c>
      <c r="B4" s="11" t="s">
        <v>14343</v>
      </c>
      <c r="C4" s="11" t="s">
        <v>14344</v>
      </c>
      <c r="D4" s="11" t="s">
        <v>14345</v>
      </c>
      <c r="E4" s="11" t="s">
        <v>14346</v>
      </c>
      <c r="F4" s="11" t="s">
        <v>14347</v>
      </c>
      <c r="G4" s="11" t="s">
        <v>14348</v>
      </c>
      <c r="H4" s="11" t="s">
        <v>14349</v>
      </c>
      <c r="I4" s="11" t="s">
        <v>14350</v>
      </c>
      <c r="J4" s="11" t="s">
        <v>14351</v>
      </c>
      <c r="K4" s="11" t="s">
        <v>14352</v>
      </c>
    </row>
    <row r="5" customFormat="false" ht="23.85" hidden="false" customHeight="false" outlineLevel="0" collapsed="false">
      <c r="A5" s="11" t="s">
        <v>14353</v>
      </c>
      <c r="B5" s="11" t="s">
        <v>14354</v>
      </c>
      <c r="C5" s="11" t="s">
        <v>14355</v>
      </c>
      <c r="D5" s="11" t="s">
        <v>14324</v>
      </c>
      <c r="E5" s="11" t="s">
        <v>14336</v>
      </c>
      <c r="F5" s="11" t="s">
        <v>14356</v>
      </c>
      <c r="G5" s="11" t="s">
        <v>14357</v>
      </c>
      <c r="H5" s="11" t="s">
        <v>14358</v>
      </c>
      <c r="I5" s="11" t="s">
        <v>14329</v>
      </c>
      <c r="J5" s="11" t="s">
        <v>14359</v>
      </c>
      <c r="K5" s="11" t="s">
        <v>14360</v>
      </c>
    </row>
    <row r="6" customFormat="false" ht="23.85" hidden="false" customHeight="false" outlineLevel="0" collapsed="false">
      <c r="A6" s="11" t="s">
        <v>14361</v>
      </c>
      <c r="B6" s="11" t="s">
        <v>14362</v>
      </c>
      <c r="C6" s="11" t="s">
        <v>14363</v>
      </c>
      <c r="D6" s="11" t="s">
        <v>14324</v>
      </c>
      <c r="E6" s="11" t="s">
        <v>14364</v>
      </c>
      <c r="F6" s="11" t="s">
        <v>14365</v>
      </c>
      <c r="G6" s="11" t="s">
        <v>14366</v>
      </c>
      <c r="H6" s="11" t="s">
        <v>14367</v>
      </c>
      <c r="I6" s="11" t="s">
        <v>14350</v>
      </c>
      <c r="J6" s="11" t="s">
        <v>14330</v>
      </c>
      <c r="K6" s="11" t="s">
        <v>14368</v>
      </c>
    </row>
    <row r="7" customFormat="false" ht="35.05" hidden="false" customHeight="false" outlineLevel="0" collapsed="false">
      <c r="A7" s="11" t="s">
        <v>14369</v>
      </c>
      <c r="B7" s="11" t="s">
        <v>14370</v>
      </c>
      <c r="C7" s="11" t="s">
        <v>14371</v>
      </c>
      <c r="D7" s="11" t="s">
        <v>14372</v>
      </c>
      <c r="E7" s="11" t="s">
        <v>14346</v>
      </c>
      <c r="F7" s="11" t="s">
        <v>14373</v>
      </c>
      <c r="G7" s="11" t="s">
        <v>14374</v>
      </c>
      <c r="H7" s="11" t="s">
        <v>14358</v>
      </c>
      <c r="I7" s="11" t="s">
        <v>14329</v>
      </c>
      <c r="J7" s="11" t="s">
        <v>14375</v>
      </c>
      <c r="K7" s="11" t="s">
        <v>14376</v>
      </c>
    </row>
    <row r="9" customFormat="false" ht="15" hidden="false" customHeight="false" outlineLevel="0" collapsed="false">
      <c r="A9" s="4" t="s">
        <v>14377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4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4"/>
    <col collapsed="false" customWidth="true" hidden="false" outlineLevel="0" max="2" min="2" style="0" width="34"/>
    <col collapsed="false" customWidth="true" hidden="false" outlineLevel="0" max="3" min="3" style="0" width="3"/>
    <col collapsed="false" customWidth="true" hidden="false" outlineLevel="0" max="4" min="4" style="0" width="30"/>
    <col collapsed="false" customWidth="true" hidden="false" outlineLevel="0" max="5" min="5" style="0" width="6"/>
    <col collapsed="false" customWidth="true" hidden="false" outlineLevel="0" max="6" min="6" style="0" width="3"/>
    <col collapsed="false" customWidth="true" hidden="false" outlineLevel="0" max="7" min="7" style="0" width="30"/>
    <col collapsed="false" customWidth="true" hidden="false" outlineLevel="0" max="8" min="8" style="0" width="6"/>
  </cols>
  <sheetData>
    <row r="1" customFormat="false" ht="19.7" hidden="false" customHeight="false" outlineLevel="0" collapsed="false">
      <c r="A1" s="7" t="s">
        <v>14378</v>
      </c>
    </row>
    <row r="3" customFormat="false" ht="15" hidden="false" customHeight="false" outlineLevel="0" collapsed="false">
      <c r="A3" s="9" t="s">
        <v>460</v>
      </c>
      <c r="B3" s="9" t="s">
        <v>14379</v>
      </c>
      <c r="D3" s="9" t="s">
        <v>14380</v>
      </c>
      <c r="G3" s="9" t="s">
        <v>14381</v>
      </c>
    </row>
    <row r="4" customFormat="false" ht="15" hidden="false" customHeight="false" outlineLevel="0" collapsed="false">
      <c r="A4" s="4" t="s">
        <v>476</v>
      </c>
      <c r="B4" s="4" t="s">
        <v>14382</v>
      </c>
      <c r="D4" s="4" t="s">
        <v>1700</v>
      </c>
      <c r="E4" s="4" t="n">
        <v>20</v>
      </c>
      <c r="G4" s="4" t="s">
        <v>822</v>
      </c>
      <c r="H4" s="4" t="n">
        <v>37</v>
      </c>
    </row>
    <row r="5" customFormat="false" ht="15" hidden="false" customHeight="false" outlineLevel="0" collapsed="false">
      <c r="A5" s="4" t="s">
        <v>532</v>
      </c>
      <c r="B5" s="4" t="s">
        <v>14383</v>
      </c>
      <c r="D5" s="4" t="s">
        <v>1284</v>
      </c>
      <c r="E5" s="4" t="n">
        <v>18</v>
      </c>
      <c r="G5" s="4" t="s">
        <v>1252</v>
      </c>
      <c r="H5" s="4" t="n">
        <v>32</v>
      </c>
    </row>
    <row r="6" customFormat="false" ht="15" hidden="false" customHeight="false" outlineLevel="0" collapsed="false">
      <c r="A6" s="4" t="s">
        <v>626</v>
      </c>
      <c r="B6" s="4" t="s">
        <v>14384</v>
      </c>
      <c r="D6" s="4" t="s">
        <v>686</v>
      </c>
      <c r="E6" s="4" t="n">
        <v>13</v>
      </c>
      <c r="G6" s="4" t="s">
        <v>1259</v>
      </c>
      <c r="H6" s="4" t="n">
        <v>21</v>
      </c>
    </row>
    <row r="7" customFormat="false" ht="15" hidden="false" customHeight="false" outlineLevel="0" collapsed="false">
      <c r="A7" s="4" t="s">
        <v>751</v>
      </c>
      <c r="B7" s="4" t="s">
        <v>14385</v>
      </c>
      <c r="D7" s="4" t="s">
        <v>1564</v>
      </c>
      <c r="E7" s="4" t="n">
        <v>12</v>
      </c>
      <c r="G7" s="4" t="s">
        <v>3402</v>
      </c>
      <c r="H7" s="4" t="n">
        <v>21</v>
      </c>
    </row>
    <row r="8" customFormat="false" ht="15" hidden="false" customHeight="false" outlineLevel="0" collapsed="false">
      <c r="A8" s="4" t="s">
        <v>802</v>
      </c>
      <c r="B8" s="4" t="s">
        <v>14386</v>
      </c>
      <c r="D8" s="4" t="s">
        <v>2118</v>
      </c>
      <c r="E8" s="4" t="n">
        <v>10</v>
      </c>
      <c r="G8" s="4" t="s">
        <v>1148</v>
      </c>
      <c r="H8" s="4" t="n">
        <v>19</v>
      </c>
    </row>
    <row r="9" customFormat="false" ht="15" hidden="false" customHeight="false" outlineLevel="0" collapsed="false">
      <c r="A9" s="4" t="s">
        <v>765</v>
      </c>
      <c r="B9" s="4" t="s">
        <v>14387</v>
      </c>
      <c r="D9" s="4" t="s">
        <v>612</v>
      </c>
      <c r="E9" s="4" t="n">
        <v>9</v>
      </c>
      <c r="G9" s="4" t="s">
        <v>1479</v>
      </c>
      <c r="H9" s="4" t="n">
        <v>18</v>
      </c>
    </row>
    <row r="10" customFormat="false" ht="15" hidden="false" customHeight="false" outlineLevel="0" collapsed="false">
      <c r="A10" s="4" t="s">
        <v>1081</v>
      </c>
      <c r="B10" s="4" t="s">
        <v>14388</v>
      </c>
      <c r="D10" s="4" t="s">
        <v>5469</v>
      </c>
      <c r="E10" s="4" t="n">
        <v>8</v>
      </c>
      <c r="G10" s="4" t="s">
        <v>1135</v>
      </c>
      <c r="H10" s="4" t="n">
        <v>16</v>
      </c>
    </row>
    <row r="11" customFormat="false" ht="15" hidden="false" customHeight="false" outlineLevel="0" collapsed="false">
      <c r="A11" s="4" t="s">
        <v>1187</v>
      </c>
      <c r="B11" s="4" t="s">
        <v>14389</v>
      </c>
      <c r="D11" s="4" t="s">
        <v>1259</v>
      </c>
      <c r="E11" s="4" t="n">
        <v>7</v>
      </c>
      <c r="G11" s="4" t="s">
        <v>1473</v>
      </c>
      <c r="H11" s="4" t="n">
        <v>15</v>
      </c>
    </row>
    <row r="12" customFormat="false" ht="15" hidden="false" customHeight="false" outlineLevel="0" collapsed="false">
      <c r="A12" s="4" t="s">
        <v>1133</v>
      </c>
      <c r="B12" s="4" t="s">
        <v>14390</v>
      </c>
      <c r="D12" s="4" t="s">
        <v>1286</v>
      </c>
      <c r="E12" s="4" t="n">
        <v>6</v>
      </c>
      <c r="G12" s="4" t="s">
        <v>511</v>
      </c>
      <c r="H12" s="4" t="n">
        <v>14</v>
      </c>
    </row>
    <row r="13" customFormat="false" ht="15" hidden="false" customHeight="false" outlineLevel="0" collapsed="false">
      <c r="A13" s="4" t="s">
        <v>1372</v>
      </c>
      <c r="B13" s="4" t="s">
        <v>14391</v>
      </c>
      <c r="D13" s="4" t="s">
        <v>6581</v>
      </c>
      <c r="E13" s="4" t="n">
        <v>6</v>
      </c>
      <c r="G13" s="4" t="s">
        <v>497</v>
      </c>
      <c r="H13" s="4" t="n">
        <v>13</v>
      </c>
    </row>
    <row r="14" customFormat="false" ht="15" hidden="false" customHeight="false" outlineLevel="0" collapsed="false">
      <c r="D14" s="4" t="s">
        <v>4828</v>
      </c>
      <c r="E14" s="4" t="n">
        <v>6</v>
      </c>
      <c r="G14" s="4" t="s">
        <v>1990</v>
      </c>
      <c r="H14" s="4" t="n">
        <v>13</v>
      </c>
    </row>
    <row r="15" customFormat="false" ht="15" hidden="false" customHeight="false" outlineLevel="0" collapsed="false">
      <c r="D15" s="4" t="s">
        <v>1280</v>
      </c>
      <c r="E15" s="4" t="n">
        <v>5</v>
      </c>
      <c r="G15" s="4" t="s">
        <v>3515</v>
      </c>
      <c r="H15" s="4" t="n">
        <v>13</v>
      </c>
    </row>
    <row r="16" customFormat="false" ht="15" hidden="false" customHeight="false" outlineLevel="0" collapsed="false">
      <c r="D16" s="4" t="s">
        <v>4860</v>
      </c>
      <c r="E16" s="4" t="n">
        <v>4</v>
      </c>
      <c r="G16" s="4" t="s">
        <v>2301</v>
      </c>
      <c r="H16" s="4" t="n">
        <v>12</v>
      </c>
    </row>
    <row r="17" customFormat="false" ht="15" hidden="false" customHeight="false" outlineLevel="0" collapsed="false">
      <c r="D17" s="4" t="s">
        <v>4577</v>
      </c>
      <c r="E17" s="4" t="n">
        <v>4</v>
      </c>
      <c r="G17" s="4" t="s">
        <v>597</v>
      </c>
      <c r="H17" s="4" t="n">
        <v>11</v>
      </c>
    </row>
    <row r="18" customFormat="false" ht="15" hidden="false" customHeight="false" outlineLevel="0" collapsed="false">
      <c r="D18" s="4" t="s">
        <v>1333</v>
      </c>
      <c r="E18" s="4" t="n">
        <v>3</v>
      </c>
      <c r="G18" s="4" t="s">
        <v>1634</v>
      </c>
      <c r="H18" s="4" t="n">
        <v>9</v>
      </c>
    </row>
    <row r="19" customFormat="false" ht="15" hidden="false" customHeight="false" outlineLevel="0" collapsed="false">
      <c r="D19" s="4" t="s">
        <v>1165</v>
      </c>
      <c r="E19" s="4" t="n">
        <v>3</v>
      </c>
      <c r="G19" s="4" t="s">
        <v>2253</v>
      </c>
      <c r="H19" s="4" t="n">
        <v>9</v>
      </c>
    </row>
    <row r="20" customFormat="false" ht="15" hidden="false" customHeight="false" outlineLevel="0" collapsed="false">
      <c r="D20" s="4" t="s">
        <v>1659</v>
      </c>
      <c r="E20" s="4" t="n">
        <v>3</v>
      </c>
      <c r="G20" s="4" t="s">
        <v>4847</v>
      </c>
      <c r="H20" s="4" t="n">
        <v>9</v>
      </c>
    </row>
    <row r="21" customFormat="false" ht="15" hidden="false" customHeight="false" outlineLevel="0" collapsed="false">
      <c r="D21" s="4" t="s">
        <v>2663</v>
      </c>
      <c r="E21" s="4" t="n">
        <v>3</v>
      </c>
      <c r="G21" s="4" t="s">
        <v>2160</v>
      </c>
      <c r="H21" s="4" t="n">
        <v>8</v>
      </c>
    </row>
    <row r="22" customFormat="false" ht="15" hidden="false" customHeight="false" outlineLevel="0" collapsed="false">
      <c r="D22" s="4" t="s">
        <v>3569</v>
      </c>
      <c r="E22" s="4" t="n">
        <v>3</v>
      </c>
      <c r="G22" s="4" t="s">
        <v>6948</v>
      </c>
      <c r="H22" s="4" t="n">
        <v>8</v>
      </c>
    </row>
    <row r="23" customFormat="false" ht="15" hidden="false" customHeight="false" outlineLevel="0" collapsed="false">
      <c r="D23" s="4" t="s">
        <v>5941</v>
      </c>
      <c r="E23" s="4" t="n">
        <v>3</v>
      </c>
      <c r="G23" s="4" t="s">
        <v>484</v>
      </c>
      <c r="H23" s="4" t="n">
        <v>7</v>
      </c>
    </row>
    <row r="24" customFormat="false" ht="15" hidden="false" customHeight="false" outlineLevel="0" collapsed="false">
      <c r="D24" s="4" t="s">
        <v>4903</v>
      </c>
      <c r="E24" s="4" t="n">
        <v>3</v>
      </c>
      <c r="G24" s="4" t="s">
        <v>946</v>
      </c>
      <c r="H24" s="4" t="n">
        <v>7</v>
      </c>
    </row>
    <row r="25" customFormat="false" ht="15" hidden="false" customHeight="false" outlineLevel="0" collapsed="false">
      <c r="D25" s="4" t="s">
        <v>5934</v>
      </c>
      <c r="E25" s="4" t="n">
        <v>3</v>
      </c>
      <c r="G25" s="4" t="s">
        <v>1118</v>
      </c>
      <c r="H25" s="4" t="n">
        <v>7</v>
      </c>
    </row>
    <row r="26" customFormat="false" ht="15" hidden="false" customHeight="false" outlineLevel="0" collapsed="false">
      <c r="D26" s="4" t="s">
        <v>6573</v>
      </c>
      <c r="E26" s="4" t="n">
        <v>3</v>
      </c>
      <c r="G26" s="4" t="s">
        <v>2873</v>
      </c>
      <c r="H26" s="4" t="n">
        <v>7</v>
      </c>
    </row>
    <row r="27" customFormat="false" ht="15" hidden="false" customHeight="false" outlineLevel="0" collapsed="false">
      <c r="D27" s="4" t="s">
        <v>7242</v>
      </c>
      <c r="E27" s="4" t="n">
        <v>3</v>
      </c>
      <c r="G27" s="4" t="s">
        <v>491</v>
      </c>
      <c r="H27" s="4" t="n">
        <v>6</v>
      </c>
    </row>
    <row r="28" customFormat="false" ht="15" hidden="false" customHeight="false" outlineLevel="0" collapsed="false">
      <c r="D28" s="4" t="s">
        <v>8192</v>
      </c>
      <c r="E28" s="4" t="n">
        <v>3</v>
      </c>
      <c r="G28" s="4" t="s">
        <v>1299</v>
      </c>
      <c r="H28" s="4" t="n">
        <v>6</v>
      </c>
    </row>
    <row r="29" customFormat="false" ht="15" hidden="false" customHeight="false" outlineLevel="0" collapsed="false">
      <c r="D29" s="4" t="s">
        <v>8525</v>
      </c>
      <c r="E29" s="4" t="n">
        <v>3</v>
      </c>
      <c r="G29" s="4" t="s">
        <v>1083</v>
      </c>
      <c r="H29" s="4" t="n">
        <v>6</v>
      </c>
    </row>
    <row r="30" customFormat="false" ht="15" hidden="false" customHeight="false" outlineLevel="0" collapsed="false">
      <c r="D30" s="4" t="s">
        <v>8716</v>
      </c>
      <c r="E30" s="4" t="n">
        <v>3</v>
      </c>
      <c r="G30" s="4" t="s">
        <v>1944</v>
      </c>
      <c r="H30" s="4" t="n">
        <v>6</v>
      </c>
    </row>
    <row r="31" customFormat="false" ht="15" hidden="false" customHeight="false" outlineLevel="0" collapsed="false">
      <c r="D31" s="4" t="s">
        <v>10689</v>
      </c>
      <c r="E31" s="4" t="n">
        <v>3</v>
      </c>
      <c r="G31" s="4" t="s">
        <v>2853</v>
      </c>
      <c r="H31" s="4" t="n">
        <v>6</v>
      </c>
    </row>
    <row r="32" customFormat="false" ht="15" hidden="false" customHeight="false" outlineLevel="0" collapsed="false">
      <c r="D32" s="4" t="s">
        <v>13158</v>
      </c>
      <c r="E32" s="4" t="n">
        <v>3</v>
      </c>
      <c r="G32" s="4" t="s">
        <v>2866</v>
      </c>
      <c r="H32" s="4" t="n">
        <v>6</v>
      </c>
    </row>
    <row r="33" customFormat="false" ht="15" hidden="false" customHeight="false" outlineLevel="0" collapsed="false">
      <c r="D33" s="4" t="s">
        <v>605</v>
      </c>
      <c r="E33" s="4" t="n">
        <v>2</v>
      </c>
      <c r="G33" s="4" t="s">
        <v>3783</v>
      </c>
      <c r="H33" s="4" t="n">
        <v>6</v>
      </c>
    </row>
    <row r="34" customFormat="false" ht="15" hidden="false" customHeight="false" outlineLevel="0" collapsed="false">
      <c r="D34" s="4" t="s">
        <v>613</v>
      </c>
      <c r="E34" s="4" t="n">
        <v>2</v>
      </c>
      <c r="G34" s="4" t="s">
        <v>3867</v>
      </c>
      <c r="H34" s="4" t="n">
        <v>6</v>
      </c>
    </row>
    <row r="35" customFormat="false" ht="15" hidden="false" customHeight="false" outlineLevel="0" collapsed="false">
      <c r="D35" s="4" t="s">
        <v>680</v>
      </c>
      <c r="E35" s="4" t="n">
        <v>2</v>
      </c>
      <c r="G35" s="4" t="s">
        <v>4253</v>
      </c>
      <c r="H35" s="4" t="n">
        <v>6</v>
      </c>
    </row>
    <row r="36" customFormat="false" ht="15" hidden="false" customHeight="false" outlineLevel="0" collapsed="false">
      <c r="D36" s="4" t="s">
        <v>1240</v>
      </c>
      <c r="E36" s="4" t="n">
        <v>2</v>
      </c>
      <c r="G36" s="4" t="s">
        <v>4791</v>
      </c>
      <c r="H36" s="4" t="n">
        <v>6</v>
      </c>
    </row>
    <row r="37" customFormat="false" ht="15" hidden="false" customHeight="false" outlineLevel="0" collapsed="false">
      <c r="D37" s="4" t="s">
        <v>965</v>
      </c>
      <c r="E37" s="4" t="n">
        <v>2</v>
      </c>
      <c r="G37" s="4" t="s">
        <v>7498</v>
      </c>
      <c r="H37" s="4" t="n">
        <v>6</v>
      </c>
    </row>
    <row r="38" customFormat="false" ht="15" hidden="false" customHeight="false" outlineLevel="0" collapsed="false">
      <c r="D38" s="4" t="s">
        <v>1597</v>
      </c>
      <c r="E38" s="4" t="n">
        <v>2</v>
      </c>
      <c r="G38" s="4" t="s">
        <v>8673</v>
      </c>
      <c r="H38" s="4" t="n">
        <v>6</v>
      </c>
    </row>
    <row r="39" customFormat="false" ht="15" hidden="false" customHeight="false" outlineLevel="0" collapsed="false">
      <c r="D39" s="4" t="s">
        <v>1198</v>
      </c>
      <c r="E39" s="4" t="n">
        <v>2</v>
      </c>
      <c r="G39" s="4" t="s">
        <v>1312</v>
      </c>
      <c r="H39" s="4" t="n">
        <v>5</v>
      </c>
    </row>
    <row r="40" customFormat="false" ht="15" hidden="false" customHeight="false" outlineLevel="0" collapsed="false">
      <c r="D40" s="4" t="s">
        <v>2219</v>
      </c>
      <c r="E40" s="4" t="n">
        <v>2</v>
      </c>
      <c r="G40" s="4" t="s">
        <v>867</v>
      </c>
      <c r="H40" s="4" t="n">
        <v>5</v>
      </c>
    </row>
    <row r="41" customFormat="false" ht="15" hidden="false" customHeight="false" outlineLevel="0" collapsed="false">
      <c r="D41" s="4" t="s">
        <v>2247</v>
      </c>
      <c r="E41" s="4" t="n">
        <v>2</v>
      </c>
      <c r="G41" s="4" t="s">
        <v>1040</v>
      </c>
      <c r="H41" s="4" t="n">
        <v>5</v>
      </c>
    </row>
    <row r="42" customFormat="false" ht="15" hidden="false" customHeight="false" outlineLevel="0" collapsed="false">
      <c r="D42" s="4" t="s">
        <v>2675</v>
      </c>
      <c r="E42" s="4" t="n">
        <v>2</v>
      </c>
      <c r="G42" s="4" t="s">
        <v>219</v>
      </c>
      <c r="H42" s="4" t="n">
        <v>5</v>
      </c>
    </row>
    <row r="43" customFormat="false" ht="15" hidden="false" customHeight="false" outlineLevel="0" collapsed="false">
      <c r="D43" s="4" t="s">
        <v>2711</v>
      </c>
      <c r="E43" s="4" t="n">
        <v>2</v>
      </c>
      <c r="G43" s="4" t="s">
        <v>1142</v>
      </c>
      <c r="H43" s="4" t="n">
        <v>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2026-09-28T15:43:59Z</dcterms:created>
  <dc:creator>openpyxl</dc:creator>
  <dc:description/>
  <dc:language>en-US</dc:language>
  <cp:lastModifiedBy/>
  <dcterms:modified xsi:type="dcterms:W3CDTF">2026-09-28T15:44:00Z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