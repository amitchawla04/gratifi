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Summary" sheetId="2" state="visible" r:id="rId4"/>
    <sheet name="Use cases" sheetId="3" state="visible" r:id="rId5"/>
    <sheet name="Markets" sheetId="4" state="visible" r:id="rId6"/>
    <sheet name="Grammar" sheetId="5" state="visible" r:id="rId7"/>
  </sheets>
  <definedNames>
    <definedName function="false" hidden="true" localSheetId="2" name="_xlnm._FilterDatabase" vbProcedure="false">'Use cases'!$A$1:$P$119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<sst xmlns="http://schemas.openxmlformats.org/spreadsheetml/2006/main" count="1173" uniqueCount="929">
  <si>
    <t xml:space="preserve">Gratifi: flight use cases</t>
  </si>
  <si>
    <t xml:space="preserve">Every thing a customer might want done with a flight, written as one row each, with what Gratifi does, the UI blocks it uses from the Gratifi UI kit, what the systems decide, and what changes by market.</t>
  </si>
  <si>
    <t xml:space="preserve">How a row is built</t>
  </si>
  <si>
    <t xml:space="preserve">Stage × Job × Constraint × Exception. The same job ("Book a return flight") appears once per constraint that changes the answer, and once per exception that changes the flow.</t>
  </si>
  <si>
    <t xml:space="preserve">Customer says is one real example; the agent is trained on many phrasings per row. Gratifi does is the answer shape. UI blocks name components in the kit. Rules are decided by systems, never by the model.</t>
  </si>
  <si>
    <t xml:space="preserve">Scoring (1 low to 5 high)</t>
  </si>
  <si>
    <t xml:space="preserve">Volume: how often customers ask. Value: revenue or loyalty impact. Risk: harm if wrong (money, rights, safety). Priority = Volume × Value ÷ Risk.</t>
  </si>
  <si>
    <t xml:space="preserve">Build waves (edit the blue cells to change them)</t>
  </si>
  <si>
    <t xml:space="preserve">Wave 1 needs priority of at least</t>
  </si>
  <si>
    <t xml:space="preserve">Wave 1 needs risk no higher than</t>
  </si>
  <si>
    <t xml:space="preserve">Rows with risk of at least this go to wave 3 (legal and human sign-off first)</t>
  </si>
  <si>
    <t xml:space="preserve">Core path (Y) rows are wave 1 whatever their score: a customer cannot book without them.</t>
  </si>
  <si>
    <t xml:space="preserve">Status</t>
  </si>
  <si>
    <t xml:space="preserve">• Scores are a first pass by Claude for discussion; the product team should re-score with real volumes from partner banks.</t>
  </si>
  <si>
    <t xml:space="preserve">• Compensation amounts are named only where set by law (UK261, EU261). For India (DGCA), Malaysia (MAVCOM), Singapore and UAE the rule is named and the amount must come from each bank's legal team.</t>
  </si>
  <si>
    <t xml:space="preserve">• Airlines in the kit are fictional. Market notes are prompts to check, not legal advice.</t>
  </si>
  <si>
    <t xml:space="preserve">• To add a use case: add a row at the bottom of "Use cases" and copy the Priority and Wave formulas down.</t>
  </si>
  <si>
    <t xml:space="preserve">Summary</t>
  </si>
  <si>
    <t xml:space="preserve">Stage</t>
  </si>
  <si>
    <t xml:space="preserve">Use cases</t>
  </si>
  <si>
    <t xml:space="preserve">Wave 1</t>
  </si>
  <si>
    <t xml:space="preserve">Wave 2</t>
  </si>
  <si>
    <t xml:space="preserve">Wave 3</t>
  </si>
  <si>
    <t xml:space="preserve">Average priority</t>
  </si>
  <si>
    <t xml:space="preserve">Inspire</t>
  </si>
  <si>
    <t xml:space="preserve">Search</t>
  </si>
  <si>
    <t xml:space="preserve">Choose</t>
  </si>
  <si>
    <t xml:space="preserve">Pay</t>
  </si>
  <si>
    <t xml:space="preserve">Extras</t>
  </si>
  <si>
    <t xml:space="preserve">Before the trip</t>
  </si>
  <si>
    <t xml:space="preserve">Day of travel</t>
  </si>
  <si>
    <t xml:space="preserve">Disruption</t>
  </si>
  <si>
    <t xml:space="preserve">After the trip</t>
  </si>
  <si>
    <t xml:space="preserve">Points and card</t>
  </si>
  <si>
    <t xml:space="preserve">Total</t>
  </si>
  <si>
    <t xml:space="preserve">Wave 1 is what the agent handles end to end first. Wave 3 needs legal sign-off and a human in the loop before launch.</t>
  </si>
  <si>
    <t xml:space="preserve">ID</t>
  </si>
  <si>
    <t xml:space="preserve">Job</t>
  </si>
  <si>
    <t xml:space="preserve">Constraint</t>
  </si>
  <si>
    <t xml:space="preserve">Exception</t>
  </si>
  <si>
    <t xml:space="preserve">Customer says</t>
  </si>
  <si>
    <t xml:space="preserve">Gratifi does</t>
  </si>
  <si>
    <t xml:space="preserve">UI blocks (kit)</t>
  </si>
  <si>
    <t xml:space="preserve">Rules: systems decide</t>
  </si>
  <si>
    <t xml:space="preserve">Market notes</t>
  </si>
  <si>
    <t xml:space="preserve">Volume</t>
  </si>
  <si>
    <t xml:space="preserve">Value</t>
  </si>
  <si>
    <t xml:space="preserve">Risk</t>
  </si>
  <si>
    <t xml:space="preserve">Core path</t>
  </si>
  <si>
    <t xml:space="preserve">Priority</t>
  </si>
  <si>
    <t xml:space="preserve">Wave</t>
  </si>
  <si>
    <t xml:space="preserve">FL-INS-01</t>
  </si>
  <si>
    <t xml:space="preserve">Find somewhere to go</t>
  </si>
  <si>
    <t xml:space="preserve">Budget</t>
  </si>
  <si>
    <t xml:space="preserve">Somewhere warm in October for under 40,000 points</t>
  </si>
  <si>
    <t xml:space="preserve">Suggests 3 places the points cover, with flight price and weather</t>
  </si>
  <si>
    <t xml:space="preserve">Answer, Rail, Polaroid, Price</t>
  </si>
  <si>
    <t xml:space="preserve">Only places with live fares under the budget</t>
  </si>
  <si>
    <t xml:space="preserve">FL-INS-02</t>
  </si>
  <si>
    <t xml:space="preserve">Dates fixed</t>
  </si>
  <si>
    <t xml:space="preserve">Where can I go for the long weekend?</t>
  </si>
  <si>
    <t xml:space="preserve">Finds direct flights for those dates, shortest first</t>
  </si>
  <si>
    <t xml:space="preserve">Answer, Rail, FlightCard</t>
  </si>
  <si>
    <t xml:space="preserve">Uses the bank holiday calendar for the market</t>
  </si>
  <si>
    <t xml:space="preserve">Holiday calendars differ per market: bank holidays (UK), Diwali (IN), Eid (AE, MY), Chinese New Year (SG, MY)</t>
  </si>
  <si>
    <t xml:space="preserve">FL-INS-03</t>
  </si>
  <si>
    <t xml:space="preserve">Points only</t>
  </si>
  <si>
    <t xml:space="preserve">What can I get with my points alone?</t>
  </si>
  <si>
    <t xml:space="preserve">Shows trips fully covered by the balance</t>
  </si>
  <si>
    <t xml:space="preserve">Answer, Dial, Rail</t>
  </si>
  <si>
    <t xml:space="preserve">Balance and point value from the bank</t>
  </si>
  <si>
    <t xml:space="preserve">FL-INS-04</t>
  </si>
  <si>
    <t xml:space="preserve">Travelling with kids</t>
  </si>
  <si>
    <t xml:space="preserve">Somewhere easy with a toddler, short flight</t>
  </si>
  <si>
    <t xml:space="preserve">Filters to under 3 hours, direct, family-friendly stays</t>
  </si>
  <si>
    <t xml:space="preserve">Answer, Rail, Chips</t>
  </si>
  <si>
    <t xml:space="preserve">Flight time cap is a hard filter</t>
  </si>
  <si>
    <t xml:space="preserve">FL-INS-05</t>
  </si>
  <si>
    <t xml:space="preserve">Get a price alert</t>
  </si>
  <si>
    <t xml:space="preserve">Route known</t>
  </si>
  <si>
    <t xml:space="preserve">Tell me if London to Lisbon drops under £150</t>
  </si>
  <si>
    <t xml:space="preserve">Sets an alert and confirms the threshold</t>
  </si>
  <si>
    <t xml:space="preserve">Toast, Toggle</t>
  </si>
  <si>
    <t xml:space="preserve">Alert fires on supplier price, not an estimate</t>
  </si>
  <si>
    <t xml:space="preserve">FL-INS-06</t>
  </si>
  <si>
    <t xml:space="preserve">Get told about a deal</t>
  </si>
  <si>
    <t xml:space="preserve">Card benefit</t>
  </si>
  <si>
    <t xml:space="preserve">(Gratifi starts it)</t>
  </si>
  <si>
    <t xml:space="preserve">Moment: a card offer on a route the customer flies often</t>
  </si>
  <si>
    <t xml:space="preserve">StickyNote, OfferCard</t>
  </si>
  <si>
    <t xml:space="preserve">Only offers the customer is eligible for; marketing consent checked</t>
  </si>
  <si>
    <t xml:space="preserve">Consent rules differ: UK GDPR/PECR, EU GDPR, India DPDP Act, Singapore PDPA, Malaysia PDPA, UAE PDPL</t>
  </si>
  <si>
    <t xml:space="preserve">FL-INS-07</t>
  </si>
  <si>
    <t xml:space="preserve">Plan around an event</t>
  </si>
  <si>
    <t xml:space="preserve">Date fixed by event</t>
  </si>
  <si>
    <t xml:space="preserve">Flights for the F1 weekend</t>
  </si>
  <si>
    <t xml:space="preserve">Finds flights and warns about peak prices</t>
  </si>
  <si>
    <t xml:space="preserve">Answer, PriceCalendar, StateCard</t>
  </si>
  <si>
    <t xml:space="preserve">Event dates from content partner</t>
  </si>
  <si>
    <t xml:space="preserve">FL-INS-08</t>
  </si>
  <si>
    <t xml:space="preserve">Compare two places</t>
  </si>
  <si>
    <t xml:space="preserve">Undecided</t>
  </si>
  <si>
    <t xml:space="preserve">Lisbon or Porto for 3 nights?</t>
  </si>
  <si>
    <t xml:space="preserve">Side-by-side of flight, hotel and total in points</t>
  </si>
  <si>
    <t xml:space="preserve">Compare</t>
  </si>
  <si>
    <t xml:space="preserve">Totals include taxes</t>
  </si>
  <si>
    <t xml:space="preserve">FL-SRC-01</t>
  </si>
  <si>
    <t xml:space="preserve">Book a return flight</t>
  </si>
  <si>
    <t xml:space="preserve">Lisbon for two, 16 to 18 October</t>
  </si>
  <si>
    <t xml:space="preserve">Three best options with a recommendation and the reason</t>
  </si>
  <si>
    <t xml:space="preserve">YouSaid, Steps, Answer, Rail, FlightCard, Suggestions</t>
  </si>
  <si>
    <t xml:space="preserve">Supplier fares only; the recommendation reason must be a stated fact</t>
  </si>
  <si>
    <t xml:space="preserve">Y</t>
  </si>
  <si>
    <t xml:space="preserve">FL-SRC-02</t>
  </si>
  <si>
    <t xml:space="preserve">Flexible dates</t>
  </si>
  <si>
    <t xml:space="preserve">Cheapest week in October to Lisbon</t>
  </si>
  <si>
    <t xml:space="preserve">Price calendar with the cheapest days marked</t>
  </si>
  <si>
    <t xml:space="preserve">PriceCalendar</t>
  </si>
  <si>
    <t xml:space="preserve">Calendar prices are cached; confirm live before pay</t>
  </si>
  <si>
    <t xml:space="preserve">Week starts Sunday in IN and SG, Monday elsewhere</t>
  </si>
  <si>
    <t xml:space="preserve">FL-SRC-03</t>
  </si>
  <si>
    <t xml:space="preserve">Book a one-way flight</t>
  </si>
  <si>
    <t xml:space="preserve">One way to Dubai on Friday</t>
  </si>
  <si>
    <t xml:space="preserve">Results for one-way only</t>
  </si>
  <si>
    <t xml:space="preserve">FlightCard, Rail</t>
  </si>
  <si>
    <t xml:space="preserve">FL-SRC-04</t>
  </si>
  <si>
    <t xml:space="preserve">Book a multi-city trip</t>
  </si>
  <si>
    <t xml:space="preserve">Several stops</t>
  </si>
  <si>
    <t xml:space="preserve">London to Lisbon, then Porto, then home</t>
  </si>
  <si>
    <t xml:space="preserve">Builds the legs and prices them together and separately</t>
  </si>
  <si>
    <t xml:space="preserve">Itinerary, Compare</t>
  </si>
  <si>
    <t xml:space="preserve">Separate tickets flagged: missed connections not protected</t>
  </si>
  <si>
    <t xml:space="preserve">FL-SRC-05</t>
  </si>
  <si>
    <t xml:space="preserve">Search with filters</t>
  </si>
  <si>
    <t xml:space="preserve">Direct only</t>
  </si>
  <si>
    <t xml:space="preserve">Only direct</t>
  </si>
  <si>
    <t xml:space="preserve">Filters and says how many are left</t>
  </si>
  <si>
    <t xml:space="preserve">FilterBar, Chips</t>
  </si>
  <si>
    <t xml:space="preserve">FL-SRC-06</t>
  </si>
  <si>
    <t xml:space="preserve">Time of day</t>
  </si>
  <si>
    <t xml:space="preserve">Nothing before 9am</t>
  </si>
  <si>
    <t xml:space="preserve">Filters by departure time</t>
  </si>
  <si>
    <t xml:space="preserve">FilterBar</t>
  </si>
  <si>
    <t xml:space="preserve">FL-SRC-07</t>
  </si>
  <si>
    <t xml:space="preserve">Airline preference</t>
  </si>
  <si>
    <t xml:space="preserve">Only airlines where I earn miles</t>
  </si>
  <si>
    <t xml:space="preserve">Filters to airlines linked to the customer's schemes</t>
  </si>
  <si>
    <t xml:space="preserve">FilterBar, Badge</t>
  </si>
  <si>
    <t xml:space="preserve">Frequent flyer numbers from the profile</t>
  </si>
  <si>
    <t xml:space="preserve">FL-SRC-08</t>
  </si>
  <si>
    <t xml:space="preserve">Bag included</t>
  </si>
  <si>
    <t xml:space="preserve">Must include a checked bag</t>
  </si>
  <si>
    <t xml:space="preserve">Filters to fares with a checked bag, shows true total</t>
  </si>
  <si>
    <t xml:space="preserve">FilterBar, FareFamilies</t>
  </si>
  <si>
    <t xml:space="preserve">Total must include the bag</t>
  </si>
  <si>
    <t xml:space="preserve">FL-SRC-09</t>
  </si>
  <si>
    <t xml:space="preserve">Search nearby airports</t>
  </si>
  <si>
    <t xml:space="preserve">City, not airport</t>
  </si>
  <si>
    <t xml:space="preserve">Any London airport</t>
  </si>
  <si>
    <t xml:space="preserve">Searches all airports for the city</t>
  </si>
  <si>
    <t xml:space="preserve">FlightCard</t>
  </si>
  <si>
    <t xml:space="preserve">Airport groups per city</t>
  </si>
  <si>
    <t xml:space="preserve">FL-SRC-10</t>
  </si>
  <si>
    <t xml:space="preserve">Search by voice</t>
  </si>
  <si>
    <t xml:space="preserve">Hands busy</t>
  </si>
  <si>
    <t xml:space="preserve">(spoken) Flights to Goa next weekend</t>
  </si>
  <si>
    <t xml:space="preserve">Transcribes, confirms understanding, searches</t>
  </si>
  <si>
    <t xml:space="preserve">AskBar (listening), YouSaid</t>
  </si>
  <si>
    <t xml:space="preserve">Shows what it heard before acting</t>
  </si>
  <si>
    <t xml:space="preserve">Voice in English first; Hindi, Arabic, Malay later</t>
  </si>
  <si>
    <t xml:space="preserve">FL-SRC-11</t>
  </si>
  <si>
    <t xml:space="preserve">Search for a group</t>
  </si>
  <si>
    <t xml:space="preserve">5 or more</t>
  </si>
  <si>
    <t xml:space="preserve">Flights for 8 of us</t>
  </si>
  <si>
    <t xml:space="preserve">Checks seat availability for 8, offers group fare route</t>
  </si>
  <si>
    <t xml:space="preserve">Travellers, StateCard, Handoff</t>
  </si>
  <si>
    <t xml:space="preserve">Over 9 passengers goes to group desk</t>
  </si>
  <si>
    <t xml:space="preserve">FL-SRC-12</t>
  </si>
  <si>
    <t xml:space="preserve">Search premium cabins</t>
  </si>
  <si>
    <t xml:space="preserve">Business class</t>
  </si>
  <si>
    <t xml:space="preserve">Business class to Singapore</t>
  </si>
  <si>
    <t xml:space="preserve">Shows business fares and points cost</t>
  </si>
  <si>
    <t xml:space="preserve">FlightCard, FareFamilies</t>
  </si>
  <si>
    <t xml:space="preserve">FL-SRC-13</t>
  </si>
  <si>
    <t xml:space="preserve">Search with points and cash</t>
  </si>
  <si>
    <t xml:space="preserve">Budget in points</t>
  </si>
  <si>
    <t xml:space="preserve">Use no more than 20,000 points</t>
  </si>
  <si>
    <t xml:space="preserve">Prices each option as points plus cash</t>
  </si>
  <si>
    <t xml:space="preserve">PointsSlider, Price</t>
  </si>
  <si>
    <t xml:space="preserve">Point value from the bank</t>
  </si>
  <si>
    <t xml:space="preserve">FL-SRC-14</t>
  </si>
  <si>
    <t xml:space="preserve">Nothing found</t>
  </si>
  <si>
    <t xml:space="preserve">Too strict</t>
  </si>
  <si>
    <t xml:space="preserve">No results</t>
  </si>
  <si>
    <t xml:space="preserve">Direct, before 9am, under £100</t>
  </si>
  <si>
    <t xml:space="preserve">Says which filter blocks it and offers the nearest options</t>
  </si>
  <si>
    <t xml:space="preserve">StateCard (empty)</t>
  </si>
  <si>
    <t xml:space="preserve">Never invents a flight</t>
  </si>
  <si>
    <t xml:space="preserve">FL-SRC-15</t>
  </si>
  <si>
    <t xml:space="preserve">Search fails</t>
  </si>
  <si>
    <t xml:space="preserve">Supplier down</t>
  </si>
  <si>
    <t xml:space="preserve">Timeout</t>
  </si>
  <si>
    <t xml:space="preserve">(any search)</t>
  </si>
  <si>
    <t xml:space="preserve">Says the airline is not answering, nothing was booked, try again</t>
  </si>
  <si>
    <t xml:space="preserve">StateCard (error)</t>
  </si>
  <si>
    <t xml:space="preserve">Retry with backoff; switch supplier if available</t>
  </si>
  <si>
    <t xml:space="preserve">FL-SRC-16</t>
  </si>
  <si>
    <t xml:space="preserve">Open jaw</t>
  </si>
  <si>
    <t xml:space="preserve">Fly into Lisbon, back from Porto</t>
  </si>
  <si>
    <t xml:space="preserve">Prices the open jaw as one trip</t>
  </si>
  <si>
    <t xml:space="preserve">Itinerary, FlightCard</t>
  </si>
  <si>
    <t xml:space="preserve">Fare construction by supplier</t>
  </si>
  <si>
    <t xml:space="preserve">FL-SRC-17</t>
  </si>
  <si>
    <t xml:space="preserve">Book for someone else</t>
  </si>
  <si>
    <t xml:space="preserve">Gift trip</t>
  </si>
  <si>
    <t xml:space="preserve">Book flights for my parents</t>
  </si>
  <si>
    <t xml:space="preserve">Captures their names, pays from my points</t>
  </si>
  <si>
    <t xml:space="preserve">Travellers, PayWith</t>
  </si>
  <si>
    <t xml:space="preserve">Names must match passports</t>
  </si>
  <si>
    <t xml:space="preserve">FL-SRC-18</t>
  </si>
  <si>
    <t xml:space="preserve">Book last minute</t>
  </si>
  <si>
    <t xml:space="preserve">Today</t>
  </si>
  <si>
    <t xml:space="preserve">Next flight to Edinburgh</t>
  </si>
  <si>
    <t xml:space="preserve">Shows flights leaving soonest with check-in cut-off</t>
  </si>
  <si>
    <t xml:space="preserve">FlightCard, Status</t>
  </si>
  <si>
    <t xml:space="preserve">Cut-off times per airline</t>
  </si>
  <si>
    <t xml:space="preserve">FL-CHO-01</t>
  </si>
  <si>
    <t xml:space="preserve">Choose between flights</t>
  </si>
  <si>
    <t xml:space="preserve">Two close options</t>
  </si>
  <si>
    <t xml:space="preserve">Which is better, the 7am or the 11am?</t>
  </si>
  <si>
    <t xml:space="preserve">Compares on what differs: time, bag, price, points back</t>
  </si>
  <si>
    <t xml:space="preserve">Only facts from the fares</t>
  </si>
  <si>
    <t xml:space="preserve">FL-CHO-02</t>
  </si>
  <si>
    <t xml:space="preserve">Understand a fare</t>
  </si>
  <si>
    <t xml:space="preserve">Unsure what is included</t>
  </si>
  <si>
    <t xml:space="preserve">Does Light include a bag?</t>
  </si>
  <si>
    <t xml:space="preserve">Shows fare families, ticked and greyed</t>
  </si>
  <si>
    <t xml:space="preserve">FareFamilies</t>
  </si>
  <si>
    <t xml:space="preserve">Fare rules from the supplier, word for word in the source</t>
  </si>
  <si>
    <t xml:space="preserve">FL-CHO-03</t>
  </si>
  <si>
    <t xml:space="preserve">Understand change rules</t>
  </si>
  <si>
    <t xml:space="preserve">Might change plans</t>
  </si>
  <si>
    <t xml:space="preserve">Can I change the date later?</t>
  </si>
  <si>
    <t xml:space="preserve">Plain-words fare rules: free, fee, not possible</t>
  </si>
  <si>
    <t xml:space="preserve">FareRules</t>
  </si>
  <si>
    <t xml:space="preserve">Rules from fare; never guessed</t>
  </si>
  <si>
    <t xml:space="preserve">FL-CHO-04</t>
  </si>
  <si>
    <t xml:space="preserve">See the full journey</t>
  </si>
  <si>
    <t xml:space="preserve">Connection</t>
  </si>
  <si>
    <t xml:space="preserve">How long is the stop in Porto?</t>
  </si>
  <si>
    <t xml:space="preserve">Itinerary with layover; tight ones in amber</t>
  </si>
  <si>
    <t xml:space="preserve">Itinerary</t>
  </si>
  <si>
    <t xml:space="preserve">Minimum connection time per airport</t>
  </si>
  <si>
    <t xml:space="preserve">FL-CHO-05</t>
  </si>
  <si>
    <t xml:space="preserve">See the plane</t>
  </si>
  <si>
    <t xml:space="preserve">Comfort</t>
  </si>
  <si>
    <t xml:space="preserve">What plane is it?</t>
  </si>
  <si>
    <t xml:space="preserve">Aircraft type and seat pitch if known</t>
  </si>
  <si>
    <t xml:space="preserve">Itinerary, Meta</t>
  </si>
  <si>
    <t xml:space="preserve">FL-CHO-06</t>
  </si>
  <si>
    <t xml:space="preserve">Choose travellers</t>
  </si>
  <si>
    <t xml:space="preserve">Children</t>
  </si>
  <si>
    <t xml:space="preserve">Two adults and a 3 year old</t>
  </si>
  <si>
    <t xml:space="preserve">Sets travellers with correct age bands</t>
  </si>
  <si>
    <t xml:space="preserve">Travellers</t>
  </si>
  <si>
    <t xml:space="preserve">Age on the day of travel; airline bands</t>
  </si>
  <si>
    <t xml:space="preserve">FL-CHO-07</t>
  </si>
  <si>
    <t xml:space="preserve">Infant on lap</t>
  </si>
  <si>
    <t xml:space="preserve">Plus a baby</t>
  </si>
  <si>
    <t xml:space="preserve">Adds infant, one per adult</t>
  </si>
  <si>
    <t xml:space="preserve">Infants never exceed adults</t>
  </si>
  <si>
    <t xml:space="preserve">FL-CHO-08</t>
  </si>
  <si>
    <t xml:space="preserve">Travelling alone as a minor</t>
  </si>
  <si>
    <t xml:space="preserve">My daughter is flying alone, she's 13</t>
  </si>
  <si>
    <t xml:space="preserve">Explains the airline's unaccompanied minor service and hands over</t>
  </si>
  <si>
    <t xml:space="preserve">StateCard, Handoff</t>
  </si>
  <si>
    <t xml:space="preserve">Unaccompanied minors always go to a person</t>
  </si>
  <si>
    <t xml:space="preserve">FL-CHO-09</t>
  </si>
  <si>
    <t xml:space="preserve">Price changed</t>
  </si>
  <si>
    <t xml:space="preserve">Between search and choose</t>
  </si>
  <si>
    <t xml:space="preserve">Fare rose</t>
  </si>
  <si>
    <t xml:space="preserve">(taps a flight)</t>
  </si>
  <si>
    <t xml:space="preserve">Shows old and new price, asks to continue</t>
  </si>
  <si>
    <t xml:space="preserve">StateCard (price)</t>
  </si>
  <si>
    <t xml:space="preserve">Never book at a higher price without a new yes</t>
  </si>
  <si>
    <t xml:space="preserve">FL-CHO-10</t>
  </si>
  <si>
    <t xml:space="preserve">Sold out</t>
  </si>
  <si>
    <t xml:space="preserve">Last seats</t>
  </si>
  <si>
    <t xml:space="preserve">Fare gone</t>
  </si>
  <si>
    <t xml:space="preserve">Says it has gone and offers the next best</t>
  </si>
  <si>
    <t xml:space="preserve">StateCard (soldout)</t>
  </si>
  <si>
    <t xml:space="preserve">FL-CHO-11</t>
  </si>
  <si>
    <t xml:space="preserve">Hold a fare</t>
  </si>
  <si>
    <t xml:space="preserve">Deciding</t>
  </si>
  <si>
    <t xml:space="preserve">Can you hold this for a day?</t>
  </si>
  <si>
    <t xml:space="preserve">Offers fare hold if the airline sells it</t>
  </si>
  <si>
    <t xml:space="preserve">StateCard, ConfirmSheet</t>
  </si>
  <si>
    <t xml:space="preserve">Hold price and time from the airline</t>
  </si>
  <si>
    <t xml:space="preserve">FL-CHO-12</t>
  </si>
  <si>
    <t xml:space="preserve">Check the carbon</t>
  </si>
  <si>
    <t xml:space="preserve">Green choice</t>
  </si>
  <si>
    <t xml:space="preserve">Which one is lower carbon?</t>
  </si>
  <si>
    <t xml:space="preserve">Shows estimated emissions per option</t>
  </si>
  <si>
    <t xml:space="preserve">Estimate from a named source</t>
  </si>
  <si>
    <t xml:space="preserve">Carbon disclosure rules vary; EU strictest</t>
  </si>
  <si>
    <t xml:space="preserve">FL-PAY-01</t>
  </si>
  <si>
    <t xml:space="preserve">Pay with points</t>
  </si>
  <si>
    <t xml:space="preserve">Enough points</t>
  </si>
  <si>
    <t xml:space="preserve">Shows points total, confirm, done</t>
  </si>
  <si>
    <t xml:space="preserve">PayWith, ConfirmSheet, Receipt</t>
  </si>
  <si>
    <t xml:space="preserve">Points value from the bank; spend needs a button with the amount</t>
  </si>
  <si>
    <t xml:space="preserve">Confirm: Face ID (UK, EU, AE, SG), one-time code (IN), bank app approval (MY)</t>
  </si>
  <si>
    <t xml:space="preserve">FL-PAY-02</t>
  </si>
  <si>
    <t xml:space="preserve">Pay with points and card</t>
  </si>
  <si>
    <t xml:space="preserve">Not enough points</t>
  </si>
  <si>
    <t xml:space="preserve">Use my points and put the rest on my card</t>
  </si>
  <si>
    <t xml:space="preserve">Splits points and card, shows both totals</t>
  </si>
  <si>
    <t xml:space="preserve">PayWith, PointsSlider, ConfirmSheet</t>
  </si>
  <si>
    <t xml:space="preserve">Minimum card part set by the bank</t>
  </si>
  <si>
    <t xml:space="preserve">Card part follows local card authentication rules</t>
  </si>
  <si>
    <t xml:space="preserve">FL-PAY-03</t>
  </si>
  <si>
    <t xml:space="preserve">Pay by card only</t>
  </si>
  <si>
    <t xml:space="preserve">Save points</t>
  </si>
  <si>
    <t xml:space="preserve">Keep my points, pay by card</t>
  </si>
  <si>
    <t xml:space="preserve">Card only, shows points earned</t>
  </si>
  <si>
    <t xml:space="preserve">PayWith, ConfirmSheet, Back</t>
  </si>
  <si>
    <t xml:space="preserve">FL-PAY-04</t>
  </si>
  <si>
    <t xml:space="preserve">Choose the split</t>
  </si>
  <si>
    <t xml:space="preserve">Specific amount</t>
  </si>
  <si>
    <t xml:space="preserve">Use exactly 10,000 points</t>
  </si>
  <si>
    <t xml:space="preserve">Sets the slider, shows the card part</t>
  </si>
  <si>
    <t xml:space="preserve">PointsSlider</t>
  </si>
  <si>
    <t xml:space="preserve">Steps in the bank's minimum unit</t>
  </si>
  <si>
    <t xml:space="preserve">FL-PAY-05</t>
  </si>
  <si>
    <t xml:space="preserve">Points only asked</t>
  </si>
  <si>
    <t xml:space="preserve">Short of points</t>
  </si>
  <si>
    <t xml:space="preserve">Says how many short and offers points and card</t>
  </si>
  <si>
    <t xml:space="preserve">PayWith (disabled option), StateCard</t>
  </si>
  <si>
    <t xml:space="preserve">FL-PAY-06</t>
  </si>
  <si>
    <t xml:space="preserve">Payment declined</t>
  </si>
  <si>
    <t xml:space="preserve">Card issue</t>
  </si>
  <si>
    <t xml:space="preserve">Declined</t>
  </si>
  <si>
    <t xml:space="preserve">(confirms)</t>
  </si>
  <si>
    <t xml:space="preserve">Says nothing was booked, offers another card or points</t>
  </si>
  <si>
    <t xml:space="preserve">No booking without payment success</t>
  </si>
  <si>
    <t xml:space="preserve">FL-PAY-07</t>
  </si>
  <si>
    <t xml:space="preserve">Authentication fails</t>
  </si>
  <si>
    <t xml:space="preserve">Face ID / code</t>
  </si>
  <si>
    <t xml:space="preserve">Failed or timed out</t>
  </si>
  <si>
    <t xml:space="preserve">Lets them retry; after 3 fails, hands to the bank's flow</t>
  </si>
  <si>
    <t xml:space="preserve">ConfirmSheet, StateCard</t>
  </si>
  <si>
    <t xml:space="preserve">Lockout rules from the bank</t>
  </si>
  <si>
    <t xml:space="preserve">OTP retry limits set by the bank (IN)</t>
  </si>
  <si>
    <t xml:space="preserve">FL-PAY-08</t>
  </si>
  <si>
    <t xml:space="preserve">Price changed at pay</t>
  </si>
  <si>
    <t xml:space="preserve">Final check</t>
  </si>
  <si>
    <t xml:space="preserve">Stops, shows new price, asks again</t>
  </si>
  <si>
    <t xml:space="preserve">Re-price before every payment</t>
  </si>
  <si>
    <t xml:space="preserve">FL-PAY-09</t>
  </si>
  <si>
    <t xml:space="preserve">Get an invoice</t>
  </si>
  <si>
    <t xml:space="preserve">Business trip</t>
  </si>
  <si>
    <t xml:space="preserve">I need a tax invoice for my company</t>
  </si>
  <si>
    <t xml:space="preserve">Captures company details, sends invoice</t>
  </si>
  <si>
    <t xml:space="preserve">Receipt, Handoff</t>
  </si>
  <si>
    <t xml:space="preserve">Invoice issued by the supplier</t>
  </si>
  <si>
    <t xml:space="preserve">India: GST invoice needs the company GSTIN at booking. UK/EU: VAT receipts</t>
  </si>
  <si>
    <t xml:space="preserve">FL-PAY-10</t>
  </si>
  <si>
    <t xml:space="preserve">Pay in instalments</t>
  </si>
  <si>
    <t xml:space="preserve">Large spend</t>
  </si>
  <si>
    <t xml:space="preserve">Can I split this over 3 months?</t>
  </si>
  <si>
    <t xml:space="preserve">Explains the bank's instalment plan if eligible</t>
  </si>
  <si>
    <t xml:space="preserve">Answer, Handoff</t>
  </si>
  <si>
    <t xml:space="preserve">Eligibility and rates from the bank only</t>
  </si>
  <si>
    <t xml:space="preserve">EMI common in IN and MY; credit rules differ per market</t>
  </si>
  <si>
    <t xml:space="preserve">FL-PAY-11</t>
  </si>
  <si>
    <t xml:space="preserve">Use a voucher</t>
  </si>
  <si>
    <t xml:space="preserve">Has a code</t>
  </si>
  <si>
    <t xml:space="preserve">I have a £50 travel voucher</t>
  </si>
  <si>
    <t xml:space="preserve">Applies it and shows the new total</t>
  </si>
  <si>
    <t xml:space="preserve">PriceLines</t>
  </si>
  <si>
    <t xml:space="preserve">Voucher validity checked by the issuer</t>
  </si>
  <si>
    <t xml:space="preserve">FL-PAY-12</t>
  </si>
  <si>
    <t xml:space="preserve">Booking confirmed</t>
  </si>
  <si>
    <t xml:space="preserve">Success</t>
  </si>
  <si>
    <t xml:space="preserve">(after pay)</t>
  </si>
  <si>
    <t xml:space="preserve">Receipt with reference, what happens next</t>
  </si>
  <si>
    <t xml:space="preserve">CheckPop, Receipt</t>
  </si>
  <si>
    <t xml:space="preserve">FL-PAY-13</t>
  </si>
  <si>
    <t xml:space="preserve">Booking pending</t>
  </si>
  <si>
    <t xml:space="preserve">Supplier slow</t>
  </si>
  <si>
    <t xml:space="preserve">No ticket yet</t>
  </si>
  <si>
    <t xml:space="preserve">Says it is paid and being ticketed, will confirm in minutes</t>
  </si>
  <si>
    <t xml:space="preserve">StateCard, Toast</t>
  </si>
  <si>
    <t xml:space="preserve">Refund automatically if not ticketed in the set time</t>
  </si>
  <si>
    <t xml:space="preserve">FL-PAY-14</t>
  </si>
  <si>
    <t xml:space="preserve">Pay in another currency</t>
  </si>
  <si>
    <t xml:space="preserve">Foreign airline</t>
  </si>
  <si>
    <t xml:space="preserve">Why is this in euros?</t>
  </si>
  <si>
    <t xml:space="preserve">Explains currency and any card fee</t>
  </si>
  <si>
    <t xml:space="preserve">PriceLines, BenefitRow</t>
  </si>
  <si>
    <t xml:space="preserve">FX rate from the bank</t>
  </si>
  <si>
    <t xml:space="preserve">FL-PAY-15</t>
  </si>
  <si>
    <t xml:space="preserve">Split payment with a friend</t>
  </si>
  <si>
    <t xml:space="preserve">Shared trip</t>
  </si>
  <si>
    <t xml:space="preserve">Split this with Sam</t>
  </si>
  <si>
    <t xml:space="preserve">Sends a request for their half</t>
  </si>
  <si>
    <t xml:space="preserve">SendTo, PriceLines</t>
  </si>
  <si>
    <t xml:space="preserve">Only if the bank supports requests</t>
  </si>
  <si>
    <t xml:space="preserve">Payment request rails differ: Faster Payments (UK), UPI (IN), PayNow (SG), DuitNow (MY)</t>
  </si>
  <si>
    <t xml:space="preserve">FL-EXT-01</t>
  </si>
  <si>
    <t xml:space="preserve">Pick seats</t>
  </si>
  <si>
    <t xml:space="preserve">Together</t>
  </si>
  <si>
    <t xml:space="preserve">Seats together please</t>
  </si>
  <si>
    <t xml:space="preserve">Seat map with a suggested pair</t>
  </si>
  <si>
    <t xml:space="preserve">SeatMap</t>
  </si>
  <si>
    <t xml:space="preserve">Seat prices from the airline</t>
  </si>
  <si>
    <t xml:space="preserve">FL-EXT-02</t>
  </si>
  <si>
    <t xml:space="preserve">Preference saved</t>
  </si>
  <si>
    <t xml:space="preserve">(automatic)</t>
  </si>
  <si>
    <t xml:space="preserve">Uses saved aisle or window preference</t>
  </si>
  <si>
    <t xml:space="preserve">StickyNote (blue), SeatMap</t>
  </si>
  <si>
    <t xml:space="preserve">Preference from profile</t>
  </si>
  <si>
    <t xml:space="preserve">FL-EXT-03</t>
  </si>
  <si>
    <t xml:space="preserve">Extra legroom</t>
  </si>
  <si>
    <t xml:space="preserve">Exit row please</t>
  </si>
  <si>
    <t xml:space="preserve">Shows extra-legroom seats and price, explains exit row rules</t>
  </si>
  <si>
    <t xml:space="preserve">Exit row eligibility rules</t>
  </si>
  <si>
    <t xml:space="preserve">FL-EXT-04</t>
  </si>
  <si>
    <t xml:space="preserve">Seat taken</t>
  </si>
  <si>
    <t xml:space="preserve">Choosing</t>
  </si>
  <si>
    <t xml:space="preserve">Seat gone</t>
  </si>
  <si>
    <t xml:space="preserve">(taps seat)</t>
  </si>
  <si>
    <t xml:space="preserve">Says it has gone, suggests the nearest pair</t>
  </si>
  <si>
    <t xml:space="preserve">FL-EXT-05</t>
  </si>
  <si>
    <t xml:space="preserve">Add bags</t>
  </si>
  <si>
    <t xml:space="preserve">Checked bag</t>
  </si>
  <si>
    <t xml:space="preserve">Add a suitcase</t>
  </si>
  <si>
    <t xml:space="preserve">Adds bag, shows price per person per flight</t>
  </si>
  <si>
    <t xml:space="preserve">BagPicker</t>
  </si>
  <si>
    <t xml:space="preserve">Bag prices from the airline</t>
  </si>
  <si>
    <t xml:space="preserve">Cabin allowance usually 7kg on Asian carriers; 10kg or more on some European ones</t>
  </si>
  <si>
    <t xml:space="preserve">FL-EXT-06</t>
  </si>
  <si>
    <t xml:space="preserve">Sports equipment</t>
  </si>
  <si>
    <t xml:space="preserve">I'm taking golf clubs</t>
  </si>
  <si>
    <t xml:space="preserve">Adds special baggage if the airline allows</t>
  </si>
  <si>
    <t xml:space="preserve">BagPicker, Handoff</t>
  </si>
  <si>
    <t xml:space="preserve">Special items from the airline list</t>
  </si>
  <si>
    <t xml:space="preserve">FL-EXT-07</t>
  </si>
  <si>
    <t xml:space="preserve">Add meals</t>
  </si>
  <si>
    <t xml:space="preserve">Dietary</t>
  </si>
  <si>
    <t xml:space="preserve">Vegetarian meal</t>
  </si>
  <si>
    <t xml:space="preserve">Requests the meal, confirms it is a request</t>
  </si>
  <si>
    <t xml:space="preserve">Toast</t>
  </si>
  <si>
    <t xml:space="preserve">Meal requests are not guaranteed</t>
  </si>
  <si>
    <t xml:space="preserve">Common requests differ: Jain meals (IN), halal (AE, MY)</t>
  </si>
  <si>
    <t xml:space="preserve">FL-EXT-08</t>
  </si>
  <si>
    <t xml:space="preserve">Add lounge</t>
  </si>
  <si>
    <t xml:space="preserve">Can I use a lounge?</t>
  </si>
  <si>
    <t xml:space="preserve">Checks card benefit, books the pass</t>
  </si>
  <si>
    <t xml:space="preserve">BenefitRow, LoungePass</t>
  </si>
  <si>
    <t xml:space="preserve">Visits left from the bank</t>
  </si>
  <si>
    <t xml:space="preserve">FL-EXT-09</t>
  </si>
  <si>
    <t xml:space="preserve">Add fast track</t>
  </si>
  <si>
    <t xml:space="preserve">Short on time</t>
  </si>
  <si>
    <t xml:space="preserve">Add fast track security</t>
  </si>
  <si>
    <t xml:space="preserve">Adds if available at the airport</t>
  </si>
  <si>
    <t xml:space="preserve">Toast, PriceLines</t>
  </si>
  <si>
    <t xml:space="preserve">FL-EXT-10</t>
  </si>
  <si>
    <t xml:space="preserve">Add travel insurance</t>
  </si>
  <si>
    <t xml:space="preserve">Card cover</t>
  </si>
  <si>
    <t xml:space="preserve">Am I covered?</t>
  </si>
  <si>
    <t xml:space="preserve">Explains card travel cover, offers top-up if not covered</t>
  </si>
  <si>
    <t xml:space="preserve">Answer, BenefitRow</t>
  </si>
  <si>
    <t xml:space="preserve">Cover terms from the bank; not advice</t>
  </si>
  <si>
    <t xml:space="preserve">Insurance selling rules differ per market; may need a licensed partner</t>
  </si>
  <si>
    <t xml:space="preserve">FL-EXT-11</t>
  </si>
  <si>
    <t xml:space="preserve">Add a hotel</t>
  </si>
  <si>
    <t xml:space="preserve">Same trip</t>
  </si>
  <si>
    <t xml:space="preserve">Hotel search for the trip dates and destination</t>
  </si>
  <si>
    <t xml:space="preserve">HotelCard, Rail</t>
  </si>
  <si>
    <t xml:space="preserve">FL-EXT-12</t>
  </si>
  <si>
    <t xml:space="preserve">Add a ride</t>
  </si>
  <si>
    <t xml:space="preserve">Airport transfer</t>
  </si>
  <si>
    <t xml:space="preserve">Car to the airport</t>
  </si>
  <si>
    <t xml:space="preserve">Books a ride timed to the flight</t>
  </si>
  <si>
    <t xml:space="preserve">RideOption</t>
  </si>
  <si>
    <t xml:space="preserve">Timing from flight and traffic</t>
  </si>
  <si>
    <t xml:space="preserve">FL-EXT-13</t>
  </si>
  <si>
    <t xml:space="preserve">Add special assistance</t>
  </si>
  <si>
    <t xml:space="preserve">Reduced mobility</t>
  </si>
  <si>
    <t xml:space="preserve">My mother needs a wheelchair</t>
  </si>
  <si>
    <t xml:space="preserve">Requests assistance and confirms with the airline</t>
  </si>
  <si>
    <t xml:space="preserve">Always confirmed with the airline</t>
  </si>
  <si>
    <t xml:space="preserve">FL-EXT-14</t>
  </si>
  <si>
    <t xml:space="preserve">Travel with a pet</t>
  </si>
  <si>
    <t xml:space="preserve">Pet in cabin</t>
  </si>
  <si>
    <t xml:space="preserve">Can my dog come?</t>
  </si>
  <si>
    <t xml:space="preserve">Explains the airline's pet rules and hands over to book</t>
  </si>
  <si>
    <t xml:space="preserve">Pet rules from the airline</t>
  </si>
  <si>
    <t xml:space="preserve">Pet import rules differ strictly by country</t>
  </si>
  <si>
    <t xml:space="preserve">FL-EXT-15</t>
  </si>
  <si>
    <t xml:space="preserve">Upgrade with points</t>
  </si>
  <si>
    <t xml:space="preserve">Booked</t>
  </si>
  <si>
    <t xml:space="preserve">Can I upgrade to business?</t>
  </si>
  <si>
    <t xml:space="preserve">Checks upgrade price in points and cash</t>
  </si>
  <si>
    <t xml:space="preserve">FareFamilies, ConfirmSheet</t>
  </si>
  <si>
    <t xml:space="preserve">Upgrade inventory from the airline</t>
  </si>
  <si>
    <t xml:space="preserve">FL-EXT-16</t>
  </si>
  <si>
    <t xml:space="preserve">Add infant seat</t>
  </si>
  <si>
    <t xml:space="preserve">Baby</t>
  </si>
  <si>
    <t xml:space="preserve">Can I get a bassinet?</t>
  </si>
  <si>
    <t xml:space="preserve">Requests a bassinet seat</t>
  </si>
  <si>
    <t xml:space="preserve">SeatMap, Toast</t>
  </si>
  <si>
    <t xml:space="preserve">Bassinet rows are airline-controlled</t>
  </si>
  <si>
    <t xml:space="preserve">FL-PRE-01</t>
  </si>
  <si>
    <t xml:space="preserve">Check in</t>
  </si>
  <si>
    <t xml:space="preserve">Online</t>
  </si>
  <si>
    <t xml:space="preserve">Checks in when it opens, sends boarding passes</t>
  </si>
  <si>
    <t xml:space="preserve">Toast, BoardingPass</t>
  </si>
  <si>
    <t xml:space="preserve">Consent to auto check-in</t>
  </si>
  <si>
    <t xml:space="preserve">India: web check-in expected for domestic flights</t>
  </si>
  <si>
    <t xml:space="preserve">FL-PRE-02</t>
  </si>
  <si>
    <t xml:space="preserve">Add passport details</t>
  </si>
  <si>
    <t xml:space="preserve">International</t>
  </si>
  <si>
    <t xml:space="preserve">(before check-in)</t>
  </si>
  <si>
    <t xml:space="preserve">Asks for passport details once, stores securely</t>
  </si>
  <si>
    <t xml:space="preserve">Document data held by the bank, tokenised</t>
  </si>
  <si>
    <t xml:space="preserve">FL-PRE-03</t>
  </si>
  <si>
    <t xml:space="preserve">Check visa needs</t>
  </si>
  <si>
    <t xml:space="preserve">Do I need a visa for Dubai?</t>
  </si>
  <si>
    <t xml:space="preserve">Gives the official source and the rule for their passport</t>
  </si>
  <si>
    <t xml:space="preserve">Answer</t>
  </si>
  <si>
    <t xml:space="preserve">Visa info from an official source only; always linked</t>
  </si>
  <si>
    <t xml:space="preserve">Rules differ by passport and destination; e-visas common for IN, AE</t>
  </si>
  <si>
    <t xml:space="preserve">FL-PRE-04</t>
  </si>
  <si>
    <t xml:space="preserve">Check ID needs</t>
  </si>
  <si>
    <t xml:space="preserve">Domestic</t>
  </si>
  <si>
    <t xml:space="preserve">What ID do I need?</t>
  </si>
  <si>
    <t xml:space="preserve">Says what the airline accepts</t>
  </si>
  <si>
    <t xml:space="preserve">From the airline</t>
  </si>
  <si>
    <t xml:space="preserve">India: photo ID, DigiYatra optional. Malaysia: MyKad for domestic; Sabah and Sarawak have their own entry rules</t>
  </si>
  <si>
    <t xml:space="preserve">FL-PRE-05</t>
  </si>
  <si>
    <t xml:space="preserve">Share the trip</t>
  </si>
  <si>
    <t xml:space="preserve">Family</t>
  </si>
  <si>
    <t xml:space="preserve">Send the plan to my wife</t>
  </si>
  <si>
    <t xml:space="preserve">Shares a read-only trip link</t>
  </si>
  <si>
    <t xml:space="preserve">SendTo, TripFolder</t>
  </si>
  <si>
    <t xml:space="preserve">Sharing needs the customer's yes</t>
  </si>
  <si>
    <t xml:space="preserve">FL-PRE-06</t>
  </si>
  <si>
    <t xml:space="preserve">Change the date</t>
  </si>
  <si>
    <t xml:space="preserve">Before travel</t>
  </si>
  <si>
    <t xml:space="preserve">Move my outbound to Saturday</t>
  </si>
  <si>
    <t xml:space="preserve">Shows old and new, fee and fare difference, asks to confirm</t>
  </si>
  <si>
    <t xml:space="preserve">ChangeFlight, ConfirmSheet</t>
  </si>
  <si>
    <t xml:space="preserve">Fees from fare rules</t>
  </si>
  <si>
    <t xml:space="preserve">FL-PRE-07</t>
  </si>
  <si>
    <t xml:space="preserve">Change the name</t>
  </si>
  <si>
    <t xml:space="preserve">Typo</t>
  </si>
  <si>
    <t xml:space="preserve">My name is spelt wrong</t>
  </si>
  <si>
    <t xml:space="preserve">Checks airline rules for name corrections, hands over if needed</t>
  </si>
  <si>
    <t xml:space="preserve">Name changes are airline decisions</t>
  </si>
  <si>
    <t xml:space="preserve">FL-PRE-08</t>
  </si>
  <si>
    <t xml:space="preserve">Cancel the booking</t>
  </si>
  <si>
    <t xml:space="preserve">Plans changed</t>
  </si>
  <si>
    <t xml:space="preserve">Cancel my flight</t>
  </si>
  <si>
    <t xml:space="preserve">Shows what comes back and how, asks to confirm</t>
  </si>
  <si>
    <t xml:space="preserve">FareRules, ConfirmSheet, Receipt</t>
  </si>
  <si>
    <t xml:space="preserve">Refund amounts from fare rules only</t>
  </si>
  <si>
    <t xml:space="preserve">FL-PRE-09</t>
  </si>
  <si>
    <t xml:space="preserve">Get reminded</t>
  </si>
  <si>
    <t xml:space="preserve">Leaving time</t>
  </si>
  <si>
    <t xml:space="preserve">Tells them when to leave for the airport</t>
  </si>
  <si>
    <t xml:space="preserve">StickyNote, Toast</t>
  </si>
  <si>
    <t xml:space="preserve">Traffic data</t>
  </si>
  <si>
    <t xml:space="preserve">FL-PRE-10</t>
  </si>
  <si>
    <t xml:space="preserve">Check the weather</t>
  </si>
  <si>
    <t xml:space="preserve">Packing</t>
  </si>
  <si>
    <t xml:space="preserve">What's the weather in Lisbon?</t>
  </si>
  <si>
    <t xml:space="preserve">Weather for the trip dates</t>
  </si>
  <si>
    <t xml:space="preserve">FL-PRE-11</t>
  </si>
  <si>
    <t xml:space="preserve">Currency and card abroad</t>
  </si>
  <si>
    <t xml:space="preserve">Spending</t>
  </si>
  <si>
    <t xml:space="preserve">Will my card work in Portugal?</t>
  </si>
  <si>
    <t xml:space="preserve">Explains foreign fees on this card</t>
  </si>
  <si>
    <t xml:space="preserve">BenefitRow, Answer</t>
  </si>
  <si>
    <t xml:space="preserve">Fees from the bank</t>
  </si>
  <si>
    <t xml:space="preserve">FL-PRE-12</t>
  </si>
  <si>
    <t xml:space="preserve">Schedule change</t>
  </si>
  <si>
    <t xml:space="preserve">Airline moved it</t>
  </si>
  <si>
    <t xml:space="preserve">Time changed</t>
  </si>
  <si>
    <t xml:space="preserve">Explains the change and options: accept, change, refund</t>
  </si>
  <si>
    <t xml:space="preserve">StateCard, ChangeFlight</t>
  </si>
  <si>
    <t xml:space="preserve">Options from airline policy and local rules</t>
  </si>
  <si>
    <t xml:space="preserve">Refund rights for big schedule changes differ by market</t>
  </si>
  <si>
    <t xml:space="preserve">FL-PRE-13</t>
  </si>
  <si>
    <t xml:space="preserve">Add a frequent flyer number</t>
  </si>
  <si>
    <t xml:space="preserve">Earn miles</t>
  </si>
  <si>
    <t xml:space="preserve">Add my miles number</t>
  </si>
  <si>
    <t xml:space="preserve">Adds it to the booking</t>
  </si>
  <si>
    <t xml:space="preserve">Number checked by the airline</t>
  </si>
  <si>
    <t xml:space="preserve">FL-PRE-14</t>
  </si>
  <si>
    <t xml:space="preserve">Travelling during a religious period</t>
  </si>
  <si>
    <t xml:space="preserve">Ramadan</t>
  </si>
  <si>
    <t xml:space="preserve">Are there meals on my flight during Ramadan?</t>
  </si>
  <si>
    <t xml:space="preserve">Explains the airline's service and airport opening hours</t>
  </si>
  <si>
    <t xml:space="preserve">From airline and airport</t>
  </si>
  <si>
    <t xml:space="preserve">Relevant in AE, MY and IN; dates move each year</t>
  </si>
  <si>
    <t xml:space="preserve">FL-DAY-01</t>
  </si>
  <si>
    <t xml:space="preserve">Show boarding pass</t>
  </si>
  <si>
    <t xml:space="preserve">At the airport</t>
  </si>
  <si>
    <t xml:space="preserve">Boarding pass</t>
  </si>
  <si>
    <t xml:space="preserve">Shows it, bright and offline</t>
  </si>
  <si>
    <t xml:space="preserve">BoardingPass</t>
  </si>
  <si>
    <t xml:space="preserve">Available offline</t>
  </si>
  <si>
    <t xml:space="preserve">FL-DAY-02</t>
  </si>
  <si>
    <t xml:space="preserve">Track the flight</t>
  </si>
  <si>
    <t xml:space="preserve">Live</t>
  </si>
  <si>
    <t xml:space="preserve">Is my flight on time?</t>
  </si>
  <si>
    <t xml:space="preserve">Live status, gate, times</t>
  </si>
  <si>
    <t xml:space="preserve">FlightTracker, Status</t>
  </si>
  <si>
    <t xml:space="preserve">Status from the airline feed</t>
  </si>
  <si>
    <t xml:space="preserve">FL-DAY-03</t>
  </si>
  <si>
    <t xml:space="preserve">Gate change</t>
  </si>
  <si>
    <t xml:space="preserve">Gate moved</t>
  </si>
  <si>
    <t xml:space="preserve">Push and card with the new gate and walk time</t>
  </si>
  <si>
    <t xml:space="preserve">FlightTracker, Toast</t>
  </si>
  <si>
    <t xml:space="preserve">FL-DAY-04</t>
  </si>
  <si>
    <t xml:space="preserve">Find the lounge</t>
  </si>
  <si>
    <t xml:space="preserve">Where's the lounge?</t>
  </si>
  <si>
    <t xml:space="preserve">Lounge pass with directions</t>
  </si>
  <si>
    <t xml:space="preserve">LoungePass</t>
  </si>
  <si>
    <t xml:space="preserve">FL-DAY-05</t>
  </si>
  <si>
    <t xml:space="preserve">Pick up someone</t>
  </si>
  <si>
    <t xml:space="preserve">Arrivals</t>
  </si>
  <si>
    <t xml:space="preserve">When does Sam land?</t>
  </si>
  <si>
    <t xml:space="preserve">Tracks a shared flight</t>
  </si>
  <si>
    <t xml:space="preserve">FlightTracker</t>
  </si>
  <si>
    <t xml:space="preserve">Only flights shared with them</t>
  </si>
  <si>
    <t xml:space="preserve">FL-DAY-06</t>
  </si>
  <si>
    <t xml:space="preserve">Missed the flight</t>
  </si>
  <si>
    <t xml:space="preserve">Late</t>
  </si>
  <si>
    <t xml:space="preserve">No-show</t>
  </si>
  <si>
    <t xml:space="preserve">I've missed my flight</t>
  </si>
  <si>
    <t xml:space="preserve">Checks rules for no-shows and the next flights</t>
  </si>
  <si>
    <t xml:space="preserve">StateCard, FlightCard, Handoff</t>
  </si>
  <si>
    <t xml:space="preserve">No-show rules from fare</t>
  </si>
  <si>
    <t xml:space="preserve">FL-DAY-07</t>
  </si>
  <si>
    <t xml:space="preserve">Denied boarding</t>
  </si>
  <si>
    <t xml:space="preserve">Overbooked</t>
  </si>
  <si>
    <t xml:space="preserve">Bumped</t>
  </si>
  <si>
    <t xml:space="preserve">They've given my seat away</t>
  </si>
  <si>
    <t xml:space="preserve">Explains rights and next options</t>
  </si>
  <si>
    <t xml:space="preserve">Disruption, Handoff</t>
  </si>
  <si>
    <t xml:space="preserve">Compensation named by rule</t>
  </si>
  <si>
    <t xml:space="preserve">UK261 and EU261 set amounts; DGCA (IN) and MAVCOM (MY) have their own rules; SG and AE follow airline policy</t>
  </si>
  <si>
    <t xml:space="preserve">FL-DAY-08</t>
  </si>
  <si>
    <t xml:space="preserve">Lost bag</t>
  </si>
  <si>
    <t xml:space="preserve">On arrival</t>
  </si>
  <si>
    <t xml:space="preserve">Bag missing</t>
  </si>
  <si>
    <t xml:space="preserve">My bag didn't arrive</t>
  </si>
  <si>
    <t xml:space="preserve">Starts the report, tracks it</t>
  </si>
  <si>
    <t xml:space="preserve">Report goes to the airline</t>
  </si>
  <si>
    <t xml:space="preserve">FL-DAY-09</t>
  </si>
  <si>
    <t xml:space="preserve">Security wait times</t>
  </si>
  <si>
    <t xml:space="preserve">How long is security?</t>
  </si>
  <si>
    <t xml:space="preserve">Shows the airport's published wait if available</t>
  </si>
  <si>
    <t xml:space="preserve">Only published data</t>
  </si>
  <si>
    <t xml:space="preserve">FL-DAY-10</t>
  </si>
  <si>
    <t xml:space="preserve">Arrival: get into town</t>
  </si>
  <si>
    <t xml:space="preserve">Landed</t>
  </si>
  <si>
    <t xml:space="preserve">How do I get to the hotel?</t>
  </si>
  <si>
    <t xml:space="preserve">Offers ride, train, and time for each</t>
  </si>
  <si>
    <t xml:space="preserve">RideOption, Answer</t>
  </si>
  <si>
    <t xml:space="preserve">FL-DIS-01</t>
  </si>
  <si>
    <t xml:space="preserve">Flight delayed</t>
  </si>
  <si>
    <t xml:space="preserve">Short delay</t>
  </si>
  <si>
    <t xml:space="preserve">Heads-up with new times and what it means</t>
  </si>
  <si>
    <t xml:space="preserve">FL-DIS-02</t>
  </si>
  <si>
    <t xml:space="preserve">Long delay</t>
  </si>
  <si>
    <t xml:space="preserve">Over 3 hours</t>
  </si>
  <si>
    <t xml:space="preserve">Explains rights, food vouchers, rebooking</t>
  </si>
  <si>
    <t xml:space="preserve">Rights named by rule, amounts by legal team</t>
  </si>
  <si>
    <t xml:space="preserve">Amounts: UK £220 to £520, EU €250 to €600 by distance; others per local rule or airline</t>
  </si>
  <si>
    <t xml:space="preserve">FL-DIS-03</t>
  </si>
  <si>
    <t xml:space="preserve">Flight cancelled</t>
  </si>
  <si>
    <t xml:space="preserve">Options already worked out: next flight, other route, refund</t>
  </si>
  <si>
    <t xml:space="preserve">Disruption, ConfirmSheet, Receipt</t>
  </si>
  <si>
    <t xml:space="preserve">Refund always offered</t>
  </si>
  <si>
    <t xml:space="preserve">FL-DIS-04</t>
  </si>
  <si>
    <t xml:space="preserve">Queue</t>
  </si>
  <si>
    <t xml:space="preserve">Rebooks before the queue, holds seats together</t>
  </si>
  <si>
    <t xml:space="preserve">Disruption, Receipt</t>
  </si>
  <si>
    <t xml:space="preserve">Seat hold time from the airline</t>
  </si>
  <si>
    <t xml:space="preserve">FL-DIS-05</t>
  </si>
  <si>
    <t xml:space="preserve">Missed connection</t>
  </si>
  <si>
    <t xml:space="preserve">Same ticket</t>
  </si>
  <si>
    <t xml:space="preserve">Late first flight</t>
  </si>
  <si>
    <t xml:space="preserve">Rebooks the onward flight</t>
  </si>
  <si>
    <t xml:space="preserve">Disruption, Itinerary</t>
  </si>
  <si>
    <t xml:space="preserve">Protected only on one ticket</t>
  </si>
  <si>
    <t xml:space="preserve">FL-DIS-06</t>
  </si>
  <si>
    <t xml:space="preserve">Separate tickets</t>
  </si>
  <si>
    <t xml:space="preserve">Not protected</t>
  </si>
  <si>
    <t xml:space="preserve">Explains it is not protected, finds the next options</t>
  </si>
  <si>
    <t xml:space="preserve">FL-DIS-07</t>
  </si>
  <si>
    <t xml:space="preserve">Claim compensation</t>
  </si>
  <si>
    <t xml:space="preserve">After disruption</t>
  </si>
  <si>
    <t xml:space="preserve">Can I claim for the delay?</t>
  </si>
  <si>
    <t xml:space="preserve">Checks eligibility and files the claim</t>
  </si>
  <si>
    <t xml:space="preserve">Answer, StateCard, Receipt</t>
  </si>
  <si>
    <t xml:space="preserve">Eligibility by rule; never promises an amount outside UK/EU</t>
  </si>
  <si>
    <t xml:space="preserve">Claims routes differ per market</t>
  </si>
  <si>
    <t xml:space="preserve">FL-DIS-08</t>
  </si>
  <si>
    <t xml:space="preserve">Strike or weather</t>
  </si>
  <si>
    <t xml:space="preserve">Many flights</t>
  </si>
  <si>
    <t xml:space="preserve">Mass disruption</t>
  </si>
  <si>
    <t xml:space="preserve">Tells them early, offers free changes if the airline allows</t>
  </si>
  <si>
    <t xml:space="preserve">Waiver terms from the airline</t>
  </si>
  <si>
    <t xml:space="preserve">FL-DIS-09</t>
  </si>
  <si>
    <t xml:space="preserve">Hotel and ride affected</t>
  </si>
  <si>
    <t xml:space="preserve">Knock-on</t>
  </si>
  <si>
    <t xml:space="preserve">(after rebooking)</t>
  </si>
  <si>
    <t xml:space="preserve">Tells the hotel and moves the ride</t>
  </si>
  <si>
    <t xml:space="preserve">Receipt, Toast</t>
  </si>
  <si>
    <t xml:space="preserve">Needs customer's yes to contact the hotel</t>
  </si>
  <si>
    <t xml:space="preserve">FL-DIS-10</t>
  </si>
  <si>
    <t xml:space="preserve">Diverted flight</t>
  </si>
  <si>
    <t xml:space="preserve">In the air</t>
  </si>
  <si>
    <t xml:space="preserve">Landed elsewhere</t>
  </si>
  <si>
    <t xml:space="preserve">Explains what the airline is doing and the options</t>
  </si>
  <si>
    <t xml:space="preserve">FL-DIS-11</t>
  </si>
  <si>
    <t xml:space="preserve">Downgraded cabin</t>
  </si>
  <si>
    <t xml:space="preserve">At boarding</t>
  </si>
  <si>
    <t xml:space="preserve">Seat class lower</t>
  </si>
  <si>
    <t xml:space="preserve">They moved me to economy</t>
  </si>
  <si>
    <t xml:space="preserve">Explains refund rights for the difference</t>
  </si>
  <si>
    <t xml:space="preserve">Rule-based refund</t>
  </si>
  <si>
    <t xml:space="preserve">EU261 sets fixed percentages; others vary</t>
  </si>
  <si>
    <t xml:space="preserve">FL-AFT-01</t>
  </si>
  <si>
    <t xml:space="preserve">Get points back</t>
  </si>
  <si>
    <t xml:space="preserve">Earned</t>
  </si>
  <si>
    <t xml:space="preserve">Did I get my points?</t>
  </si>
  <si>
    <t xml:space="preserve">Shows points earned from the trip</t>
  </si>
  <si>
    <t xml:space="preserve">TransactionRow, Back</t>
  </si>
  <si>
    <t xml:space="preserve">Points from the bank ledger</t>
  </si>
  <si>
    <t xml:space="preserve">FL-AFT-02</t>
  </si>
  <si>
    <t xml:space="preserve">Refund status</t>
  </si>
  <si>
    <t xml:space="preserve">Cancelled trip</t>
  </si>
  <si>
    <t xml:space="preserve">Where's my refund?</t>
  </si>
  <si>
    <t xml:space="preserve">Shows refund state and date</t>
  </si>
  <si>
    <t xml:space="preserve">StateCard, TransactionRow</t>
  </si>
  <si>
    <t xml:space="preserve">Status from supplier and bank</t>
  </si>
  <si>
    <t xml:space="preserve">FL-AFT-03</t>
  </si>
  <si>
    <t xml:space="preserve">Rate the trip</t>
  </si>
  <si>
    <t xml:space="preserve">Feedback</t>
  </si>
  <si>
    <t xml:space="preserve">(Gratifi asks)</t>
  </si>
  <si>
    <t xml:space="preserve">One-tap rating that improves suggestions</t>
  </si>
  <si>
    <t xml:space="preserve">Chips</t>
  </si>
  <si>
    <t xml:space="preserve">Optional, never required</t>
  </si>
  <si>
    <t xml:space="preserve">FL-AFT-04</t>
  </si>
  <si>
    <t xml:space="preserve">Book the same again</t>
  </si>
  <si>
    <t xml:space="preserve">Repeat</t>
  </si>
  <si>
    <t xml:space="preserve">Same trip in December</t>
  </si>
  <si>
    <t xml:space="preserve">Rebuilds the trip for new dates</t>
  </si>
  <si>
    <t xml:space="preserve">Answer, Rail</t>
  </si>
  <si>
    <t xml:space="preserve">FL-AFT-05</t>
  </si>
  <si>
    <t xml:space="preserve">Complain</t>
  </si>
  <si>
    <t xml:space="preserve">Unhappy</t>
  </si>
  <si>
    <t xml:space="preserve">This was terrible</t>
  </si>
  <si>
    <t xml:space="preserve">Listens, logs a complaint, hands to a person</t>
  </si>
  <si>
    <t xml:space="preserve">Handoff</t>
  </si>
  <si>
    <t xml:space="preserve">Complaints handling set by the bank</t>
  </si>
  <si>
    <t xml:space="preserve">Complaint timelines differ by regulator</t>
  </si>
  <si>
    <t xml:space="preserve">FL-AFT-06</t>
  </si>
  <si>
    <t xml:space="preserve">Get a receipt</t>
  </si>
  <si>
    <t xml:space="preserve">Expenses</t>
  </si>
  <si>
    <t xml:space="preserve">Send me the receipt</t>
  </si>
  <si>
    <t xml:space="preserve">Emails the receipt and invoice</t>
  </si>
  <si>
    <t xml:space="preserve">India: GST invoice from the airline</t>
  </si>
  <si>
    <t xml:space="preserve">FL-PTS-01</t>
  </si>
  <si>
    <t xml:space="preserve">See points value</t>
  </si>
  <si>
    <t xml:space="preserve">Balance</t>
  </si>
  <si>
    <t xml:space="preserve">What are my points worth?</t>
  </si>
  <si>
    <t xml:space="preserve">Balance and what it buys in flights</t>
  </si>
  <si>
    <t xml:space="preserve">Dial, Answer</t>
  </si>
  <si>
    <t xml:space="preserve">FL-PTS-02</t>
  </si>
  <si>
    <t xml:space="preserve">Transfer points</t>
  </si>
  <si>
    <t xml:space="preserve">Airline scheme</t>
  </si>
  <si>
    <t xml:space="preserve">Move points to my airline miles</t>
  </si>
  <si>
    <t xml:space="preserve">Shows transfer rate and time, confirms</t>
  </si>
  <si>
    <t xml:space="preserve">Answer, ConfirmSheet</t>
  </si>
  <si>
    <t xml:space="preserve">Rates and partners from the bank</t>
  </si>
  <si>
    <t xml:space="preserve">Partners differ per bank and market</t>
  </si>
  <si>
    <t xml:space="preserve">FL-PTS-03</t>
  </si>
  <si>
    <t xml:space="preserve">Earn more</t>
  </si>
  <si>
    <t xml:space="preserve">Upcoming trip</t>
  </si>
  <si>
    <t xml:space="preserve">How can I earn more before the trip?</t>
  </si>
  <si>
    <t xml:space="preserve">Shows offers and multipliers on the trip</t>
  </si>
  <si>
    <t xml:space="preserve">OfferCard, Rail</t>
  </si>
  <si>
    <t xml:space="preserve">FL-PTS-04</t>
  </si>
  <si>
    <t xml:space="preserve">Points expiring</t>
  </si>
  <si>
    <t xml:space="preserve">Warns and suggests a use</t>
  </si>
  <si>
    <t xml:space="preserve">StickyNote</t>
  </si>
  <si>
    <t xml:space="preserve">Expiry rules from the bank</t>
  </si>
  <si>
    <t xml:space="preserve">FL-PTS-05</t>
  </si>
  <si>
    <t xml:space="preserve">Card benefits for travel</t>
  </si>
  <si>
    <t xml:space="preserve">Before booking</t>
  </si>
  <si>
    <t xml:space="preserve">What does my card give me when I fly?</t>
  </si>
  <si>
    <t xml:space="preserve">Lists travel benefits and what's left</t>
  </si>
  <si>
    <t xml:space="preserve">BenefitRow</t>
  </si>
  <si>
    <t xml:space="preserve">Benefits from the bank</t>
  </si>
  <si>
    <t xml:space="preserve">FL-PTS-06</t>
  </si>
  <si>
    <t xml:space="preserve">Pay the card bill</t>
  </si>
  <si>
    <t xml:space="preserve">Statement</t>
  </si>
  <si>
    <t xml:space="preserve">How much do I owe?</t>
  </si>
  <si>
    <t xml:space="preserve">Shows amount due and pay options</t>
  </si>
  <si>
    <t xml:space="preserve">PaymentDue</t>
  </si>
  <si>
    <t xml:space="preserve">From the bank</t>
  </si>
  <si>
    <t xml:space="preserve">Direct Debit (UK), direct debit (EU, AE), auto-debit (IN, MY), GIRO (SG)</t>
  </si>
  <si>
    <t xml:space="preserve">FL-PTS-07</t>
  </si>
  <si>
    <t xml:space="preserve">Dispute a charge</t>
  </si>
  <si>
    <t xml:space="preserve">Airline charge</t>
  </si>
  <si>
    <t xml:space="preserve">I was charged twice</t>
  </si>
  <si>
    <t xml:space="preserve">Shows both charges, starts a dispute with the bank</t>
  </si>
  <si>
    <t xml:space="preserve">TransactionRow, Handoff</t>
  </si>
  <si>
    <t xml:space="preserve">Disputes run by the bank</t>
  </si>
  <si>
    <t xml:space="preserve">FL-PTS-08</t>
  </si>
  <si>
    <t xml:space="preserve">Buy points to finish a booking</t>
  </si>
  <si>
    <t xml:space="preserve">Short</t>
  </si>
  <si>
    <t xml:space="preserve">I'm 2,000 points short</t>
  </si>
  <si>
    <t xml:space="preserve">Offers to buy points if the bank allows, or points and card</t>
  </si>
  <si>
    <t xml:space="preserve">PayWith, StateCard</t>
  </si>
  <si>
    <t xml:space="preserve">Point purchase price from the bank</t>
  </si>
  <si>
    <t xml:space="preserve">Market</t>
  </si>
  <si>
    <t xml:space="preserve">Currency</t>
  </si>
  <si>
    <t xml:space="preserve">Number and date format</t>
  </si>
  <si>
    <t xml:space="preserve">How a payment is confirmed</t>
  </si>
  <si>
    <t xml:space="preserve">Automatic card payment is called</t>
  </si>
  <si>
    <t xml:space="preserve">Tax on fares</t>
  </si>
  <si>
    <t xml:space="preserve">Flight disruption rule</t>
  </si>
  <si>
    <t xml:space="preserve">Amounts set in law?</t>
  </si>
  <si>
    <t xml:space="preserve">Week starts</t>
  </si>
  <si>
    <t xml:space="preserve">Languages</t>
  </si>
  <si>
    <t xml:space="preserve">To confirm with the bank</t>
  </si>
  <si>
    <t xml:space="preserve">United Kingdom</t>
  </si>
  <si>
    <t xml:space="preserve">GBP £</t>
  </si>
  <si>
    <t xml:space="preserve">en-GB · 1,234.50 · Fri 16 Oct</t>
  </si>
  <si>
    <t xml:space="preserve">Face ID in the bank app</t>
  </si>
  <si>
    <t xml:space="preserve">Direct Debit</t>
  </si>
  <si>
    <t xml:space="preserve">VAT; Air Passenger Duty in fares</t>
  </si>
  <si>
    <t xml:space="preserve">UK261</t>
  </si>
  <si>
    <t xml:space="preserve">Yes: £220, £350, £520 by distance</t>
  </si>
  <si>
    <t xml:space="preserve">Monday</t>
  </si>
  <si>
    <t xml:space="preserve">English</t>
  </si>
  <si>
    <t xml:space="preserve">Point value; claims process</t>
  </si>
  <si>
    <t xml:space="preserve">Eurozone</t>
  </si>
  <si>
    <t xml:space="preserve">EUR €</t>
  </si>
  <si>
    <t xml:space="preserve">en-IE for English; local languages later</t>
  </si>
  <si>
    <t xml:space="preserve">Face ID in the bank app (strong customer authentication)</t>
  </si>
  <si>
    <t xml:space="preserve">direct debit</t>
  </si>
  <si>
    <t xml:space="preserve">VAT; local ticket taxes</t>
  </si>
  <si>
    <t xml:space="preserve">EU261</t>
  </si>
  <si>
    <t xml:space="preserve">Yes: €250, €400, €600 by distance</t>
  </si>
  <si>
    <t xml:space="preserve">English first; German, French, Spanish, Italian, Dutch to add</t>
  </si>
  <si>
    <t xml:space="preserve">Point value; which languages first</t>
  </si>
  <si>
    <t xml:space="preserve">India</t>
  </si>
  <si>
    <t xml:space="preserve">INR ₹</t>
  </si>
  <si>
    <t xml:space="preserve">en-IN · lakh grouping (1,00,000) · Fri 16 Oct</t>
  </si>
  <si>
    <t xml:space="preserve">One-time code sent by SMS</t>
  </si>
  <si>
    <t xml:space="preserve">auto-debit</t>
  </si>
  <si>
    <t xml:space="preserve">GST; GST invoice needs company GSTIN</t>
  </si>
  <si>
    <t xml:space="preserve">DGCA passenger charter</t>
  </si>
  <si>
    <t xml:space="preserve">Set by DGCA; legal team to confirm current amounts</t>
  </si>
  <si>
    <t xml:space="preserve">Sunday</t>
  </si>
  <si>
    <t xml:space="preserve">English first; Hindi next</t>
  </si>
  <si>
    <t xml:space="preserve">Point value; OTP limits; EMI terms</t>
  </si>
  <si>
    <t xml:space="preserve">UAE</t>
  </si>
  <si>
    <t xml:space="preserve">AED</t>
  </si>
  <si>
    <t xml:space="preserve">en-AE and ar-AE (right to left)</t>
  </si>
  <si>
    <t xml:space="preserve">VAT</t>
  </si>
  <si>
    <t xml:space="preserve">Airline policy (legal team to confirm any GCAA rule)</t>
  </si>
  <si>
    <t xml:space="preserve">Legal team to confirm</t>
  </si>
  <si>
    <t xml:space="preserve">English and Arabic (Arabic copy needs native sign-off)</t>
  </si>
  <si>
    <t xml:space="preserve">Point value; Arabic copy</t>
  </si>
  <si>
    <t xml:space="preserve">Singapore</t>
  </si>
  <si>
    <t xml:space="preserve">SGD S$</t>
  </si>
  <si>
    <t xml:space="preserve">en-SG · 1,234.50</t>
  </si>
  <si>
    <t xml:space="preserve">GIRO</t>
  </si>
  <si>
    <t xml:space="preserve">GST</t>
  </si>
  <si>
    <t xml:space="preserve">Airline policy; no statutory scheme</t>
  </si>
  <si>
    <t xml:space="preserve">No</t>
  </si>
  <si>
    <t xml:space="preserve">Point value</t>
  </si>
  <si>
    <t xml:space="preserve">Malaysia</t>
  </si>
  <si>
    <t xml:space="preserve">MYR RM</t>
  </si>
  <si>
    <t xml:space="preserve">en-MY · 1,234.50</t>
  </si>
  <si>
    <t xml:space="preserve">Approval in the bank's app</t>
  </si>
  <si>
    <t xml:space="preserve">SST</t>
  </si>
  <si>
    <t xml:space="preserve">MAVCOM consumer code</t>
  </si>
  <si>
    <t xml:space="preserve">English first; Malay next</t>
  </si>
  <si>
    <t xml:space="preserve">Point value; app approval flow</t>
  </si>
  <si>
    <t xml:space="preserve">These settings live in the kit as data (Markets card). A new market is one more row here and one more entry in the kit; no redesign.</t>
  </si>
  <si>
    <t xml:space="preserve">The grammar</t>
  </si>
  <si>
    <t xml:space="preserve">Means</t>
  </si>
  <si>
    <t xml:space="preserve">Constraints</t>
  </si>
  <si>
    <t xml:space="preserve">Exceptions</t>
  </si>
  <si>
    <t xml:space="preserve">Before they know where</t>
  </si>
  <si>
    <t xml:space="preserve">They know roughly what and when</t>
  </si>
  <si>
    <t xml:space="preserve">Comparing options and fares</t>
  </si>
  <si>
    <t xml:space="preserve">Budget in cash</t>
  </si>
  <si>
    <t xml:space="preserve">Price rose</t>
  </si>
  <si>
    <t xml:space="preserve">Money or points move</t>
  </si>
  <si>
    <t xml:space="preserve">Seats, bags, lounge, hotel, rides</t>
  </si>
  <si>
    <t xml:space="preserve">Booked, not yet travelling</t>
  </si>
  <si>
    <t xml:space="preserve">Authentication failed</t>
  </si>
  <si>
    <t xml:space="preserve">At or on the way to the airport</t>
  </si>
  <si>
    <t xml:space="preserve">Something went wrong</t>
  </si>
  <si>
    <t xml:space="preserve">Ticketing pending</t>
  </si>
  <si>
    <t xml:space="preserve">Home again</t>
  </si>
  <si>
    <t xml:space="preserve">Travelling with children</t>
  </si>
  <si>
    <t xml:space="preserve">The bank side of travel</t>
  </si>
  <si>
    <t xml:space="preserve">Group of 5 or more</t>
  </si>
  <si>
    <t xml:space="preserve">Delay over 3 hours</t>
  </si>
  <si>
    <t xml:space="preserve">Premium cabin</t>
  </si>
  <si>
    <t xml:space="preserve">Cancellation</t>
  </si>
  <si>
    <t xml:space="preserve">Accessibility needs</t>
  </si>
  <si>
    <t xml:space="preserve">Pet</t>
  </si>
  <si>
    <t xml:space="preserve">Diversion</t>
  </si>
  <si>
    <t xml:space="preserve">Downgrade</t>
  </si>
  <si>
    <t xml:space="preserve">Every new row should combine one stage, one job, at most one constraint and at most one exception. The full space is several hundred rows; this sheet holds the ones worth building first plus the high-risk ones that must be designed now.</t>
  </si>
</sst>
</file>

<file path=xl/styles.xml><?xml version="1.0" encoding="utf-8"?>
<styleSheet xmlns="http://schemas.openxmlformats.org/spreadsheetml/2006/main">
  <numFmts count="2">
    <numFmt numFmtId="164" formatCode="General"/>
    <numFmt numFmtId="165" formatCode="General"/>
  </numFmts>
  <fonts count="9">
    <font>
      <sz val="11"/>
      <color theme="1"/>
      <name val="Calibri"/>
      <family val="2"/>
      <charset val="1"/>
    </font>
    <font>
      <sz val="10"/>
      <name val="Arial"/>
      <family val="0"/>
    </font>
    <font>
      <sz val="10"/>
      <name val="Arial"/>
      <family val="0"/>
    </font>
    <font>
      <sz val="10"/>
      <name val="Arial"/>
      <family val="0"/>
    </font>
    <font>
      <b val="true"/>
      <sz val="16"/>
      <name val="Arial"/>
      <family val="0"/>
      <charset val="1"/>
    </font>
    <font>
      <sz val="10"/>
      <name val="Arial"/>
      <family val="0"/>
      <charset val="1"/>
    </font>
    <font>
      <b val="true"/>
      <sz val="10"/>
      <name val="Arial"/>
      <family val="0"/>
      <charset val="1"/>
    </font>
    <font>
      <sz val="10"/>
      <color rgb="FF0000FF"/>
      <name val="Arial"/>
      <family val="0"/>
      <charset val="1"/>
    </font>
    <font>
      <b val="true"/>
      <sz val="10"/>
      <color rgb="FFFFFFFF"/>
      <name val="Arial"/>
      <family val="0"/>
      <charset val="1"/>
    </font>
  </fonts>
  <fills count="4">
    <fill>
      <patternFill patternType="none"/>
    </fill>
    <fill>
      <patternFill patternType="gray125"/>
    </fill>
    <fill>
      <patternFill patternType="solid">
        <fgColor rgb="FFFFFF00"/>
        <bgColor rgb="FFFFFF00"/>
      </patternFill>
    </fill>
    <fill>
      <patternFill patternType="solid">
        <fgColor rgb="FF17171A"/>
        <bgColor rgb="FF000000"/>
      </patternFill>
    </fill>
  </fills>
  <borders count="2">
    <border diagonalUp="false" diagonalDown="false">
      <left/>
      <right/>
      <top/>
      <bottom/>
      <diagonal/>
    </border>
    <border diagonalUp="false" diagonalDown="false">
      <left/>
      <right/>
      <top/>
      <bottom style="thin">
        <color rgb="FFE7E5E1"/>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8" fillId="3" borderId="0" xfId="0" applyFont="true" applyBorder="false" applyAlignment="false" applyProtection="false">
      <alignment horizontal="general" vertical="bottom" textRotation="0" wrapText="false" indent="0" shrinkToFit="false"/>
      <protection locked="true" hidden="false"/>
    </xf>
    <xf numFmtId="164" fontId="8" fillId="3" borderId="0" xfId="0" applyFont="true" applyBorder="fals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5" fontId="5" fillId="0" borderId="1" xfId="0" applyFont="true" applyBorder="true" applyAlignment="true" applyProtection="false">
      <alignment horizontal="center" vertical="top" textRotation="0" wrapText="false" indent="0" shrinkToFit="false"/>
      <protection locked="true" hidden="false"/>
    </xf>
    <xf numFmtId="165" fontId="6" fillId="0" borderId="1" xfId="0" applyFont="true" applyBorder="true" applyAlignment="true" applyProtection="false">
      <alignment horizontal="center" vertical="top"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17171A"/>
          <bgColor rgb="FF000000"/>
        </patternFill>
      </fill>
    </dxf>
    <dxf>
      <fill>
        <patternFill patternType="solid">
          <bgColor rgb="FF000000"/>
        </patternFill>
      </fill>
    </dxf>
    <dxf>
      <fill>
        <patternFill patternType="solid">
          <fgColor rgb="FFFFFFFF"/>
          <bgColor rgb="FF000000"/>
        </patternFill>
      </fill>
    </dxf>
    <dxf>
      <fill>
        <patternFill patternType="solid">
          <fgColor rgb="FF0000FF"/>
          <bgColor rgb="FF000000"/>
        </patternFill>
      </fill>
    </dxf>
    <dxf>
      <fill>
        <patternFill patternType="solid">
          <fgColor rgb="FFFCE6E1"/>
          <bgColor rgb="FF000000"/>
        </patternFill>
      </fill>
    </dxf>
    <dxf>
      <fill>
        <patternFill patternType="solid">
          <fgColor rgb="FFFFE7D9"/>
          <bgColor rgb="FF000000"/>
        </patternFill>
      </fill>
    </dxf>
    <dxf>
      <fill>
        <patternFill>
          <bgColor rgb="FFFFE7D9"/>
        </patternFill>
      </fill>
    </dxf>
    <dxf>
      <fill>
        <patternFill>
          <bgColor rgb="FFFCE6E1"/>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E7D9"/>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7E5E1"/>
      <rgbColor rgb="FFFCE6E1"/>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17171A"/>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0"/>
    <col collapsed="false" customWidth="true" hidden="false" outlineLevel="0" max="2" min="2" style="0" width="10"/>
  </cols>
  <sheetData>
    <row r="1" customFormat="false" ht="19.7" hidden="false" customHeight="false" outlineLevel="0" collapsed="false">
      <c r="A1" s="1" t="s">
        <v>0</v>
      </c>
    </row>
    <row r="2" customFormat="false" ht="23.85" hidden="false" customHeight="false" outlineLevel="0" collapsed="false">
      <c r="A2" s="2" t="s">
        <v>1</v>
      </c>
    </row>
    <row r="3" customFormat="false" ht="15" hidden="false" customHeight="false" outlineLevel="0" collapsed="false">
      <c r="A3" s="2"/>
    </row>
    <row r="4" customFormat="false" ht="15" hidden="false" customHeight="false" outlineLevel="0" collapsed="false">
      <c r="A4" s="3" t="s">
        <v>2</v>
      </c>
    </row>
    <row r="5" customFormat="false" ht="23.85" hidden="false" customHeight="false" outlineLevel="0" collapsed="false">
      <c r="A5" s="2" t="s">
        <v>3</v>
      </c>
    </row>
    <row r="6" customFormat="false" ht="23.85" hidden="false" customHeight="false" outlineLevel="0" collapsed="false">
      <c r="A6" s="2" t="s">
        <v>4</v>
      </c>
    </row>
    <row r="7" customFormat="false" ht="15" hidden="false" customHeight="false" outlineLevel="0" collapsed="false">
      <c r="A7" s="2"/>
    </row>
    <row r="8" customFormat="false" ht="15" hidden="false" customHeight="false" outlineLevel="0" collapsed="false">
      <c r="A8" s="3" t="s">
        <v>5</v>
      </c>
    </row>
    <row r="9" customFormat="false" ht="23.85" hidden="false" customHeight="false" outlineLevel="0" collapsed="false">
      <c r="A9" s="2" t="s">
        <v>6</v>
      </c>
    </row>
    <row r="10" customFormat="false" ht="15" hidden="false" customHeight="false" outlineLevel="0" collapsed="false">
      <c r="A10" s="2"/>
    </row>
    <row r="11" customFormat="false" ht="15" hidden="false" customHeight="false" outlineLevel="0" collapsed="false">
      <c r="A11" s="3" t="s">
        <v>7</v>
      </c>
    </row>
    <row r="12" customFormat="false" ht="15" hidden="false" customHeight="false" outlineLevel="0" collapsed="false">
      <c r="A12" s="4" t="s">
        <v>8</v>
      </c>
      <c r="B12" s="5" t="n">
        <v>6</v>
      </c>
    </row>
    <row r="13" customFormat="false" ht="15" hidden="false" customHeight="false" outlineLevel="0" collapsed="false">
      <c r="A13" s="4" t="s">
        <v>9</v>
      </c>
      <c r="B13" s="5" t="n">
        <v>2</v>
      </c>
    </row>
    <row r="14" customFormat="false" ht="15" hidden="false" customHeight="false" outlineLevel="0" collapsed="false">
      <c r="A14" s="4" t="s">
        <v>10</v>
      </c>
      <c r="B14" s="5" t="n">
        <v>4</v>
      </c>
    </row>
    <row r="15" customFormat="false" ht="15" hidden="false" customHeight="false" outlineLevel="0" collapsed="false">
      <c r="A15" s="4" t="s">
        <v>11</v>
      </c>
    </row>
    <row r="16" customFormat="false" ht="15" hidden="false" customHeight="false" outlineLevel="0" collapsed="false">
      <c r="A16" s="6" t="s">
        <v>12</v>
      </c>
    </row>
    <row r="17" customFormat="false" ht="15" hidden="false" customHeight="false" outlineLevel="0" collapsed="false">
      <c r="A17" s="2" t="s">
        <v>13</v>
      </c>
    </row>
    <row r="18" customFormat="false" ht="23.85" hidden="false" customHeight="false" outlineLevel="0" collapsed="false">
      <c r="A18" s="2" t="s">
        <v>14</v>
      </c>
    </row>
    <row r="19" customFormat="false" ht="15" hidden="false" customHeight="false" outlineLevel="0" collapsed="false">
      <c r="A19" s="2" t="s">
        <v>15</v>
      </c>
    </row>
    <row r="20" customFormat="false" ht="15" hidden="false" customHeight="false" outlineLevel="0" collapsed="false">
      <c r="A20" s="2" t="s">
        <v>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2"/>
    <col collapsed="false" customWidth="true" hidden="false" outlineLevel="0" max="5" min="3" style="0" width="10"/>
    <col collapsed="false" customWidth="true" hidden="false" outlineLevel="0" max="6" min="6" style="0" width="16"/>
  </cols>
  <sheetData>
    <row r="1" customFormat="false" ht="19.7" hidden="false" customHeight="false" outlineLevel="0" collapsed="false">
      <c r="A1" s="7" t="s">
        <v>17</v>
      </c>
    </row>
    <row r="3" customFormat="false" ht="15" hidden="false" customHeight="false" outlineLevel="0" collapsed="false">
      <c r="A3" s="8" t="s">
        <v>18</v>
      </c>
      <c r="B3" s="8" t="s">
        <v>19</v>
      </c>
      <c r="C3" s="8" t="s">
        <v>20</v>
      </c>
      <c r="D3" s="8" t="s">
        <v>21</v>
      </c>
      <c r="E3" s="8" t="s">
        <v>22</v>
      </c>
      <c r="F3" s="8" t="s">
        <v>23</v>
      </c>
    </row>
    <row r="4" customFormat="false" ht="15" hidden="false" customHeight="false" outlineLevel="0" collapsed="false">
      <c r="A4" s="4" t="s">
        <v>24</v>
      </c>
      <c r="B4" s="4" t="n">
        <f aca="false">COUNTIF('Use cases'!$B$2:$B$119,A4)</f>
        <v>8</v>
      </c>
      <c r="C4" s="4" t="n">
        <f aca="false">COUNTIFS('Use cases'!$B$2:$B$119,$A4,'Use cases'!$P$2:$P$119,1)</f>
        <v>8</v>
      </c>
      <c r="D4" s="4" t="n">
        <f aca="false">COUNTIFS('Use cases'!$B$2:$B$119,$A4,'Use cases'!$P$2:$P$119,2)</f>
        <v>0</v>
      </c>
      <c r="E4" s="4" t="n">
        <f aca="false">COUNTIFS('Use cases'!$B$2:$B$119,$A4,'Use cases'!$P$2:$P$119,3)</f>
        <v>0</v>
      </c>
      <c r="F4" s="4" t="n">
        <f aca="false">IFERROR(ROUND(AVERAGEIF('Use cases'!$B$2:$B$119,A4,'Use cases'!$O$2:$O$119),1),0)</f>
        <v>9.1</v>
      </c>
    </row>
    <row r="5" customFormat="false" ht="15" hidden="false" customHeight="false" outlineLevel="0" collapsed="false">
      <c r="A5" s="4" t="s">
        <v>25</v>
      </c>
      <c r="B5" s="4" t="n">
        <f aca="false">COUNTIF('Use cases'!$B$2:$B$119,A5)</f>
        <v>18</v>
      </c>
      <c r="C5" s="4" t="n">
        <f aca="false">COUNTIFS('Use cases'!$B$2:$B$119,$A5,'Use cases'!$P$2:$P$119,1)</f>
        <v>11</v>
      </c>
      <c r="D5" s="4" t="n">
        <f aca="false">COUNTIFS('Use cases'!$B$2:$B$119,$A5,'Use cases'!$P$2:$P$119,2)</f>
        <v>7</v>
      </c>
      <c r="E5" s="4" t="n">
        <f aca="false">COUNTIFS('Use cases'!$B$2:$B$119,$A5,'Use cases'!$P$2:$P$119,3)</f>
        <v>0</v>
      </c>
      <c r="F5" s="4" t="n">
        <f aca="false">IFERROR(ROUND(AVERAGEIF('Use cases'!$B$2:$B$119,A5,'Use cases'!$O$2:$O$119),1),0)</f>
        <v>8.6</v>
      </c>
    </row>
    <row r="6" customFormat="false" ht="15" hidden="false" customHeight="false" outlineLevel="0" collapsed="false">
      <c r="A6" s="4" t="s">
        <v>26</v>
      </c>
      <c r="B6" s="4" t="n">
        <f aca="false">COUNTIF('Use cases'!$B$2:$B$119,A6)</f>
        <v>12</v>
      </c>
      <c r="C6" s="4" t="n">
        <f aca="false">COUNTIFS('Use cases'!$B$2:$B$119,$A6,'Use cases'!$P$2:$P$119,1)</f>
        <v>3</v>
      </c>
      <c r="D6" s="4" t="n">
        <f aca="false">COUNTIFS('Use cases'!$B$2:$B$119,$A6,'Use cases'!$P$2:$P$119,2)</f>
        <v>8</v>
      </c>
      <c r="E6" s="4" t="n">
        <f aca="false">COUNTIFS('Use cases'!$B$2:$B$119,$A6,'Use cases'!$P$2:$P$119,3)</f>
        <v>1</v>
      </c>
      <c r="F6" s="4" t="n">
        <f aca="false">IFERROR(ROUND(AVERAGEIF('Use cases'!$B$2:$B$119,A6,'Use cases'!$O$2:$O$119),1),0)</f>
        <v>5.1</v>
      </c>
    </row>
    <row r="7" customFormat="false" ht="15" hidden="false" customHeight="false" outlineLevel="0" collapsed="false">
      <c r="A7" s="4" t="s">
        <v>27</v>
      </c>
      <c r="B7" s="4" t="n">
        <f aca="false">COUNTIF('Use cases'!$B$2:$B$119,A7)</f>
        <v>15</v>
      </c>
      <c r="C7" s="4" t="n">
        <f aca="false">COUNTIFS('Use cases'!$B$2:$B$119,$A7,'Use cases'!$P$2:$P$119,1)</f>
        <v>7</v>
      </c>
      <c r="D7" s="4" t="n">
        <f aca="false">COUNTIFS('Use cases'!$B$2:$B$119,$A7,'Use cases'!$P$2:$P$119,2)</f>
        <v>5</v>
      </c>
      <c r="E7" s="4" t="n">
        <f aca="false">COUNTIFS('Use cases'!$B$2:$B$119,$A7,'Use cases'!$P$2:$P$119,3)</f>
        <v>3</v>
      </c>
      <c r="F7" s="4" t="n">
        <f aca="false">IFERROR(ROUND(AVERAGEIF('Use cases'!$B$2:$B$119,A7,'Use cases'!$O$2:$O$119),1),0)</f>
        <v>4.9</v>
      </c>
    </row>
    <row r="8" customFormat="false" ht="15" hidden="false" customHeight="false" outlineLevel="0" collapsed="false">
      <c r="A8" s="4" t="s">
        <v>28</v>
      </c>
      <c r="B8" s="4" t="n">
        <f aca="false">COUNTIF('Use cases'!$B$2:$B$119,A8)</f>
        <v>16</v>
      </c>
      <c r="C8" s="4" t="n">
        <f aca="false">COUNTIFS('Use cases'!$B$2:$B$119,$A8,'Use cases'!$P$2:$P$119,1)</f>
        <v>6</v>
      </c>
      <c r="D8" s="4" t="n">
        <f aca="false">COUNTIFS('Use cases'!$B$2:$B$119,$A8,'Use cases'!$P$2:$P$119,2)</f>
        <v>8</v>
      </c>
      <c r="E8" s="4" t="n">
        <f aca="false">COUNTIFS('Use cases'!$B$2:$B$119,$A8,'Use cases'!$P$2:$P$119,3)</f>
        <v>2</v>
      </c>
      <c r="F8" s="4" t="n">
        <f aca="false">IFERROR(ROUND(AVERAGEIF('Use cases'!$B$2:$B$119,A8,'Use cases'!$O$2:$O$119),1),0)</f>
        <v>7.3</v>
      </c>
    </row>
    <row r="9" customFormat="false" ht="15" hidden="false" customHeight="false" outlineLevel="0" collapsed="false">
      <c r="A9" s="4" t="s">
        <v>29</v>
      </c>
      <c r="B9" s="4" t="n">
        <f aca="false">COUNTIF('Use cases'!$B$2:$B$119,A9)</f>
        <v>14</v>
      </c>
      <c r="C9" s="4" t="n">
        <f aca="false">COUNTIFS('Use cases'!$B$2:$B$119,$A9,'Use cases'!$P$2:$P$119,1)</f>
        <v>3</v>
      </c>
      <c r="D9" s="4" t="n">
        <f aca="false">COUNTIFS('Use cases'!$B$2:$B$119,$A9,'Use cases'!$P$2:$P$119,2)</f>
        <v>6</v>
      </c>
      <c r="E9" s="4" t="n">
        <f aca="false">COUNTIFS('Use cases'!$B$2:$B$119,$A9,'Use cases'!$P$2:$P$119,3)</f>
        <v>5</v>
      </c>
      <c r="F9" s="4" t="n">
        <f aca="false">IFERROR(ROUND(AVERAGEIF('Use cases'!$B$2:$B$119,A9,'Use cases'!$O$2:$O$119),1),0)</f>
        <v>4.2</v>
      </c>
    </row>
    <row r="10" customFormat="false" ht="15" hidden="false" customHeight="false" outlineLevel="0" collapsed="false">
      <c r="A10" s="4" t="s">
        <v>30</v>
      </c>
      <c r="B10" s="4" t="n">
        <f aca="false">COUNTIF('Use cases'!$B$2:$B$119,A10)</f>
        <v>10</v>
      </c>
      <c r="C10" s="4" t="n">
        <f aca="false">COUNTIFS('Use cases'!$B$2:$B$119,$A10,'Use cases'!$P$2:$P$119,1)</f>
        <v>4</v>
      </c>
      <c r="D10" s="4" t="n">
        <f aca="false">COUNTIFS('Use cases'!$B$2:$B$119,$A10,'Use cases'!$P$2:$P$119,2)</f>
        <v>3</v>
      </c>
      <c r="E10" s="4" t="n">
        <f aca="false">COUNTIFS('Use cases'!$B$2:$B$119,$A10,'Use cases'!$P$2:$P$119,3)</f>
        <v>3</v>
      </c>
      <c r="F10" s="4" t="n">
        <f aca="false">IFERROR(ROUND(AVERAGEIF('Use cases'!$B$2:$B$119,A10,'Use cases'!$O$2:$O$119),1),0)</f>
        <v>6.1</v>
      </c>
    </row>
    <row r="11" customFormat="false" ht="15" hidden="false" customHeight="false" outlineLevel="0" collapsed="false">
      <c r="A11" s="4" t="s">
        <v>31</v>
      </c>
      <c r="B11" s="4" t="n">
        <f aca="false">COUNTIF('Use cases'!$B$2:$B$119,A11)</f>
        <v>11</v>
      </c>
      <c r="C11" s="4" t="n">
        <f aca="false">COUNTIFS('Use cases'!$B$2:$B$119,$A11,'Use cases'!$P$2:$P$119,1)</f>
        <v>1</v>
      </c>
      <c r="D11" s="4" t="n">
        <f aca="false">COUNTIFS('Use cases'!$B$2:$B$119,$A11,'Use cases'!$P$2:$P$119,2)</f>
        <v>1</v>
      </c>
      <c r="E11" s="4" t="n">
        <f aca="false">COUNTIFS('Use cases'!$B$2:$B$119,$A11,'Use cases'!$P$2:$P$119,3)</f>
        <v>9</v>
      </c>
      <c r="F11" s="4" t="n">
        <f aca="false">IFERROR(ROUND(AVERAGEIF('Use cases'!$B$2:$B$119,A11,'Use cases'!$O$2:$O$119),1),0)</f>
        <v>2</v>
      </c>
    </row>
    <row r="12" customFormat="false" ht="15" hidden="false" customHeight="false" outlineLevel="0" collapsed="false">
      <c r="A12" s="4" t="s">
        <v>32</v>
      </c>
      <c r="B12" s="4" t="n">
        <f aca="false">COUNTIF('Use cases'!$B$2:$B$119,A12)</f>
        <v>6</v>
      </c>
      <c r="C12" s="4" t="n">
        <f aca="false">COUNTIFS('Use cases'!$B$2:$B$119,$A12,'Use cases'!$P$2:$P$119,1)</f>
        <v>4</v>
      </c>
      <c r="D12" s="4" t="n">
        <f aca="false">COUNTIFS('Use cases'!$B$2:$B$119,$A12,'Use cases'!$P$2:$P$119,2)</f>
        <v>1</v>
      </c>
      <c r="E12" s="4" t="n">
        <f aca="false">COUNTIFS('Use cases'!$B$2:$B$119,$A12,'Use cases'!$P$2:$P$119,3)</f>
        <v>1</v>
      </c>
      <c r="F12" s="4" t="n">
        <f aca="false">IFERROR(ROUND(AVERAGEIF('Use cases'!$B$2:$B$119,A12,'Use cases'!$O$2:$O$119),1),0)</f>
        <v>6</v>
      </c>
    </row>
    <row r="13" customFormat="false" ht="15" hidden="false" customHeight="false" outlineLevel="0" collapsed="false">
      <c r="A13" s="4" t="s">
        <v>33</v>
      </c>
      <c r="B13" s="4" t="n">
        <f aca="false">COUNTIF('Use cases'!$B$2:$B$119,A13)</f>
        <v>8</v>
      </c>
      <c r="C13" s="4" t="n">
        <f aca="false">COUNTIFS('Use cases'!$B$2:$B$119,$A13,'Use cases'!$P$2:$P$119,1)</f>
        <v>5</v>
      </c>
      <c r="D13" s="4" t="n">
        <f aca="false">COUNTIFS('Use cases'!$B$2:$B$119,$A13,'Use cases'!$P$2:$P$119,2)</f>
        <v>2</v>
      </c>
      <c r="E13" s="4" t="n">
        <f aca="false">COUNTIFS('Use cases'!$B$2:$B$119,$A13,'Use cases'!$P$2:$P$119,3)</f>
        <v>1</v>
      </c>
      <c r="F13" s="4" t="n">
        <f aca="false">IFERROR(ROUND(AVERAGEIF('Use cases'!$B$2:$B$119,A13,'Use cases'!$O$2:$O$119),1),0)</f>
        <v>8</v>
      </c>
    </row>
    <row r="14" customFormat="false" ht="15" hidden="false" customHeight="false" outlineLevel="0" collapsed="false">
      <c r="A14" s="6" t="s">
        <v>34</v>
      </c>
      <c r="B14" s="6" t="n">
        <f aca="false">SUM(B4:B13)</f>
        <v>118</v>
      </c>
      <c r="C14" s="6" t="n">
        <f aca="false">SUM(C4:C13)</f>
        <v>52</v>
      </c>
      <c r="D14" s="6" t="n">
        <f aca="false">SUM(D4:D13)</f>
        <v>41</v>
      </c>
      <c r="E14" s="6" t="n">
        <f aca="false">SUM(E4:E13)</f>
        <v>25</v>
      </c>
      <c r="F14" s="6" t="n">
        <f aca="false">ROUND(AVERAGE('Use cases'!$O$2:$O$119),1)</f>
        <v>6.1</v>
      </c>
    </row>
    <row r="16" customFormat="false" ht="15" hidden="false" customHeight="false" outlineLevel="0" collapsed="false">
      <c r="A16" s="4"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4"/>
    <col collapsed="false" customWidth="true" hidden="false" outlineLevel="0" max="3" min="3" style="0" width="24"/>
    <col collapsed="false" customWidth="true" hidden="false" outlineLevel="0" max="4" min="4" style="0" width="18"/>
    <col collapsed="false" customWidth="true" hidden="false" outlineLevel="0" max="5" min="5" style="0" width="16"/>
    <col collapsed="false" customWidth="true" hidden="false" outlineLevel="0" max="6" min="6" style="0" width="34"/>
    <col collapsed="false" customWidth="true" hidden="false" outlineLevel="0" max="7" min="7" style="0" width="40"/>
    <col collapsed="false" customWidth="true" hidden="false" outlineLevel="0" max="8" min="8" style="0" width="30"/>
    <col collapsed="false" customWidth="true" hidden="false" outlineLevel="0" max="9" min="9" style="0" width="34"/>
    <col collapsed="false" customWidth="true" hidden="false" outlineLevel="0" max="10" min="10" style="0" width="44"/>
    <col collapsed="false" customWidth="true" hidden="false" outlineLevel="0" max="14" min="11" style="0" width="8"/>
    <col collapsed="false" customWidth="true" hidden="false" outlineLevel="0" max="15" min="15" style="0" width="9"/>
    <col collapsed="false" customWidth="true" hidden="false" outlineLevel="0" max="16" min="16" style="0" width="7"/>
  </cols>
  <sheetData>
    <row r="1" customFormat="false" ht="30" hidden="false" customHeight="true" outlineLevel="0" collapsed="false">
      <c r="A1" s="9" t="s">
        <v>36</v>
      </c>
      <c r="B1" s="9" t="s">
        <v>18</v>
      </c>
      <c r="C1" s="9" t="s">
        <v>37</v>
      </c>
      <c r="D1" s="9" t="s">
        <v>38</v>
      </c>
      <c r="E1" s="9" t="s">
        <v>39</v>
      </c>
      <c r="F1" s="9" t="s">
        <v>40</v>
      </c>
      <c r="G1" s="9" t="s">
        <v>41</v>
      </c>
      <c r="H1" s="9" t="s">
        <v>42</v>
      </c>
      <c r="I1" s="9" t="s">
        <v>43</v>
      </c>
      <c r="J1" s="9" t="s">
        <v>44</v>
      </c>
      <c r="K1" s="9" t="s">
        <v>45</v>
      </c>
      <c r="L1" s="9" t="s">
        <v>46</v>
      </c>
      <c r="M1" s="9" t="s">
        <v>47</v>
      </c>
      <c r="N1" s="9" t="s">
        <v>48</v>
      </c>
      <c r="O1" s="9" t="s">
        <v>49</v>
      </c>
      <c r="P1" s="9" t="s">
        <v>50</v>
      </c>
    </row>
    <row r="2" customFormat="false" ht="23.85" hidden="false" customHeight="false" outlineLevel="0" collapsed="false">
      <c r="A2" s="10" t="s">
        <v>51</v>
      </c>
      <c r="B2" s="10" t="s">
        <v>24</v>
      </c>
      <c r="C2" s="10" t="s">
        <v>52</v>
      </c>
      <c r="D2" s="10" t="s">
        <v>53</v>
      </c>
      <c r="E2" s="10"/>
      <c r="F2" s="10" t="s">
        <v>54</v>
      </c>
      <c r="G2" s="10" t="s">
        <v>55</v>
      </c>
      <c r="H2" s="10" t="s">
        <v>56</v>
      </c>
      <c r="I2" s="10" t="s">
        <v>57</v>
      </c>
      <c r="J2" s="10"/>
      <c r="K2" s="11" t="n">
        <v>4</v>
      </c>
      <c r="L2" s="11" t="n">
        <v>3</v>
      </c>
      <c r="M2" s="11" t="n">
        <v>1</v>
      </c>
      <c r="N2" s="11"/>
      <c r="O2" s="12" t="n">
        <f aca="false">ROUND(K2*L2/M2,1)</f>
        <v>12</v>
      </c>
      <c r="P2" s="13" t="n">
        <f aca="false">IF(N2="Y",1,IF(M2&gt;='Read me'!$B$14,3,IF(AND(O2&gt;='Read me'!$B$12,M2&lt;='Read me'!$B$13),1,2)))</f>
        <v>1</v>
      </c>
    </row>
    <row r="3" customFormat="false" ht="35.05" hidden="false" customHeight="false" outlineLevel="0" collapsed="false">
      <c r="A3" s="10" t="s">
        <v>58</v>
      </c>
      <c r="B3" s="10" t="s">
        <v>24</v>
      </c>
      <c r="C3" s="10" t="s">
        <v>52</v>
      </c>
      <c r="D3" s="10" t="s">
        <v>59</v>
      </c>
      <c r="E3" s="10"/>
      <c r="F3" s="10" t="s">
        <v>60</v>
      </c>
      <c r="G3" s="10" t="s">
        <v>61</v>
      </c>
      <c r="H3" s="10" t="s">
        <v>62</v>
      </c>
      <c r="I3" s="10" t="s">
        <v>63</v>
      </c>
      <c r="J3" s="10" t="s">
        <v>64</v>
      </c>
      <c r="K3" s="11" t="n">
        <v>4</v>
      </c>
      <c r="L3" s="11" t="n">
        <v>3</v>
      </c>
      <c r="M3" s="11" t="n">
        <v>1</v>
      </c>
      <c r="N3" s="11"/>
      <c r="O3" s="12" t="n">
        <f aca="false">ROUND(K3*L3/M3,1)</f>
        <v>12</v>
      </c>
      <c r="P3" s="13" t="n">
        <f aca="false">IF(N3="Y",1,IF(M3&gt;='Read me'!$B$14,3,IF(AND(O3&gt;='Read me'!$B$12,M3&lt;='Read me'!$B$13),1,2)))</f>
        <v>1</v>
      </c>
    </row>
    <row r="4" customFormat="false" ht="23.85" hidden="false" customHeight="false" outlineLevel="0" collapsed="false">
      <c r="A4" s="10" t="s">
        <v>65</v>
      </c>
      <c r="B4" s="10" t="s">
        <v>24</v>
      </c>
      <c r="C4" s="10" t="s">
        <v>52</v>
      </c>
      <c r="D4" s="10" t="s">
        <v>66</v>
      </c>
      <c r="E4" s="10"/>
      <c r="F4" s="10" t="s">
        <v>67</v>
      </c>
      <c r="G4" s="10" t="s">
        <v>68</v>
      </c>
      <c r="H4" s="10" t="s">
        <v>69</v>
      </c>
      <c r="I4" s="10" t="s">
        <v>70</v>
      </c>
      <c r="J4" s="10"/>
      <c r="K4" s="11" t="n">
        <v>4</v>
      </c>
      <c r="L4" s="11" t="n">
        <v>4</v>
      </c>
      <c r="M4" s="11" t="n">
        <v>1</v>
      </c>
      <c r="N4" s="11"/>
      <c r="O4" s="12" t="n">
        <f aca="false">ROUND(K4*L4/M4,1)</f>
        <v>16</v>
      </c>
      <c r="P4" s="13" t="n">
        <f aca="false">IF(N4="Y",1,IF(M4&gt;='Read me'!$B$14,3,IF(AND(O4&gt;='Read me'!$B$12,M4&lt;='Read me'!$B$13),1,2)))</f>
        <v>1</v>
      </c>
    </row>
    <row r="5" customFormat="false" ht="23.85" hidden="false" customHeight="false" outlineLevel="0" collapsed="false">
      <c r="A5" s="10" t="s">
        <v>71</v>
      </c>
      <c r="B5" s="10" t="s">
        <v>24</v>
      </c>
      <c r="C5" s="10" t="s">
        <v>52</v>
      </c>
      <c r="D5" s="10" t="s">
        <v>72</v>
      </c>
      <c r="E5" s="10"/>
      <c r="F5" s="10" t="s">
        <v>73</v>
      </c>
      <c r="G5" s="10" t="s">
        <v>74</v>
      </c>
      <c r="H5" s="10" t="s">
        <v>75</v>
      </c>
      <c r="I5" s="10" t="s">
        <v>76</v>
      </c>
      <c r="J5" s="10"/>
      <c r="K5" s="11" t="n">
        <v>3</v>
      </c>
      <c r="L5" s="11" t="n">
        <v>3</v>
      </c>
      <c r="M5" s="11" t="n">
        <v>1</v>
      </c>
      <c r="N5" s="11"/>
      <c r="O5" s="12" t="n">
        <f aca="false">ROUND(K5*L5/M5,1)</f>
        <v>9</v>
      </c>
      <c r="P5" s="13" t="n">
        <f aca="false">IF(N5="Y",1,IF(M5&gt;='Read me'!$B$14,3,IF(AND(O5&gt;='Read me'!$B$12,M5&lt;='Read me'!$B$13),1,2)))</f>
        <v>1</v>
      </c>
    </row>
    <row r="6" customFormat="false" ht="23.85" hidden="false" customHeight="false" outlineLevel="0" collapsed="false">
      <c r="A6" s="10" t="s">
        <v>77</v>
      </c>
      <c r="B6" s="10" t="s">
        <v>24</v>
      </c>
      <c r="C6" s="10" t="s">
        <v>78</v>
      </c>
      <c r="D6" s="10" t="s">
        <v>79</v>
      </c>
      <c r="E6" s="10"/>
      <c r="F6" s="10" t="s">
        <v>80</v>
      </c>
      <c r="G6" s="10" t="s">
        <v>81</v>
      </c>
      <c r="H6" s="10" t="s">
        <v>82</v>
      </c>
      <c r="I6" s="10" t="s">
        <v>83</v>
      </c>
      <c r="J6" s="10"/>
      <c r="K6" s="11" t="n">
        <v>3</v>
      </c>
      <c r="L6" s="11" t="n">
        <v>2</v>
      </c>
      <c r="M6" s="11" t="n">
        <v>1</v>
      </c>
      <c r="N6" s="11"/>
      <c r="O6" s="12" t="n">
        <f aca="false">ROUND(K6*L6/M6,1)</f>
        <v>6</v>
      </c>
      <c r="P6" s="13" t="n">
        <f aca="false">IF(N6="Y",1,IF(M6&gt;='Read me'!$B$14,3,IF(AND(O6&gt;='Read me'!$B$12,M6&lt;='Read me'!$B$13),1,2)))</f>
        <v>1</v>
      </c>
    </row>
    <row r="7" customFormat="false" ht="35.05" hidden="false" customHeight="false" outlineLevel="0" collapsed="false">
      <c r="A7" s="10" t="s">
        <v>84</v>
      </c>
      <c r="B7" s="10" t="s">
        <v>24</v>
      </c>
      <c r="C7" s="10" t="s">
        <v>85</v>
      </c>
      <c r="D7" s="10" t="s">
        <v>86</v>
      </c>
      <c r="E7" s="10"/>
      <c r="F7" s="10" t="s">
        <v>87</v>
      </c>
      <c r="G7" s="10" t="s">
        <v>88</v>
      </c>
      <c r="H7" s="10" t="s">
        <v>89</v>
      </c>
      <c r="I7" s="10" t="s">
        <v>90</v>
      </c>
      <c r="J7" s="10" t="s">
        <v>91</v>
      </c>
      <c r="K7" s="11" t="n">
        <v>3</v>
      </c>
      <c r="L7" s="11" t="n">
        <v>4</v>
      </c>
      <c r="M7" s="11" t="n">
        <v>2</v>
      </c>
      <c r="N7" s="11"/>
      <c r="O7" s="12" t="n">
        <f aca="false">ROUND(K7*L7/M7,1)</f>
        <v>6</v>
      </c>
      <c r="P7" s="13" t="n">
        <f aca="false">IF(N7="Y",1,IF(M7&gt;='Read me'!$B$14,3,IF(AND(O7&gt;='Read me'!$B$12,M7&lt;='Read me'!$B$13),1,2)))</f>
        <v>1</v>
      </c>
    </row>
    <row r="8" customFormat="false" ht="23.85" hidden="false" customHeight="false" outlineLevel="0" collapsed="false">
      <c r="A8" s="10" t="s">
        <v>92</v>
      </c>
      <c r="B8" s="10" t="s">
        <v>24</v>
      </c>
      <c r="C8" s="10" t="s">
        <v>93</v>
      </c>
      <c r="D8" s="10" t="s">
        <v>94</v>
      </c>
      <c r="E8" s="10"/>
      <c r="F8" s="10" t="s">
        <v>95</v>
      </c>
      <c r="G8" s="10" t="s">
        <v>96</v>
      </c>
      <c r="H8" s="10" t="s">
        <v>97</v>
      </c>
      <c r="I8" s="10" t="s">
        <v>98</v>
      </c>
      <c r="J8" s="10"/>
      <c r="K8" s="11" t="n">
        <v>2</v>
      </c>
      <c r="L8" s="11" t="n">
        <v>3</v>
      </c>
      <c r="M8" s="11" t="n">
        <v>1</v>
      </c>
      <c r="N8" s="11"/>
      <c r="O8" s="12" t="n">
        <f aca="false">ROUND(K8*L8/M8,1)</f>
        <v>6</v>
      </c>
      <c r="P8" s="13" t="n">
        <f aca="false">IF(N8="Y",1,IF(M8&gt;='Read me'!$B$14,3,IF(AND(O8&gt;='Read me'!$B$12,M8&lt;='Read me'!$B$13),1,2)))</f>
        <v>1</v>
      </c>
    </row>
    <row r="9" customFormat="false" ht="23.85" hidden="false" customHeight="false" outlineLevel="0" collapsed="false">
      <c r="A9" s="10" t="s">
        <v>99</v>
      </c>
      <c r="B9" s="10" t="s">
        <v>24</v>
      </c>
      <c r="C9" s="10" t="s">
        <v>100</v>
      </c>
      <c r="D9" s="10" t="s">
        <v>101</v>
      </c>
      <c r="E9" s="10"/>
      <c r="F9" s="10" t="s">
        <v>102</v>
      </c>
      <c r="G9" s="10" t="s">
        <v>103</v>
      </c>
      <c r="H9" s="10" t="s">
        <v>104</v>
      </c>
      <c r="I9" s="10" t="s">
        <v>105</v>
      </c>
      <c r="J9" s="10"/>
      <c r="K9" s="11" t="n">
        <v>2</v>
      </c>
      <c r="L9" s="11" t="n">
        <v>3</v>
      </c>
      <c r="M9" s="11" t="n">
        <v>1</v>
      </c>
      <c r="N9" s="11"/>
      <c r="O9" s="12" t="n">
        <f aca="false">ROUND(K9*L9/M9,1)</f>
        <v>6</v>
      </c>
      <c r="P9" s="13" t="n">
        <f aca="false">IF(N9="Y",1,IF(M9&gt;='Read me'!$B$14,3,IF(AND(O9&gt;='Read me'!$B$12,M9&lt;='Read me'!$B$13),1,2)))</f>
        <v>1</v>
      </c>
    </row>
    <row r="10" customFormat="false" ht="23.85" hidden="false" customHeight="false" outlineLevel="0" collapsed="false">
      <c r="A10" s="10" t="s">
        <v>106</v>
      </c>
      <c r="B10" s="10" t="s">
        <v>25</v>
      </c>
      <c r="C10" s="10" t="s">
        <v>107</v>
      </c>
      <c r="D10" s="10" t="s">
        <v>59</v>
      </c>
      <c r="E10" s="10"/>
      <c r="F10" s="10" t="s">
        <v>108</v>
      </c>
      <c r="G10" s="10" t="s">
        <v>109</v>
      </c>
      <c r="H10" s="10" t="s">
        <v>110</v>
      </c>
      <c r="I10" s="10" t="s">
        <v>111</v>
      </c>
      <c r="J10" s="10"/>
      <c r="K10" s="11" t="n">
        <v>5</v>
      </c>
      <c r="L10" s="11" t="n">
        <v>5</v>
      </c>
      <c r="M10" s="11" t="n">
        <v>2</v>
      </c>
      <c r="N10" s="11" t="s">
        <v>112</v>
      </c>
      <c r="O10" s="12" t="n">
        <f aca="false">ROUND(K10*L10/M10,1)</f>
        <v>12.5</v>
      </c>
      <c r="P10" s="13" t="n">
        <f aca="false">IF(N10="Y",1,IF(M10&gt;='Read me'!$B$14,3,IF(AND(O10&gt;='Read me'!$B$12,M10&lt;='Read me'!$B$13),1,2)))</f>
        <v>1</v>
      </c>
    </row>
    <row r="11" customFormat="false" ht="23.85" hidden="false" customHeight="false" outlineLevel="0" collapsed="false">
      <c r="A11" s="10" t="s">
        <v>113</v>
      </c>
      <c r="B11" s="10" t="s">
        <v>25</v>
      </c>
      <c r="C11" s="10" t="s">
        <v>107</v>
      </c>
      <c r="D11" s="10" t="s">
        <v>114</v>
      </c>
      <c r="E11" s="10"/>
      <c r="F11" s="10" t="s">
        <v>115</v>
      </c>
      <c r="G11" s="10" t="s">
        <v>116</v>
      </c>
      <c r="H11" s="10" t="s">
        <v>117</v>
      </c>
      <c r="I11" s="10" t="s">
        <v>118</v>
      </c>
      <c r="J11" s="10" t="s">
        <v>119</v>
      </c>
      <c r="K11" s="11" t="n">
        <v>5</v>
      </c>
      <c r="L11" s="11" t="n">
        <v>4</v>
      </c>
      <c r="M11" s="11" t="n">
        <v>2</v>
      </c>
      <c r="N11" s="11" t="s">
        <v>112</v>
      </c>
      <c r="O11" s="12" t="n">
        <f aca="false">ROUND(K11*L11/M11,1)</f>
        <v>10</v>
      </c>
      <c r="P11" s="13" t="n">
        <f aca="false">IF(N11="Y",1,IF(M11&gt;='Read me'!$B$14,3,IF(AND(O11&gt;='Read me'!$B$12,M11&lt;='Read me'!$B$13),1,2)))</f>
        <v>1</v>
      </c>
    </row>
    <row r="12" customFormat="false" ht="23.85" hidden="false" customHeight="false" outlineLevel="0" collapsed="false">
      <c r="A12" s="10" t="s">
        <v>120</v>
      </c>
      <c r="B12" s="10" t="s">
        <v>25</v>
      </c>
      <c r="C12" s="10" t="s">
        <v>121</v>
      </c>
      <c r="D12" s="10" t="s">
        <v>59</v>
      </c>
      <c r="E12" s="10"/>
      <c r="F12" s="10" t="s">
        <v>122</v>
      </c>
      <c r="G12" s="10" t="s">
        <v>123</v>
      </c>
      <c r="H12" s="10" t="s">
        <v>124</v>
      </c>
      <c r="I12" s="10"/>
      <c r="J12" s="10"/>
      <c r="K12" s="11" t="n">
        <v>4</v>
      </c>
      <c r="L12" s="11" t="n">
        <v>4</v>
      </c>
      <c r="M12" s="11" t="n">
        <v>1</v>
      </c>
      <c r="N12" s="11"/>
      <c r="O12" s="12" t="n">
        <f aca="false">ROUND(K12*L12/M12,1)</f>
        <v>16</v>
      </c>
      <c r="P12" s="13" t="n">
        <f aca="false">IF(N12="Y",1,IF(M12&gt;='Read me'!$B$14,3,IF(AND(O12&gt;='Read me'!$B$12,M12&lt;='Read me'!$B$13),1,2)))</f>
        <v>1</v>
      </c>
    </row>
    <row r="13" customFormat="false" ht="23.85" hidden="false" customHeight="false" outlineLevel="0" collapsed="false">
      <c r="A13" s="10" t="s">
        <v>125</v>
      </c>
      <c r="B13" s="10" t="s">
        <v>25</v>
      </c>
      <c r="C13" s="10" t="s">
        <v>126</v>
      </c>
      <c r="D13" s="10" t="s">
        <v>127</v>
      </c>
      <c r="E13" s="10"/>
      <c r="F13" s="10" t="s">
        <v>128</v>
      </c>
      <c r="G13" s="10" t="s">
        <v>129</v>
      </c>
      <c r="H13" s="10" t="s">
        <v>130</v>
      </c>
      <c r="I13" s="10" t="s">
        <v>131</v>
      </c>
      <c r="J13" s="10"/>
      <c r="K13" s="11" t="n">
        <v>2</v>
      </c>
      <c r="L13" s="11" t="n">
        <v>4</v>
      </c>
      <c r="M13" s="11" t="n">
        <v>3</v>
      </c>
      <c r="N13" s="11"/>
      <c r="O13" s="12" t="n">
        <f aca="false">ROUND(K13*L13/M13,1)</f>
        <v>2.7</v>
      </c>
      <c r="P13" s="13" t="n">
        <f aca="false">IF(N13="Y",1,IF(M13&gt;='Read me'!$B$14,3,IF(AND(O13&gt;='Read me'!$B$12,M13&lt;='Read me'!$B$13),1,2)))</f>
        <v>2</v>
      </c>
    </row>
    <row r="14" customFormat="false" ht="23.85" hidden="false" customHeight="false" outlineLevel="0" collapsed="false">
      <c r="A14" s="10" t="s">
        <v>132</v>
      </c>
      <c r="B14" s="10" t="s">
        <v>25</v>
      </c>
      <c r="C14" s="10" t="s">
        <v>133</v>
      </c>
      <c r="D14" s="10" t="s">
        <v>134</v>
      </c>
      <c r="E14" s="10"/>
      <c r="F14" s="10" t="s">
        <v>135</v>
      </c>
      <c r="G14" s="10" t="s">
        <v>136</v>
      </c>
      <c r="H14" s="10" t="s">
        <v>137</v>
      </c>
      <c r="I14" s="10"/>
      <c r="J14" s="10"/>
      <c r="K14" s="11" t="n">
        <v>5</v>
      </c>
      <c r="L14" s="11" t="n">
        <v>3</v>
      </c>
      <c r="M14" s="11" t="n">
        <v>1</v>
      </c>
      <c r="N14" s="11"/>
      <c r="O14" s="12" t="n">
        <f aca="false">ROUND(K14*L14/M14,1)</f>
        <v>15</v>
      </c>
      <c r="P14" s="13" t="n">
        <f aca="false">IF(N14="Y",1,IF(M14&gt;='Read me'!$B$14,3,IF(AND(O14&gt;='Read me'!$B$12,M14&lt;='Read me'!$B$13),1,2)))</f>
        <v>1</v>
      </c>
    </row>
    <row r="15" customFormat="false" ht="23.85" hidden="false" customHeight="false" outlineLevel="0" collapsed="false">
      <c r="A15" s="10" t="s">
        <v>138</v>
      </c>
      <c r="B15" s="10" t="s">
        <v>25</v>
      </c>
      <c r="C15" s="10" t="s">
        <v>133</v>
      </c>
      <c r="D15" s="10" t="s">
        <v>139</v>
      </c>
      <c r="E15" s="10"/>
      <c r="F15" s="10" t="s">
        <v>140</v>
      </c>
      <c r="G15" s="10" t="s">
        <v>141</v>
      </c>
      <c r="H15" s="10" t="s">
        <v>142</v>
      </c>
      <c r="I15" s="10"/>
      <c r="J15" s="10"/>
      <c r="K15" s="11" t="n">
        <v>4</v>
      </c>
      <c r="L15" s="11" t="n">
        <v>3</v>
      </c>
      <c r="M15" s="11" t="n">
        <v>1</v>
      </c>
      <c r="N15" s="11"/>
      <c r="O15" s="12" t="n">
        <f aca="false">ROUND(K15*L15/M15,1)</f>
        <v>12</v>
      </c>
      <c r="P15" s="13" t="n">
        <f aca="false">IF(N15="Y",1,IF(M15&gt;='Read me'!$B$14,3,IF(AND(O15&gt;='Read me'!$B$12,M15&lt;='Read me'!$B$13),1,2)))</f>
        <v>1</v>
      </c>
    </row>
    <row r="16" customFormat="false" ht="23.85" hidden="false" customHeight="false" outlineLevel="0" collapsed="false">
      <c r="A16" s="10" t="s">
        <v>143</v>
      </c>
      <c r="B16" s="10" t="s">
        <v>25</v>
      </c>
      <c r="C16" s="10" t="s">
        <v>133</v>
      </c>
      <c r="D16" s="10" t="s">
        <v>144</v>
      </c>
      <c r="E16" s="10"/>
      <c r="F16" s="10" t="s">
        <v>145</v>
      </c>
      <c r="G16" s="10" t="s">
        <v>146</v>
      </c>
      <c r="H16" s="10" t="s">
        <v>147</v>
      </c>
      <c r="I16" s="10" t="s">
        <v>148</v>
      </c>
      <c r="J16" s="10"/>
      <c r="K16" s="11" t="n">
        <v>3</v>
      </c>
      <c r="L16" s="11" t="n">
        <v>3</v>
      </c>
      <c r="M16" s="11" t="n">
        <v>1</v>
      </c>
      <c r="N16" s="11"/>
      <c r="O16" s="12" t="n">
        <f aca="false">ROUND(K16*L16/M16,1)</f>
        <v>9</v>
      </c>
      <c r="P16" s="13" t="n">
        <f aca="false">IF(N16="Y",1,IF(M16&gt;='Read me'!$B$14,3,IF(AND(O16&gt;='Read me'!$B$12,M16&lt;='Read me'!$B$13),1,2)))</f>
        <v>1</v>
      </c>
    </row>
    <row r="17" customFormat="false" ht="23.85" hidden="false" customHeight="false" outlineLevel="0" collapsed="false">
      <c r="A17" s="10" t="s">
        <v>149</v>
      </c>
      <c r="B17" s="10" t="s">
        <v>25</v>
      </c>
      <c r="C17" s="10" t="s">
        <v>133</v>
      </c>
      <c r="D17" s="10" t="s">
        <v>150</v>
      </c>
      <c r="E17" s="10"/>
      <c r="F17" s="10" t="s">
        <v>151</v>
      </c>
      <c r="G17" s="10" t="s">
        <v>152</v>
      </c>
      <c r="H17" s="10" t="s">
        <v>153</v>
      </c>
      <c r="I17" s="10" t="s">
        <v>154</v>
      </c>
      <c r="J17" s="10"/>
      <c r="K17" s="11" t="n">
        <v>4</v>
      </c>
      <c r="L17" s="11" t="n">
        <v>3</v>
      </c>
      <c r="M17" s="11" t="n">
        <v>1</v>
      </c>
      <c r="N17" s="11"/>
      <c r="O17" s="12" t="n">
        <f aca="false">ROUND(K17*L17/M17,1)</f>
        <v>12</v>
      </c>
      <c r="P17" s="13" t="n">
        <f aca="false">IF(N17="Y",1,IF(M17&gt;='Read me'!$B$14,3,IF(AND(O17&gt;='Read me'!$B$12,M17&lt;='Read me'!$B$13),1,2)))</f>
        <v>1</v>
      </c>
    </row>
    <row r="18" customFormat="false" ht="23.85" hidden="false" customHeight="false" outlineLevel="0" collapsed="false">
      <c r="A18" s="10" t="s">
        <v>155</v>
      </c>
      <c r="B18" s="10" t="s">
        <v>25</v>
      </c>
      <c r="C18" s="10" t="s">
        <v>156</v>
      </c>
      <c r="D18" s="10" t="s">
        <v>157</v>
      </c>
      <c r="E18" s="10"/>
      <c r="F18" s="10" t="s">
        <v>158</v>
      </c>
      <c r="G18" s="10" t="s">
        <v>159</v>
      </c>
      <c r="H18" s="10" t="s">
        <v>160</v>
      </c>
      <c r="I18" s="10" t="s">
        <v>161</v>
      </c>
      <c r="J18" s="10"/>
      <c r="K18" s="11" t="n">
        <v>4</v>
      </c>
      <c r="L18" s="11" t="n">
        <v>3</v>
      </c>
      <c r="M18" s="11" t="n">
        <v>1</v>
      </c>
      <c r="N18" s="11"/>
      <c r="O18" s="12" t="n">
        <f aca="false">ROUND(K18*L18/M18,1)</f>
        <v>12</v>
      </c>
      <c r="P18" s="13" t="n">
        <f aca="false">IF(N18="Y",1,IF(M18&gt;='Read me'!$B$14,3,IF(AND(O18&gt;='Read me'!$B$12,M18&lt;='Read me'!$B$13),1,2)))</f>
        <v>1</v>
      </c>
    </row>
    <row r="19" customFormat="false" ht="23.85" hidden="false" customHeight="false" outlineLevel="0" collapsed="false">
      <c r="A19" s="10" t="s">
        <v>162</v>
      </c>
      <c r="B19" s="10" t="s">
        <v>25</v>
      </c>
      <c r="C19" s="10" t="s">
        <v>163</v>
      </c>
      <c r="D19" s="10" t="s">
        <v>164</v>
      </c>
      <c r="E19" s="10"/>
      <c r="F19" s="10" t="s">
        <v>165</v>
      </c>
      <c r="G19" s="10" t="s">
        <v>166</v>
      </c>
      <c r="H19" s="10" t="s">
        <v>167</v>
      </c>
      <c r="I19" s="10" t="s">
        <v>168</v>
      </c>
      <c r="J19" s="10" t="s">
        <v>169</v>
      </c>
      <c r="K19" s="11" t="n">
        <v>3</v>
      </c>
      <c r="L19" s="11" t="n">
        <v>3</v>
      </c>
      <c r="M19" s="11" t="n">
        <v>2</v>
      </c>
      <c r="N19" s="11"/>
      <c r="O19" s="12" t="n">
        <f aca="false">ROUND(K19*L19/M19,1)</f>
        <v>4.5</v>
      </c>
      <c r="P19" s="13" t="n">
        <f aca="false">IF(N19="Y",1,IF(M19&gt;='Read me'!$B$14,3,IF(AND(O19&gt;='Read me'!$B$12,M19&lt;='Read me'!$B$13),1,2)))</f>
        <v>2</v>
      </c>
    </row>
    <row r="20" customFormat="false" ht="23.85" hidden="false" customHeight="false" outlineLevel="0" collapsed="false">
      <c r="A20" s="10" t="s">
        <v>170</v>
      </c>
      <c r="B20" s="10" t="s">
        <v>25</v>
      </c>
      <c r="C20" s="10" t="s">
        <v>171</v>
      </c>
      <c r="D20" s="10" t="s">
        <v>172</v>
      </c>
      <c r="E20" s="10"/>
      <c r="F20" s="10" t="s">
        <v>173</v>
      </c>
      <c r="G20" s="10" t="s">
        <v>174</v>
      </c>
      <c r="H20" s="10" t="s">
        <v>175</v>
      </c>
      <c r="I20" s="10" t="s">
        <v>176</v>
      </c>
      <c r="J20" s="10"/>
      <c r="K20" s="11" t="n">
        <v>2</v>
      </c>
      <c r="L20" s="11" t="n">
        <v>4</v>
      </c>
      <c r="M20" s="11" t="n">
        <v>3</v>
      </c>
      <c r="N20" s="11"/>
      <c r="O20" s="12" t="n">
        <f aca="false">ROUND(K20*L20/M20,1)</f>
        <v>2.7</v>
      </c>
      <c r="P20" s="13" t="n">
        <f aca="false">IF(N20="Y",1,IF(M20&gt;='Read me'!$B$14,3,IF(AND(O20&gt;='Read me'!$B$12,M20&lt;='Read me'!$B$13),1,2)))</f>
        <v>2</v>
      </c>
    </row>
    <row r="21" customFormat="false" ht="23.85" hidden="false" customHeight="false" outlineLevel="0" collapsed="false">
      <c r="A21" s="10" t="s">
        <v>177</v>
      </c>
      <c r="B21" s="10" t="s">
        <v>25</v>
      </c>
      <c r="C21" s="10" t="s">
        <v>178</v>
      </c>
      <c r="D21" s="10" t="s">
        <v>179</v>
      </c>
      <c r="E21" s="10"/>
      <c r="F21" s="10" t="s">
        <v>180</v>
      </c>
      <c r="G21" s="10" t="s">
        <v>181</v>
      </c>
      <c r="H21" s="10" t="s">
        <v>182</v>
      </c>
      <c r="I21" s="10"/>
      <c r="J21" s="10"/>
      <c r="K21" s="11" t="n">
        <v>2</v>
      </c>
      <c r="L21" s="11" t="n">
        <v>5</v>
      </c>
      <c r="M21" s="11" t="n">
        <v>1</v>
      </c>
      <c r="N21" s="11"/>
      <c r="O21" s="12" t="n">
        <f aca="false">ROUND(K21*L21/M21,1)</f>
        <v>10</v>
      </c>
      <c r="P21" s="13" t="n">
        <f aca="false">IF(N21="Y",1,IF(M21&gt;='Read me'!$B$14,3,IF(AND(O21&gt;='Read me'!$B$12,M21&lt;='Read me'!$B$13),1,2)))</f>
        <v>1</v>
      </c>
    </row>
    <row r="22" customFormat="false" ht="23.85" hidden="false" customHeight="false" outlineLevel="0" collapsed="false">
      <c r="A22" s="10" t="s">
        <v>183</v>
      </c>
      <c r="B22" s="10" t="s">
        <v>25</v>
      </c>
      <c r="C22" s="10" t="s">
        <v>184</v>
      </c>
      <c r="D22" s="10" t="s">
        <v>185</v>
      </c>
      <c r="E22" s="10"/>
      <c r="F22" s="10" t="s">
        <v>186</v>
      </c>
      <c r="G22" s="10" t="s">
        <v>187</v>
      </c>
      <c r="H22" s="10" t="s">
        <v>188</v>
      </c>
      <c r="I22" s="10" t="s">
        <v>189</v>
      </c>
      <c r="J22" s="10"/>
      <c r="K22" s="11" t="n">
        <v>4</v>
      </c>
      <c r="L22" s="11" t="n">
        <v>4</v>
      </c>
      <c r="M22" s="11" t="n">
        <v>1</v>
      </c>
      <c r="N22" s="11"/>
      <c r="O22" s="12" t="n">
        <f aca="false">ROUND(K22*L22/M22,1)</f>
        <v>16</v>
      </c>
      <c r="P22" s="13" t="n">
        <f aca="false">IF(N22="Y",1,IF(M22&gt;='Read me'!$B$14,3,IF(AND(O22&gt;='Read me'!$B$12,M22&lt;='Read me'!$B$13),1,2)))</f>
        <v>1</v>
      </c>
    </row>
    <row r="23" customFormat="false" ht="23.85" hidden="false" customHeight="false" outlineLevel="0" collapsed="false">
      <c r="A23" s="10" t="s">
        <v>190</v>
      </c>
      <c r="B23" s="10" t="s">
        <v>25</v>
      </c>
      <c r="C23" s="10" t="s">
        <v>191</v>
      </c>
      <c r="D23" s="10" t="s">
        <v>192</v>
      </c>
      <c r="E23" s="10" t="s">
        <v>193</v>
      </c>
      <c r="F23" s="10" t="s">
        <v>194</v>
      </c>
      <c r="G23" s="10" t="s">
        <v>195</v>
      </c>
      <c r="H23" s="10" t="s">
        <v>196</v>
      </c>
      <c r="I23" s="10" t="s">
        <v>197</v>
      </c>
      <c r="J23" s="10"/>
      <c r="K23" s="11" t="n">
        <v>3</v>
      </c>
      <c r="L23" s="11" t="n">
        <v>3</v>
      </c>
      <c r="M23" s="11" t="n">
        <v>1</v>
      </c>
      <c r="N23" s="11"/>
      <c r="O23" s="12" t="n">
        <f aca="false">ROUND(K23*L23/M23,1)</f>
        <v>9</v>
      </c>
      <c r="P23" s="13" t="n">
        <f aca="false">IF(N23="Y",1,IF(M23&gt;='Read me'!$B$14,3,IF(AND(O23&gt;='Read me'!$B$12,M23&lt;='Read me'!$B$13),1,2)))</f>
        <v>1</v>
      </c>
    </row>
    <row r="24" customFormat="false" ht="23.85" hidden="false" customHeight="false" outlineLevel="0" collapsed="false">
      <c r="A24" s="10" t="s">
        <v>198</v>
      </c>
      <c r="B24" s="10" t="s">
        <v>25</v>
      </c>
      <c r="C24" s="10" t="s">
        <v>199</v>
      </c>
      <c r="D24" s="10" t="s">
        <v>200</v>
      </c>
      <c r="E24" s="10" t="s">
        <v>201</v>
      </c>
      <c r="F24" s="10" t="s">
        <v>202</v>
      </c>
      <c r="G24" s="10" t="s">
        <v>203</v>
      </c>
      <c r="H24" s="10" t="s">
        <v>204</v>
      </c>
      <c r="I24" s="10" t="s">
        <v>205</v>
      </c>
      <c r="J24" s="10"/>
      <c r="K24" s="11" t="n">
        <v>2</v>
      </c>
      <c r="L24" s="11" t="n">
        <v>2</v>
      </c>
      <c r="M24" s="11" t="n">
        <v>2</v>
      </c>
      <c r="N24" s="11"/>
      <c r="O24" s="12" t="n">
        <f aca="false">ROUND(K24*L24/M24,1)</f>
        <v>2</v>
      </c>
      <c r="P24" s="13" t="n">
        <f aca="false">IF(N24="Y",1,IF(M24&gt;='Read me'!$B$14,3,IF(AND(O24&gt;='Read me'!$B$12,M24&lt;='Read me'!$B$13),1,2)))</f>
        <v>2</v>
      </c>
    </row>
    <row r="25" customFormat="false" ht="23.85" hidden="false" customHeight="false" outlineLevel="0" collapsed="false">
      <c r="A25" s="10" t="s">
        <v>206</v>
      </c>
      <c r="B25" s="10" t="s">
        <v>25</v>
      </c>
      <c r="C25" s="10" t="s">
        <v>107</v>
      </c>
      <c r="D25" s="10" t="s">
        <v>207</v>
      </c>
      <c r="E25" s="10"/>
      <c r="F25" s="10" t="s">
        <v>208</v>
      </c>
      <c r="G25" s="10" t="s">
        <v>209</v>
      </c>
      <c r="H25" s="10" t="s">
        <v>210</v>
      </c>
      <c r="I25" s="10" t="s">
        <v>211</v>
      </c>
      <c r="J25" s="10"/>
      <c r="K25" s="11" t="n">
        <v>2</v>
      </c>
      <c r="L25" s="11" t="n">
        <v>3</v>
      </c>
      <c r="M25" s="11" t="n">
        <v>2</v>
      </c>
      <c r="N25" s="11"/>
      <c r="O25" s="12" t="n">
        <f aca="false">ROUND(K25*L25/M25,1)</f>
        <v>3</v>
      </c>
      <c r="P25" s="13" t="n">
        <f aca="false">IF(N25="Y",1,IF(M25&gt;='Read me'!$B$14,3,IF(AND(O25&gt;='Read me'!$B$12,M25&lt;='Read me'!$B$13),1,2)))</f>
        <v>2</v>
      </c>
    </row>
    <row r="26" customFormat="false" ht="23.85" hidden="false" customHeight="false" outlineLevel="0" collapsed="false">
      <c r="A26" s="10" t="s">
        <v>212</v>
      </c>
      <c r="B26" s="10" t="s">
        <v>25</v>
      </c>
      <c r="C26" s="10" t="s">
        <v>213</v>
      </c>
      <c r="D26" s="10" t="s">
        <v>214</v>
      </c>
      <c r="E26" s="10"/>
      <c r="F26" s="10" t="s">
        <v>215</v>
      </c>
      <c r="G26" s="10" t="s">
        <v>216</v>
      </c>
      <c r="H26" s="10" t="s">
        <v>217</v>
      </c>
      <c r="I26" s="10" t="s">
        <v>218</v>
      </c>
      <c r="J26" s="10"/>
      <c r="K26" s="11" t="n">
        <v>2</v>
      </c>
      <c r="L26" s="11" t="n">
        <v>4</v>
      </c>
      <c r="M26" s="11" t="n">
        <v>3</v>
      </c>
      <c r="N26" s="11"/>
      <c r="O26" s="12" t="n">
        <f aca="false">ROUND(K26*L26/M26,1)</f>
        <v>2.7</v>
      </c>
      <c r="P26" s="13" t="n">
        <f aca="false">IF(N26="Y",1,IF(M26&gt;='Read me'!$B$14,3,IF(AND(O26&gt;='Read me'!$B$12,M26&lt;='Read me'!$B$13),1,2)))</f>
        <v>2</v>
      </c>
    </row>
    <row r="27" customFormat="false" ht="23.85" hidden="false" customHeight="false" outlineLevel="0" collapsed="false">
      <c r="A27" s="10" t="s">
        <v>219</v>
      </c>
      <c r="B27" s="10" t="s">
        <v>25</v>
      </c>
      <c r="C27" s="10" t="s">
        <v>220</v>
      </c>
      <c r="D27" s="10" t="s">
        <v>221</v>
      </c>
      <c r="E27" s="10"/>
      <c r="F27" s="10" t="s">
        <v>222</v>
      </c>
      <c r="G27" s="10" t="s">
        <v>223</v>
      </c>
      <c r="H27" s="10" t="s">
        <v>224</v>
      </c>
      <c r="I27" s="10" t="s">
        <v>225</v>
      </c>
      <c r="J27" s="10"/>
      <c r="K27" s="11" t="n">
        <v>2</v>
      </c>
      <c r="L27" s="11" t="n">
        <v>4</v>
      </c>
      <c r="M27" s="11" t="n">
        <v>2</v>
      </c>
      <c r="N27" s="11"/>
      <c r="O27" s="12" t="n">
        <f aca="false">ROUND(K27*L27/M27,1)</f>
        <v>4</v>
      </c>
      <c r="P27" s="13" t="n">
        <f aca="false">IF(N27="Y",1,IF(M27&gt;='Read me'!$B$14,3,IF(AND(O27&gt;='Read me'!$B$12,M27&lt;='Read me'!$B$13),1,2)))</f>
        <v>2</v>
      </c>
    </row>
    <row r="28" customFormat="false" ht="23.85" hidden="false" customHeight="false" outlineLevel="0" collapsed="false">
      <c r="A28" s="10" t="s">
        <v>226</v>
      </c>
      <c r="B28" s="10" t="s">
        <v>26</v>
      </c>
      <c r="C28" s="10" t="s">
        <v>227</v>
      </c>
      <c r="D28" s="10" t="s">
        <v>228</v>
      </c>
      <c r="E28" s="10"/>
      <c r="F28" s="10" t="s">
        <v>229</v>
      </c>
      <c r="G28" s="10" t="s">
        <v>230</v>
      </c>
      <c r="H28" s="10" t="s">
        <v>104</v>
      </c>
      <c r="I28" s="10" t="s">
        <v>231</v>
      </c>
      <c r="J28" s="10"/>
      <c r="K28" s="11" t="n">
        <v>4</v>
      </c>
      <c r="L28" s="11" t="n">
        <v>4</v>
      </c>
      <c r="M28" s="11" t="n">
        <v>1</v>
      </c>
      <c r="N28" s="11"/>
      <c r="O28" s="12" t="n">
        <f aca="false">ROUND(K28*L28/M28,1)</f>
        <v>16</v>
      </c>
      <c r="P28" s="13" t="n">
        <f aca="false">IF(N28="Y",1,IF(M28&gt;='Read me'!$B$14,3,IF(AND(O28&gt;='Read me'!$B$12,M28&lt;='Read me'!$B$13),1,2)))</f>
        <v>1</v>
      </c>
    </row>
    <row r="29" customFormat="false" ht="23.85" hidden="false" customHeight="false" outlineLevel="0" collapsed="false">
      <c r="A29" s="10" t="s">
        <v>232</v>
      </c>
      <c r="B29" s="10" t="s">
        <v>26</v>
      </c>
      <c r="C29" s="10" t="s">
        <v>233</v>
      </c>
      <c r="D29" s="10" t="s">
        <v>234</v>
      </c>
      <c r="E29" s="10"/>
      <c r="F29" s="10" t="s">
        <v>235</v>
      </c>
      <c r="G29" s="10" t="s">
        <v>236</v>
      </c>
      <c r="H29" s="10" t="s">
        <v>237</v>
      </c>
      <c r="I29" s="10" t="s">
        <v>238</v>
      </c>
      <c r="J29" s="10"/>
      <c r="K29" s="11" t="n">
        <v>5</v>
      </c>
      <c r="L29" s="11" t="n">
        <v>4</v>
      </c>
      <c r="M29" s="11" t="n">
        <v>2</v>
      </c>
      <c r="N29" s="11" t="s">
        <v>112</v>
      </c>
      <c r="O29" s="12" t="n">
        <f aca="false">ROUND(K29*L29/M29,1)</f>
        <v>10</v>
      </c>
      <c r="P29" s="13" t="n">
        <f aca="false">IF(N29="Y",1,IF(M29&gt;='Read me'!$B$14,3,IF(AND(O29&gt;='Read me'!$B$12,M29&lt;='Read me'!$B$13),1,2)))</f>
        <v>1</v>
      </c>
    </row>
    <row r="30" customFormat="false" ht="23.85" hidden="false" customHeight="false" outlineLevel="0" collapsed="false">
      <c r="A30" s="10" t="s">
        <v>239</v>
      </c>
      <c r="B30" s="10" t="s">
        <v>26</v>
      </c>
      <c r="C30" s="10" t="s">
        <v>240</v>
      </c>
      <c r="D30" s="10" t="s">
        <v>241</v>
      </c>
      <c r="E30" s="10"/>
      <c r="F30" s="10" t="s">
        <v>242</v>
      </c>
      <c r="G30" s="10" t="s">
        <v>243</v>
      </c>
      <c r="H30" s="10" t="s">
        <v>244</v>
      </c>
      <c r="I30" s="10" t="s">
        <v>245</v>
      </c>
      <c r="J30" s="10"/>
      <c r="K30" s="11" t="n">
        <v>4</v>
      </c>
      <c r="L30" s="11" t="n">
        <v>4</v>
      </c>
      <c r="M30" s="11" t="n">
        <v>3</v>
      </c>
      <c r="N30" s="11"/>
      <c r="O30" s="12" t="n">
        <f aca="false">ROUND(K30*L30/M30,1)</f>
        <v>5.3</v>
      </c>
      <c r="P30" s="13" t="n">
        <f aca="false">IF(N30="Y",1,IF(M30&gt;='Read me'!$B$14,3,IF(AND(O30&gt;='Read me'!$B$12,M30&lt;='Read me'!$B$13),1,2)))</f>
        <v>2</v>
      </c>
    </row>
    <row r="31" customFormat="false" ht="23.85" hidden="false" customHeight="false" outlineLevel="0" collapsed="false">
      <c r="A31" s="10" t="s">
        <v>246</v>
      </c>
      <c r="B31" s="10" t="s">
        <v>26</v>
      </c>
      <c r="C31" s="10" t="s">
        <v>247</v>
      </c>
      <c r="D31" s="10" t="s">
        <v>248</v>
      </c>
      <c r="E31" s="10"/>
      <c r="F31" s="10" t="s">
        <v>249</v>
      </c>
      <c r="G31" s="10" t="s">
        <v>250</v>
      </c>
      <c r="H31" s="10" t="s">
        <v>251</v>
      </c>
      <c r="I31" s="10" t="s">
        <v>252</v>
      </c>
      <c r="J31" s="10"/>
      <c r="K31" s="11" t="n">
        <v>3</v>
      </c>
      <c r="L31" s="11" t="n">
        <v>3</v>
      </c>
      <c r="M31" s="11" t="n">
        <v>2</v>
      </c>
      <c r="N31" s="11"/>
      <c r="O31" s="12" t="n">
        <f aca="false">ROUND(K31*L31/M31,1)</f>
        <v>4.5</v>
      </c>
      <c r="P31" s="13" t="n">
        <f aca="false">IF(N31="Y",1,IF(M31&gt;='Read me'!$B$14,3,IF(AND(O31&gt;='Read me'!$B$12,M31&lt;='Read me'!$B$13),1,2)))</f>
        <v>2</v>
      </c>
    </row>
    <row r="32" customFormat="false" ht="23.85" hidden="false" customHeight="false" outlineLevel="0" collapsed="false">
      <c r="A32" s="10" t="s">
        <v>253</v>
      </c>
      <c r="B32" s="10" t="s">
        <v>26</v>
      </c>
      <c r="C32" s="10" t="s">
        <v>254</v>
      </c>
      <c r="D32" s="10" t="s">
        <v>255</v>
      </c>
      <c r="E32" s="10"/>
      <c r="F32" s="10" t="s">
        <v>256</v>
      </c>
      <c r="G32" s="10" t="s">
        <v>257</v>
      </c>
      <c r="H32" s="10" t="s">
        <v>258</v>
      </c>
      <c r="I32" s="10"/>
      <c r="J32" s="10"/>
      <c r="K32" s="11" t="n">
        <v>2</v>
      </c>
      <c r="L32" s="11" t="n">
        <v>2</v>
      </c>
      <c r="M32" s="11" t="n">
        <v>1</v>
      </c>
      <c r="N32" s="11"/>
      <c r="O32" s="12" t="n">
        <f aca="false">ROUND(K32*L32/M32,1)</f>
        <v>4</v>
      </c>
      <c r="P32" s="13" t="n">
        <f aca="false">IF(N32="Y",1,IF(M32&gt;='Read me'!$B$14,3,IF(AND(O32&gt;='Read me'!$B$12,M32&lt;='Read me'!$B$13),1,2)))</f>
        <v>2</v>
      </c>
    </row>
    <row r="33" customFormat="false" ht="23.85" hidden="false" customHeight="false" outlineLevel="0" collapsed="false">
      <c r="A33" s="10" t="s">
        <v>259</v>
      </c>
      <c r="B33" s="10" t="s">
        <v>26</v>
      </c>
      <c r="C33" s="10" t="s">
        <v>260</v>
      </c>
      <c r="D33" s="10" t="s">
        <v>261</v>
      </c>
      <c r="E33" s="10"/>
      <c r="F33" s="10" t="s">
        <v>262</v>
      </c>
      <c r="G33" s="10" t="s">
        <v>263</v>
      </c>
      <c r="H33" s="10" t="s">
        <v>264</v>
      </c>
      <c r="I33" s="10" t="s">
        <v>265</v>
      </c>
      <c r="J33" s="10"/>
      <c r="K33" s="11" t="n">
        <v>4</v>
      </c>
      <c r="L33" s="11" t="n">
        <v>3</v>
      </c>
      <c r="M33" s="11" t="n">
        <v>2</v>
      </c>
      <c r="N33" s="11"/>
      <c r="O33" s="12" t="n">
        <f aca="false">ROUND(K33*L33/M33,1)</f>
        <v>6</v>
      </c>
      <c r="P33" s="13" t="n">
        <f aca="false">IF(N33="Y",1,IF(M33&gt;='Read me'!$B$14,3,IF(AND(O33&gt;='Read me'!$B$12,M33&lt;='Read me'!$B$13),1,2)))</f>
        <v>1</v>
      </c>
    </row>
    <row r="34" customFormat="false" ht="23.85" hidden="false" customHeight="false" outlineLevel="0" collapsed="false">
      <c r="A34" s="10" t="s">
        <v>266</v>
      </c>
      <c r="B34" s="10" t="s">
        <v>26</v>
      </c>
      <c r="C34" s="10" t="s">
        <v>260</v>
      </c>
      <c r="D34" s="10" t="s">
        <v>267</v>
      </c>
      <c r="E34" s="10"/>
      <c r="F34" s="10" t="s">
        <v>268</v>
      </c>
      <c r="G34" s="10" t="s">
        <v>269</v>
      </c>
      <c r="H34" s="10" t="s">
        <v>264</v>
      </c>
      <c r="I34" s="10" t="s">
        <v>270</v>
      </c>
      <c r="J34" s="10"/>
      <c r="K34" s="11" t="n">
        <v>3</v>
      </c>
      <c r="L34" s="11" t="n">
        <v>3</v>
      </c>
      <c r="M34" s="11" t="n">
        <v>2</v>
      </c>
      <c r="N34" s="11"/>
      <c r="O34" s="12" t="n">
        <f aca="false">ROUND(K34*L34/M34,1)</f>
        <v>4.5</v>
      </c>
      <c r="P34" s="13" t="n">
        <f aca="false">IF(N34="Y",1,IF(M34&gt;='Read me'!$B$14,3,IF(AND(O34&gt;='Read me'!$B$12,M34&lt;='Read me'!$B$13),1,2)))</f>
        <v>2</v>
      </c>
    </row>
    <row r="35" customFormat="false" ht="23.85" hidden="false" customHeight="false" outlineLevel="0" collapsed="false">
      <c r="A35" s="10" t="s">
        <v>271</v>
      </c>
      <c r="B35" s="10" t="s">
        <v>26</v>
      </c>
      <c r="C35" s="10" t="s">
        <v>260</v>
      </c>
      <c r="D35" s="10" t="s">
        <v>272</v>
      </c>
      <c r="E35" s="10"/>
      <c r="F35" s="10" t="s">
        <v>273</v>
      </c>
      <c r="G35" s="10" t="s">
        <v>274</v>
      </c>
      <c r="H35" s="10" t="s">
        <v>275</v>
      </c>
      <c r="I35" s="10" t="s">
        <v>276</v>
      </c>
      <c r="J35" s="10"/>
      <c r="K35" s="11" t="n">
        <v>1</v>
      </c>
      <c r="L35" s="11" t="n">
        <v>3</v>
      </c>
      <c r="M35" s="11" t="n">
        <v>5</v>
      </c>
      <c r="N35" s="11"/>
      <c r="O35" s="12" t="n">
        <f aca="false">ROUND(K35*L35/M35,1)</f>
        <v>0.6</v>
      </c>
      <c r="P35" s="13" t="n">
        <f aca="false">IF(N35="Y",1,IF(M35&gt;='Read me'!$B$14,3,IF(AND(O35&gt;='Read me'!$B$12,M35&lt;='Read me'!$B$13),1,2)))</f>
        <v>3</v>
      </c>
    </row>
    <row r="36" customFormat="false" ht="23.85" hidden="false" customHeight="false" outlineLevel="0" collapsed="false">
      <c r="A36" s="10" t="s">
        <v>277</v>
      </c>
      <c r="B36" s="10" t="s">
        <v>26</v>
      </c>
      <c r="C36" s="10" t="s">
        <v>278</v>
      </c>
      <c r="D36" s="10" t="s">
        <v>279</v>
      </c>
      <c r="E36" s="10" t="s">
        <v>280</v>
      </c>
      <c r="F36" s="10" t="s">
        <v>281</v>
      </c>
      <c r="G36" s="10" t="s">
        <v>282</v>
      </c>
      <c r="H36" s="10" t="s">
        <v>283</v>
      </c>
      <c r="I36" s="10" t="s">
        <v>284</v>
      </c>
      <c r="J36" s="10"/>
      <c r="K36" s="11" t="n">
        <v>3</v>
      </c>
      <c r="L36" s="11" t="n">
        <v>3</v>
      </c>
      <c r="M36" s="11" t="n">
        <v>3</v>
      </c>
      <c r="N36" s="11"/>
      <c r="O36" s="12" t="n">
        <f aca="false">ROUND(K36*L36/M36,1)</f>
        <v>3</v>
      </c>
      <c r="P36" s="13" t="n">
        <f aca="false">IF(N36="Y",1,IF(M36&gt;='Read me'!$B$14,3,IF(AND(O36&gt;='Read me'!$B$12,M36&lt;='Read me'!$B$13),1,2)))</f>
        <v>2</v>
      </c>
    </row>
    <row r="37" customFormat="false" ht="23.85" hidden="false" customHeight="false" outlineLevel="0" collapsed="false">
      <c r="A37" s="10" t="s">
        <v>285</v>
      </c>
      <c r="B37" s="10" t="s">
        <v>26</v>
      </c>
      <c r="C37" s="10" t="s">
        <v>286</v>
      </c>
      <c r="D37" s="10" t="s">
        <v>287</v>
      </c>
      <c r="E37" s="10" t="s">
        <v>288</v>
      </c>
      <c r="F37" s="10" t="s">
        <v>281</v>
      </c>
      <c r="G37" s="10" t="s">
        <v>289</v>
      </c>
      <c r="H37" s="10" t="s">
        <v>290</v>
      </c>
      <c r="I37" s="10"/>
      <c r="J37" s="10"/>
      <c r="K37" s="11" t="n">
        <v>3</v>
      </c>
      <c r="L37" s="11" t="n">
        <v>3</v>
      </c>
      <c r="M37" s="11" t="n">
        <v>2</v>
      </c>
      <c r="N37" s="11"/>
      <c r="O37" s="12" t="n">
        <f aca="false">ROUND(K37*L37/M37,1)</f>
        <v>4.5</v>
      </c>
      <c r="P37" s="13" t="n">
        <f aca="false">IF(N37="Y",1,IF(M37&gt;='Read me'!$B$14,3,IF(AND(O37&gt;='Read me'!$B$12,M37&lt;='Read me'!$B$13),1,2)))</f>
        <v>2</v>
      </c>
    </row>
    <row r="38" customFormat="false" ht="23.85" hidden="false" customHeight="false" outlineLevel="0" collapsed="false">
      <c r="A38" s="10" t="s">
        <v>291</v>
      </c>
      <c r="B38" s="10" t="s">
        <v>26</v>
      </c>
      <c r="C38" s="10" t="s">
        <v>292</v>
      </c>
      <c r="D38" s="10" t="s">
        <v>293</v>
      </c>
      <c r="E38" s="10"/>
      <c r="F38" s="10" t="s">
        <v>294</v>
      </c>
      <c r="G38" s="10" t="s">
        <v>295</v>
      </c>
      <c r="H38" s="10" t="s">
        <v>296</v>
      </c>
      <c r="I38" s="10" t="s">
        <v>297</v>
      </c>
      <c r="J38" s="10"/>
      <c r="K38" s="11" t="n">
        <v>2</v>
      </c>
      <c r="L38" s="11" t="n">
        <v>3</v>
      </c>
      <c r="M38" s="11" t="n">
        <v>3</v>
      </c>
      <c r="N38" s="11"/>
      <c r="O38" s="12" t="n">
        <f aca="false">ROUND(K38*L38/M38,1)</f>
        <v>2</v>
      </c>
      <c r="P38" s="13" t="n">
        <f aca="false">IF(N38="Y",1,IF(M38&gt;='Read me'!$B$14,3,IF(AND(O38&gt;='Read me'!$B$12,M38&lt;='Read me'!$B$13),1,2)))</f>
        <v>2</v>
      </c>
    </row>
    <row r="39" customFormat="false" ht="23.85" hidden="false" customHeight="false" outlineLevel="0" collapsed="false">
      <c r="A39" s="10" t="s">
        <v>298</v>
      </c>
      <c r="B39" s="10" t="s">
        <v>26</v>
      </c>
      <c r="C39" s="10" t="s">
        <v>299</v>
      </c>
      <c r="D39" s="10" t="s">
        <v>300</v>
      </c>
      <c r="E39" s="10"/>
      <c r="F39" s="10" t="s">
        <v>301</v>
      </c>
      <c r="G39" s="10" t="s">
        <v>302</v>
      </c>
      <c r="H39" s="10" t="s">
        <v>104</v>
      </c>
      <c r="I39" s="10" t="s">
        <v>303</v>
      </c>
      <c r="J39" s="10" t="s">
        <v>304</v>
      </c>
      <c r="K39" s="11" t="n">
        <v>1</v>
      </c>
      <c r="L39" s="11" t="n">
        <v>2</v>
      </c>
      <c r="M39" s="11" t="n">
        <v>2</v>
      </c>
      <c r="N39" s="11"/>
      <c r="O39" s="12" t="n">
        <f aca="false">ROUND(K39*L39/M39,1)</f>
        <v>1</v>
      </c>
      <c r="P39" s="13" t="n">
        <f aca="false">IF(N39="Y",1,IF(M39&gt;='Read me'!$B$14,3,IF(AND(O39&gt;='Read me'!$B$12,M39&lt;='Read me'!$B$13),1,2)))</f>
        <v>2</v>
      </c>
    </row>
    <row r="40" customFormat="false" ht="23.85" hidden="false" customHeight="false" outlineLevel="0" collapsed="false">
      <c r="A40" s="10" t="s">
        <v>305</v>
      </c>
      <c r="B40" s="10" t="s">
        <v>27</v>
      </c>
      <c r="C40" s="10" t="s">
        <v>306</v>
      </c>
      <c r="D40" s="10" t="s">
        <v>307</v>
      </c>
      <c r="E40" s="10"/>
      <c r="F40" s="10" t="s">
        <v>306</v>
      </c>
      <c r="G40" s="10" t="s">
        <v>308</v>
      </c>
      <c r="H40" s="10" t="s">
        <v>309</v>
      </c>
      <c r="I40" s="10" t="s">
        <v>310</v>
      </c>
      <c r="J40" s="10" t="s">
        <v>311</v>
      </c>
      <c r="K40" s="11" t="n">
        <v>5</v>
      </c>
      <c r="L40" s="11" t="n">
        <v>5</v>
      </c>
      <c r="M40" s="11" t="n">
        <v>3</v>
      </c>
      <c r="N40" s="11" t="s">
        <v>112</v>
      </c>
      <c r="O40" s="12" t="n">
        <f aca="false">ROUND(K40*L40/M40,1)</f>
        <v>8.3</v>
      </c>
      <c r="P40" s="13" t="n">
        <f aca="false">IF(N40="Y",1,IF(M40&gt;='Read me'!$B$14,3,IF(AND(O40&gt;='Read me'!$B$12,M40&lt;='Read me'!$B$13),1,2)))</f>
        <v>1</v>
      </c>
    </row>
    <row r="41" customFormat="false" ht="23.85" hidden="false" customHeight="false" outlineLevel="0" collapsed="false">
      <c r="A41" s="10" t="s">
        <v>312</v>
      </c>
      <c r="B41" s="10" t="s">
        <v>27</v>
      </c>
      <c r="C41" s="10" t="s">
        <v>313</v>
      </c>
      <c r="D41" s="10" t="s">
        <v>314</v>
      </c>
      <c r="E41" s="10"/>
      <c r="F41" s="10" t="s">
        <v>315</v>
      </c>
      <c r="G41" s="10" t="s">
        <v>316</v>
      </c>
      <c r="H41" s="10" t="s">
        <v>317</v>
      </c>
      <c r="I41" s="10" t="s">
        <v>318</v>
      </c>
      <c r="J41" s="10" t="s">
        <v>319</v>
      </c>
      <c r="K41" s="11" t="n">
        <v>5</v>
      </c>
      <c r="L41" s="11" t="n">
        <v>5</v>
      </c>
      <c r="M41" s="11" t="n">
        <v>3</v>
      </c>
      <c r="N41" s="11" t="s">
        <v>112</v>
      </c>
      <c r="O41" s="12" t="n">
        <f aca="false">ROUND(K41*L41/M41,1)</f>
        <v>8.3</v>
      </c>
      <c r="P41" s="13" t="n">
        <f aca="false">IF(N41="Y",1,IF(M41&gt;='Read me'!$B$14,3,IF(AND(O41&gt;='Read me'!$B$12,M41&lt;='Read me'!$B$13),1,2)))</f>
        <v>1</v>
      </c>
    </row>
    <row r="42" customFormat="false" ht="23.85" hidden="false" customHeight="false" outlineLevel="0" collapsed="false">
      <c r="A42" s="10" t="s">
        <v>320</v>
      </c>
      <c r="B42" s="10" t="s">
        <v>27</v>
      </c>
      <c r="C42" s="10" t="s">
        <v>321</v>
      </c>
      <c r="D42" s="10" t="s">
        <v>322</v>
      </c>
      <c r="E42" s="10"/>
      <c r="F42" s="10" t="s">
        <v>323</v>
      </c>
      <c r="G42" s="10" t="s">
        <v>324</v>
      </c>
      <c r="H42" s="10" t="s">
        <v>325</v>
      </c>
      <c r="I42" s="10"/>
      <c r="J42" s="10"/>
      <c r="K42" s="11" t="n">
        <v>4</v>
      </c>
      <c r="L42" s="11" t="n">
        <v>4</v>
      </c>
      <c r="M42" s="11" t="n">
        <v>2</v>
      </c>
      <c r="N42" s="11" t="s">
        <v>112</v>
      </c>
      <c r="O42" s="12" t="n">
        <f aca="false">ROUND(K42*L42/M42,1)</f>
        <v>8</v>
      </c>
      <c r="P42" s="13" t="n">
        <f aca="false">IF(N42="Y",1,IF(M42&gt;='Read me'!$B$14,3,IF(AND(O42&gt;='Read me'!$B$12,M42&lt;='Read me'!$B$13),1,2)))</f>
        <v>1</v>
      </c>
    </row>
    <row r="43" customFormat="false" ht="23.85" hidden="false" customHeight="false" outlineLevel="0" collapsed="false">
      <c r="A43" s="10" t="s">
        <v>326</v>
      </c>
      <c r="B43" s="10" t="s">
        <v>27</v>
      </c>
      <c r="C43" s="10" t="s">
        <v>327</v>
      </c>
      <c r="D43" s="10" t="s">
        <v>328</v>
      </c>
      <c r="E43" s="10"/>
      <c r="F43" s="10" t="s">
        <v>329</v>
      </c>
      <c r="G43" s="10" t="s">
        <v>330</v>
      </c>
      <c r="H43" s="10" t="s">
        <v>331</v>
      </c>
      <c r="I43" s="10" t="s">
        <v>332</v>
      </c>
      <c r="J43" s="10"/>
      <c r="K43" s="11" t="n">
        <v>3</v>
      </c>
      <c r="L43" s="11" t="n">
        <v>3</v>
      </c>
      <c r="M43" s="11" t="n">
        <v>2</v>
      </c>
      <c r="N43" s="11"/>
      <c r="O43" s="12" t="n">
        <f aca="false">ROUND(K43*L43/M43,1)</f>
        <v>4.5</v>
      </c>
      <c r="P43" s="13" t="n">
        <f aca="false">IF(N43="Y",1,IF(M43&gt;='Read me'!$B$14,3,IF(AND(O43&gt;='Read me'!$B$12,M43&lt;='Read me'!$B$13),1,2)))</f>
        <v>2</v>
      </c>
    </row>
    <row r="44" customFormat="false" ht="23.85" hidden="false" customHeight="false" outlineLevel="0" collapsed="false">
      <c r="A44" s="10" t="s">
        <v>333</v>
      </c>
      <c r="B44" s="10" t="s">
        <v>27</v>
      </c>
      <c r="C44" s="10" t="s">
        <v>314</v>
      </c>
      <c r="D44" s="10" t="s">
        <v>334</v>
      </c>
      <c r="E44" s="10" t="s">
        <v>335</v>
      </c>
      <c r="F44" s="10" t="s">
        <v>306</v>
      </c>
      <c r="G44" s="10" t="s">
        <v>336</v>
      </c>
      <c r="H44" s="10" t="s">
        <v>337</v>
      </c>
      <c r="I44" s="10"/>
      <c r="J44" s="10"/>
      <c r="K44" s="11" t="n">
        <v>4</v>
      </c>
      <c r="L44" s="11" t="n">
        <v>3</v>
      </c>
      <c r="M44" s="11" t="n">
        <v>2</v>
      </c>
      <c r="N44" s="11"/>
      <c r="O44" s="12" t="n">
        <f aca="false">ROUND(K44*L44/M44,1)</f>
        <v>6</v>
      </c>
      <c r="P44" s="13" t="n">
        <f aca="false">IF(N44="Y",1,IF(M44&gt;='Read me'!$B$14,3,IF(AND(O44&gt;='Read me'!$B$12,M44&lt;='Read me'!$B$13),1,2)))</f>
        <v>1</v>
      </c>
    </row>
    <row r="45" customFormat="false" ht="23.85" hidden="false" customHeight="false" outlineLevel="0" collapsed="false">
      <c r="A45" s="10" t="s">
        <v>338</v>
      </c>
      <c r="B45" s="10" t="s">
        <v>27</v>
      </c>
      <c r="C45" s="10" t="s">
        <v>339</v>
      </c>
      <c r="D45" s="10" t="s">
        <v>340</v>
      </c>
      <c r="E45" s="10" t="s">
        <v>341</v>
      </c>
      <c r="F45" s="10" t="s">
        <v>342</v>
      </c>
      <c r="G45" s="10" t="s">
        <v>343</v>
      </c>
      <c r="H45" s="10" t="s">
        <v>204</v>
      </c>
      <c r="I45" s="10" t="s">
        <v>344</v>
      </c>
      <c r="J45" s="10"/>
      <c r="K45" s="11" t="n">
        <v>2</v>
      </c>
      <c r="L45" s="11" t="n">
        <v>3</v>
      </c>
      <c r="M45" s="11" t="n">
        <v>4</v>
      </c>
      <c r="N45" s="11" t="s">
        <v>112</v>
      </c>
      <c r="O45" s="12" t="n">
        <f aca="false">ROUND(K45*L45/M45,1)</f>
        <v>1.5</v>
      </c>
      <c r="P45" s="13" t="n">
        <f aca="false">IF(N45="Y",1,IF(M45&gt;='Read me'!$B$14,3,IF(AND(O45&gt;='Read me'!$B$12,M45&lt;='Read me'!$B$13),1,2)))</f>
        <v>1</v>
      </c>
    </row>
    <row r="46" customFormat="false" ht="23.85" hidden="false" customHeight="false" outlineLevel="0" collapsed="false">
      <c r="A46" s="10" t="s">
        <v>345</v>
      </c>
      <c r="B46" s="10" t="s">
        <v>27</v>
      </c>
      <c r="C46" s="10" t="s">
        <v>346</v>
      </c>
      <c r="D46" s="10" t="s">
        <v>347</v>
      </c>
      <c r="E46" s="10" t="s">
        <v>348</v>
      </c>
      <c r="F46" s="10" t="s">
        <v>342</v>
      </c>
      <c r="G46" s="10" t="s">
        <v>349</v>
      </c>
      <c r="H46" s="10" t="s">
        <v>350</v>
      </c>
      <c r="I46" s="10" t="s">
        <v>351</v>
      </c>
      <c r="J46" s="10" t="s">
        <v>352</v>
      </c>
      <c r="K46" s="11" t="n">
        <v>2</v>
      </c>
      <c r="L46" s="11" t="n">
        <v>3</v>
      </c>
      <c r="M46" s="11" t="n">
        <v>4</v>
      </c>
      <c r="N46" s="11"/>
      <c r="O46" s="12" t="n">
        <f aca="false">ROUND(K46*L46/M46,1)</f>
        <v>1.5</v>
      </c>
      <c r="P46" s="13" t="n">
        <f aca="false">IF(N46="Y",1,IF(M46&gt;='Read me'!$B$14,3,IF(AND(O46&gt;='Read me'!$B$12,M46&lt;='Read me'!$B$13),1,2)))</f>
        <v>3</v>
      </c>
    </row>
    <row r="47" customFormat="false" ht="23.85" hidden="false" customHeight="false" outlineLevel="0" collapsed="false">
      <c r="A47" s="10" t="s">
        <v>353</v>
      </c>
      <c r="B47" s="10" t="s">
        <v>27</v>
      </c>
      <c r="C47" s="10" t="s">
        <v>354</v>
      </c>
      <c r="D47" s="10" t="s">
        <v>355</v>
      </c>
      <c r="E47" s="10" t="s">
        <v>280</v>
      </c>
      <c r="F47" s="10" t="s">
        <v>342</v>
      </c>
      <c r="G47" s="10" t="s">
        <v>356</v>
      </c>
      <c r="H47" s="10" t="s">
        <v>283</v>
      </c>
      <c r="I47" s="10" t="s">
        <v>357</v>
      </c>
      <c r="J47" s="10"/>
      <c r="K47" s="11" t="n">
        <v>3</v>
      </c>
      <c r="L47" s="11" t="n">
        <v>3</v>
      </c>
      <c r="M47" s="11" t="n">
        <v>4</v>
      </c>
      <c r="N47" s="11" t="s">
        <v>112</v>
      </c>
      <c r="O47" s="12" t="n">
        <f aca="false">ROUND(K47*L47/M47,1)</f>
        <v>2.3</v>
      </c>
      <c r="P47" s="13" t="n">
        <f aca="false">IF(N47="Y",1,IF(M47&gt;='Read me'!$B$14,3,IF(AND(O47&gt;='Read me'!$B$12,M47&lt;='Read me'!$B$13),1,2)))</f>
        <v>1</v>
      </c>
    </row>
    <row r="48" customFormat="false" ht="23.85" hidden="false" customHeight="false" outlineLevel="0" collapsed="false">
      <c r="A48" s="10" t="s">
        <v>358</v>
      </c>
      <c r="B48" s="10" t="s">
        <v>27</v>
      </c>
      <c r="C48" s="10" t="s">
        <v>359</v>
      </c>
      <c r="D48" s="10" t="s">
        <v>360</v>
      </c>
      <c r="E48" s="10"/>
      <c r="F48" s="10" t="s">
        <v>361</v>
      </c>
      <c r="G48" s="10" t="s">
        <v>362</v>
      </c>
      <c r="H48" s="10" t="s">
        <v>363</v>
      </c>
      <c r="I48" s="10" t="s">
        <v>364</v>
      </c>
      <c r="J48" s="10" t="s">
        <v>365</v>
      </c>
      <c r="K48" s="11" t="n">
        <v>2</v>
      </c>
      <c r="L48" s="11" t="n">
        <v>3</v>
      </c>
      <c r="M48" s="11" t="n">
        <v>2</v>
      </c>
      <c r="N48" s="11"/>
      <c r="O48" s="12" t="n">
        <f aca="false">ROUND(K48*L48/M48,1)</f>
        <v>3</v>
      </c>
      <c r="P48" s="13" t="n">
        <f aca="false">IF(N48="Y",1,IF(M48&gt;='Read me'!$B$14,3,IF(AND(O48&gt;='Read me'!$B$12,M48&lt;='Read me'!$B$13),1,2)))</f>
        <v>2</v>
      </c>
    </row>
    <row r="49" customFormat="false" ht="23.85" hidden="false" customHeight="false" outlineLevel="0" collapsed="false">
      <c r="A49" s="10" t="s">
        <v>366</v>
      </c>
      <c r="B49" s="10" t="s">
        <v>27</v>
      </c>
      <c r="C49" s="10" t="s">
        <v>367</v>
      </c>
      <c r="D49" s="10" t="s">
        <v>368</v>
      </c>
      <c r="E49" s="10"/>
      <c r="F49" s="10" t="s">
        <v>369</v>
      </c>
      <c r="G49" s="10" t="s">
        <v>370</v>
      </c>
      <c r="H49" s="10" t="s">
        <v>371</v>
      </c>
      <c r="I49" s="10" t="s">
        <v>372</v>
      </c>
      <c r="J49" s="10" t="s">
        <v>373</v>
      </c>
      <c r="K49" s="11" t="n">
        <v>2</v>
      </c>
      <c r="L49" s="11" t="n">
        <v>4</v>
      </c>
      <c r="M49" s="11" t="n">
        <v>4</v>
      </c>
      <c r="N49" s="11"/>
      <c r="O49" s="12" t="n">
        <f aca="false">ROUND(K49*L49/M49,1)</f>
        <v>2</v>
      </c>
      <c r="P49" s="13" t="n">
        <f aca="false">IF(N49="Y",1,IF(M49&gt;='Read me'!$B$14,3,IF(AND(O49&gt;='Read me'!$B$12,M49&lt;='Read me'!$B$13),1,2)))</f>
        <v>3</v>
      </c>
    </row>
    <row r="50" customFormat="false" ht="23.85" hidden="false" customHeight="false" outlineLevel="0" collapsed="false">
      <c r="A50" s="10" t="s">
        <v>374</v>
      </c>
      <c r="B50" s="10" t="s">
        <v>27</v>
      </c>
      <c r="C50" s="10" t="s">
        <v>375</v>
      </c>
      <c r="D50" s="10" t="s">
        <v>376</v>
      </c>
      <c r="E50" s="10"/>
      <c r="F50" s="10" t="s">
        <v>377</v>
      </c>
      <c r="G50" s="10" t="s">
        <v>378</v>
      </c>
      <c r="H50" s="10" t="s">
        <v>379</v>
      </c>
      <c r="I50" s="10" t="s">
        <v>380</v>
      </c>
      <c r="J50" s="10"/>
      <c r="K50" s="11" t="n">
        <v>2</v>
      </c>
      <c r="L50" s="11" t="n">
        <v>3</v>
      </c>
      <c r="M50" s="11" t="n">
        <v>2</v>
      </c>
      <c r="N50" s="11"/>
      <c r="O50" s="12" t="n">
        <f aca="false">ROUND(K50*L50/M50,1)</f>
        <v>3</v>
      </c>
      <c r="P50" s="13" t="n">
        <f aca="false">IF(N50="Y",1,IF(M50&gt;='Read me'!$B$14,3,IF(AND(O50&gt;='Read me'!$B$12,M50&lt;='Read me'!$B$13),1,2)))</f>
        <v>2</v>
      </c>
    </row>
    <row r="51" customFormat="false" ht="23.85" hidden="false" customHeight="false" outlineLevel="0" collapsed="false">
      <c r="A51" s="10" t="s">
        <v>381</v>
      </c>
      <c r="B51" s="10" t="s">
        <v>27</v>
      </c>
      <c r="C51" s="10" t="s">
        <v>382</v>
      </c>
      <c r="D51" s="10" t="s">
        <v>383</v>
      </c>
      <c r="E51" s="10"/>
      <c r="F51" s="10" t="s">
        <v>384</v>
      </c>
      <c r="G51" s="10" t="s">
        <v>385</v>
      </c>
      <c r="H51" s="10" t="s">
        <v>386</v>
      </c>
      <c r="I51" s="10"/>
      <c r="J51" s="10"/>
      <c r="K51" s="11" t="n">
        <v>5</v>
      </c>
      <c r="L51" s="11" t="n">
        <v>4</v>
      </c>
      <c r="M51" s="11" t="n">
        <v>1</v>
      </c>
      <c r="N51" s="11" t="s">
        <v>112</v>
      </c>
      <c r="O51" s="12" t="n">
        <f aca="false">ROUND(K51*L51/M51,1)</f>
        <v>20</v>
      </c>
      <c r="P51" s="13" t="n">
        <f aca="false">IF(N51="Y",1,IF(M51&gt;='Read me'!$B$14,3,IF(AND(O51&gt;='Read me'!$B$12,M51&lt;='Read me'!$B$13),1,2)))</f>
        <v>1</v>
      </c>
    </row>
    <row r="52" customFormat="false" ht="23.85" hidden="false" customHeight="false" outlineLevel="0" collapsed="false">
      <c r="A52" s="10" t="s">
        <v>387</v>
      </c>
      <c r="B52" s="10" t="s">
        <v>27</v>
      </c>
      <c r="C52" s="10" t="s">
        <v>388</v>
      </c>
      <c r="D52" s="10" t="s">
        <v>389</v>
      </c>
      <c r="E52" s="10" t="s">
        <v>390</v>
      </c>
      <c r="F52" s="10" t="s">
        <v>384</v>
      </c>
      <c r="G52" s="10" t="s">
        <v>391</v>
      </c>
      <c r="H52" s="10" t="s">
        <v>392</v>
      </c>
      <c r="I52" s="10" t="s">
        <v>393</v>
      </c>
      <c r="J52" s="10"/>
      <c r="K52" s="11" t="n">
        <v>2</v>
      </c>
      <c r="L52" s="11" t="n">
        <v>3</v>
      </c>
      <c r="M52" s="11" t="n">
        <v>4</v>
      </c>
      <c r="N52" s="11"/>
      <c r="O52" s="12" t="n">
        <f aca="false">ROUND(K52*L52/M52,1)</f>
        <v>1.5</v>
      </c>
      <c r="P52" s="13" t="n">
        <f aca="false">IF(N52="Y",1,IF(M52&gt;='Read me'!$B$14,3,IF(AND(O52&gt;='Read me'!$B$12,M52&lt;='Read me'!$B$13),1,2)))</f>
        <v>3</v>
      </c>
    </row>
    <row r="53" customFormat="false" ht="23.85" hidden="false" customHeight="false" outlineLevel="0" collapsed="false">
      <c r="A53" s="10" t="s">
        <v>394</v>
      </c>
      <c r="B53" s="10" t="s">
        <v>27</v>
      </c>
      <c r="C53" s="10" t="s">
        <v>395</v>
      </c>
      <c r="D53" s="10" t="s">
        <v>396</v>
      </c>
      <c r="E53" s="10"/>
      <c r="F53" s="10" t="s">
        <v>397</v>
      </c>
      <c r="G53" s="10" t="s">
        <v>398</v>
      </c>
      <c r="H53" s="10" t="s">
        <v>399</v>
      </c>
      <c r="I53" s="10" t="s">
        <v>400</v>
      </c>
      <c r="J53" s="10"/>
      <c r="K53" s="11" t="n">
        <v>2</v>
      </c>
      <c r="L53" s="11" t="n">
        <v>3</v>
      </c>
      <c r="M53" s="11" t="n">
        <v>3</v>
      </c>
      <c r="N53" s="11"/>
      <c r="O53" s="12" t="n">
        <f aca="false">ROUND(K53*L53/M53,1)</f>
        <v>2</v>
      </c>
      <c r="P53" s="13" t="n">
        <f aca="false">IF(N53="Y",1,IF(M53&gt;='Read me'!$B$14,3,IF(AND(O53&gt;='Read me'!$B$12,M53&lt;='Read me'!$B$13),1,2)))</f>
        <v>2</v>
      </c>
    </row>
    <row r="54" customFormat="false" ht="23.85" hidden="false" customHeight="false" outlineLevel="0" collapsed="false">
      <c r="A54" s="10" t="s">
        <v>401</v>
      </c>
      <c r="B54" s="10" t="s">
        <v>27</v>
      </c>
      <c r="C54" s="10" t="s">
        <v>402</v>
      </c>
      <c r="D54" s="10" t="s">
        <v>403</v>
      </c>
      <c r="E54" s="10"/>
      <c r="F54" s="10" t="s">
        <v>404</v>
      </c>
      <c r="G54" s="10" t="s">
        <v>405</v>
      </c>
      <c r="H54" s="10" t="s">
        <v>406</v>
      </c>
      <c r="I54" s="10" t="s">
        <v>407</v>
      </c>
      <c r="J54" s="10" t="s">
        <v>408</v>
      </c>
      <c r="K54" s="11" t="n">
        <v>2</v>
      </c>
      <c r="L54" s="11" t="n">
        <v>3</v>
      </c>
      <c r="M54" s="11" t="n">
        <v>3</v>
      </c>
      <c r="N54" s="11"/>
      <c r="O54" s="12" t="n">
        <f aca="false">ROUND(K54*L54/M54,1)</f>
        <v>2</v>
      </c>
      <c r="P54" s="13" t="n">
        <f aca="false">IF(N54="Y",1,IF(M54&gt;='Read me'!$B$14,3,IF(AND(O54&gt;='Read me'!$B$12,M54&lt;='Read me'!$B$13),1,2)))</f>
        <v>2</v>
      </c>
    </row>
    <row r="55" customFormat="false" ht="23.85" hidden="false" customHeight="false" outlineLevel="0" collapsed="false">
      <c r="A55" s="10" t="s">
        <v>409</v>
      </c>
      <c r="B55" s="10" t="s">
        <v>28</v>
      </c>
      <c r="C55" s="10" t="s">
        <v>410</v>
      </c>
      <c r="D55" s="10" t="s">
        <v>411</v>
      </c>
      <c r="E55" s="10"/>
      <c r="F55" s="10" t="s">
        <v>412</v>
      </c>
      <c r="G55" s="10" t="s">
        <v>413</v>
      </c>
      <c r="H55" s="10" t="s">
        <v>414</v>
      </c>
      <c r="I55" s="10" t="s">
        <v>415</v>
      </c>
      <c r="J55" s="10"/>
      <c r="K55" s="11" t="n">
        <v>5</v>
      </c>
      <c r="L55" s="11" t="n">
        <v>4</v>
      </c>
      <c r="M55" s="11" t="n">
        <v>1</v>
      </c>
      <c r="N55" s="11" t="s">
        <v>112</v>
      </c>
      <c r="O55" s="12" t="n">
        <f aca="false">ROUND(K55*L55/M55,1)</f>
        <v>20</v>
      </c>
      <c r="P55" s="13" t="n">
        <f aca="false">IF(N55="Y",1,IF(M55&gt;='Read me'!$B$14,3,IF(AND(O55&gt;='Read me'!$B$12,M55&lt;='Read me'!$B$13),1,2)))</f>
        <v>1</v>
      </c>
    </row>
    <row r="56" customFormat="false" ht="23.85" hidden="false" customHeight="false" outlineLevel="0" collapsed="false">
      <c r="A56" s="10" t="s">
        <v>416</v>
      </c>
      <c r="B56" s="10" t="s">
        <v>28</v>
      </c>
      <c r="C56" s="10" t="s">
        <v>410</v>
      </c>
      <c r="D56" s="10" t="s">
        <v>417</v>
      </c>
      <c r="E56" s="10"/>
      <c r="F56" s="10" t="s">
        <v>418</v>
      </c>
      <c r="G56" s="10" t="s">
        <v>419</v>
      </c>
      <c r="H56" s="10" t="s">
        <v>420</v>
      </c>
      <c r="I56" s="10" t="s">
        <v>421</v>
      </c>
      <c r="J56" s="10"/>
      <c r="K56" s="11" t="n">
        <v>4</v>
      </c>
      <c r="L56" s="11" t="n">
        <v>3</v>
      </c>
      <c r="M56" s="11" t="n">
        <v>1</v>
      </c>
      <c r="N56" s="11"/>
      <c r="O56" s="12" t="n">
        <f aca="false">ROUND(K56*L56/M56,1)</f>
        <v>12</v>
      </c>
      <c r="P56" s="13" t="n">
        <f aca="false">IF(N56="Y",1,IF(M56&gt;='Read me'!$B$14,3,IF(AND(O56&gt;='Read me'!$B$12,M56&lt;='Read me'!$B$13),1,2)))</f>
        <v>1</v>
      </c>
    </row>
    <row r="57" customFormat="false" ht="23.85" hidden="false" customHeight="false" outlineLevel="0" collapsed="false">
      <c r="A57" s="10" t="s">
        <v>422</v>
      </c>
      <c r="B57" s="10" t="s">
        <v>28</v>
      </c>
      <c r="C57" s="10" t="s">
        <v>410</v>
      </c>
      <c r="D57" s="10" t="s">
        <v>423</v>
      </c>
      <c r="E57" s="10"/>
      <c r="F57" s="10" t="s">
        <v>424</v>
      </c>
      <c r="G57" s="10" t="s">
        <v>425</v>
      </c>
      <c r="H57" s="10" t="s">
        <v>414</v>
      </c>
      <c r="I57" s="10" t="s">
        <v>426</v>
      </c>
      <c r="J57" s="10"/>
      <c r="K57" s="11" t="n">
        <v>3</v>
      </c>
      <c r="L57" s="11" t="n">
        <v>3</v>
      </c>
      <c r="M57" s="11" t="n">
        <v>2</v>
      </c>
      <c r="N57" s="11"/>
      <c r="O57" s="12" t="n">
        <f aca="false">ROUND(K57*L57/M57,1)</f>
        <v>4.5</v>
      </c>
      <c r="P57" s="13" t="n">
        <f aca="false">IF(N57="Y",1,IF(M57&gt;='Read me'!$B$14,3,IF(AND(O57&gt;='Read me'!$B$12,M57&lt;='Read me'!$B$13),1,2)))</f>
        <v>2</v>
      </c>
    </row>
    <row r="58" customFormat="false" ht="23.85" hidden="false" customHeight="false" outlineLevel="0" collapsed="false">
      <c r="A58" s="10" t="s">
        <v>427</v>
      </c>
      <c r="B58" s="10" t="s">
        <v>28</v>
      </c>
      <c r="C58" s="10" t="s">
        <v>428</v>
      </c>
      <c r="D58" s="10" t="s">
        <v>429</v>
      </c>
      <c r="E58" s="10" t="s">
        <v>430</v>
      </c>
      <c r="F58" s="10" t="s">
        <v>431</v>
      </c>
      <c r="G58" s="10" t="s">
        <v>432</v>
      </c>
      <c r="H58" s="10" t="s">
        <v>290</v>
      </c>
      <c r="I58" s="10"/>
      <c r="J58" s="10"/>
      <c r="K58" s="11" t="n">
        <v>2</v>
      </c>
      <c r="L58" s="11" t="n">
        <v>2</v>
      </c>
      <c r="M58" s="11" t="n">
        <v>1</v>
      </c>
      <c r="N58" s="11"/>
      <c r="O58" s="12" t="n">
        <f aca="false">ROUND(K58*L58/M58,1)</f>
        <v>4</v>
      </c>
      <c r="P58" s="13" t="n">
        <f aca="false">IF(N58="Y",1,IF(M58&gt;='Read me'!$B$14,3,IF(AND(O58&gt;='Read me'!$B$12,M58&lt;='Read me'!$B$13),1,2)))</f>
        <v>2</v>
      </c>
    </row>
    <row r="59" customFormat="false" ht="23.85" hidden="false" customHeight="false" outlineLevel="0" collapsed="false">
      <c r="A59" s="10" t="s">
        <v>433</v>
      </c>
      <c r="B59" s="10" t="s">
        <v>28</v>
      </c>
      <c r="C59" s="10" t="s">
        <v>434</v>
      </c>
      <c r="D59" s="10" t="s">
        <v>435</v>
      </c>
      <c r="E59" s="10"/>
      <c r="F59" s="10" t="s">
        <v>436</v>
      </c>
      <c r="G59" s="10" t="s">
        <v>437</v>
      </c>
      <c r="H59" s="10" t="s">
        <v>438</v>
      </c>
      <c r="I59" s="10" t="s">
        <v>439</v>
      </c>
      <c r="J59" s="10" t="s">
        <v>440</v>
      </c>
      <c r="K59" s="11" t="n">
        <v>5</v>
      </c>
      <c r="L59" s="11" t="n">
        <v>4</v>
      </c>
      <c r="M59" s="11" t="n">
        <v>1</v>
      </c>
      <c r="N59" s="11" t="s">
        <v>112</v>
      </c>
      <c r="O59" s="12" t="n">
        <f aca="false">ROUND(K59*L59/M59,1)</f>
        <v>20</v>
      </c>
      <c r="P59" s="13" t="n">
        <f aca="false">IF(N59="Y",1,IF(M59&gt;='Read me'!$B$14,3,IF(AND(O59&gt;='Read me'!$B$12,M59&lt;='Read me'!$B$13),1,2)))</f>
        <v>1</v>
      </c>
    </row>
    <row r="60" customFormat="false" ht="23.85" hidden="false" customHeight="false" outlineLevel="0" collapsed="false">
      <c r="A60" s="10" t="s">
        <v>441</v>
      </c>
      <c r="B60" s="10" t="s">
        <v>28</v>
      </c>
      <c r="C60" s="10" t="s">
        <v>434</v>
      </c>
      <c r="D60" s="10" t="s">
        <v>442</v>
      </c>
      <c r="E60" s="10"/>
      <c r="F60" s="10" t="s">
        <v>443</v>
      </c>
      <c r="G60" s="10" t="s">
        <v>444</v>
      </c>
      <c r="H60" s="10" t="s">
        <v>445</v>
      </c>
      <c r="I60" s="10" t="s">
        <v>446</v>
      </c>
      <c r="J60" s="10"/>
      <c r="K60" s="11" t="n">
        <v>1</v>
      </c>
      <c r="L60" s="11" t="n">
        <v>2</v>
      </c>
      <c r="M60" s="11" t="n">
        <v>2</v>
      </c>
      <c r="N60" s="11"/>
      <c r="O60" s="12" t="n">
        <f aca="false">ROUND(K60*L60/M60,1)</f>
        <v>1</v>
      </c>
      <c r="P60" s="13" t="n">
        <f aca="false">IF(N60="Y",1,IF(M60&gt;='Read me'!$B$14,3,IF(AND(O60&gt;='Read me'!$B$12,M60&lt;='Read me'!$B$13),1,2)))</f>
        <v>2</v>
      </c>
    </row>
    <row r="61" customFormat="false" ht="23.85" hidden="false" customHeight="false" outlineLevel="0" collapsed="false">
      <c r="A61" s="10" t="s">
        <v>447</v>
      </c>
      <c r="B61" s="10" t="s">
        <v>28</v>
      </c>
      <c r="C61" s="10" t="s">
        <v>448</v>
      </c>
      <c r="D61" s="10" t="s">
        <v>449</v>
      </c>
      <c r="E61" s="10"/>
      <c r="F61" s="10" t="s">
        <v>450</v>
      </c>
      <c r="G61" s="10" t="s">
        <v>451</v>
      </c>
      <c r="H61" s="10" t="s">
        <v>452</v>
      </c>
      <c r="I61" s="10" t="s">
        <v>453</v>
      </c>
      <c r="J61" s="10" t="s">
        <v>454</v>
      </c>
      <c r="K61" s="11" t="n">
        <v>2</v>
      </c>
      <c r="L61" s="11" t="n">
        <v>2</v>
      </c>
      <c r="M61" s="11" t="n">
        <v>1</v>
      </c>
      <c r="N61" s="11"/>
      <c r="O61" s="12" t="n">
        <f aca="false">ROUND(K61*L61/M61,1)</f>
        <v>4</v>
      </c>
      <c r="P61" s="13" t="n">
        <f aca="false">IF(N61="Y",1,IF(M61&gt;='Read me'!$B$14,3,IF(AND(O61&gt;='Read me'!$B$12,M61&lt;='Read me'!$B$13),1,2)))</f>
        <v>2</v>
      </c>
    </row>
    <row r="62" customFormat="false" ht="23.85" hidden="false" customHeight="false" outlineLevel="0" collapsed="false">
      <c r="A62" s="10" t="s">
        <v>455</v>
      </c>
      <c r="B62" s="10" t="s">
        <v>28</v>
      </c>
      <c r="C62" s="10" t="s">
        <v>456</v>
      </c>
      <c r="D62" s="10" t="s">
        <v>86</v>
      </c>
      <c r="E62" s="10"/>
      <c r="F62" s="10" t="s">
        <v>457</v>
      </c>
      <c r="G62" s="10" t="s">
        <v>458</v>
      </c>
      <c r="H62" s="10" t="s">
        <v>459</v>
      </c>
      <c r="I62" s="10" t="s">
        <v>460</v>
      </c>
      <c r="J62" s="10"/>
      <c r="K62" s="11" t="n">
        <v>3</v>
      </c>
      <c r="L62" s="11" t="n">
        <v>4</v>
      </c>
      <c r="M62" s="11" t="n">
        <v>1</v>
      </c>
      <c r="N62" s="11"/>
      <c r="O62" s="12" t="n">
        <f aca="false">ROUND(K62*L62/M62,1)</f>
        <v>12</v>
      </c>
      <c r="P62" s="13" t="n">
        <f aca="false">IF(N62="Y",1,IF(M62&gt;='Read me'!$B$14,3,IF(AND(O62&gt;='Read me'!$B$12,M62&lt;='Read me'!$B$13),1,2)))</f>
        <v>1</v>
      </c>
    </row>
    <row r="63" customFormat="false" ht="23.85" hidden="false" customHeight="false" outlineLevel="0" collapsed="false">
      <c r="A63" s="10" t="s">
        <v>461</v>
      </c>
      <c r="B63" s="10" t="s">
        <v>28</v>
      </c>
      <c r="C63" s="10" t="s">
        <v>462</v>
      </c>
      <c r="D63" s="10" t="s">
        <v>463</v>
      </c>
      <c r="E63" s="10"/>
      <c r="F63" s="10" t="s">
        <v>464</v>
      </c>
      <c r="G63" s="10" t="s">
        <v>465</v>
      </c>
      <c r="H63" s="10" t="s">
        <v>466</v>
      </c>
      <c r="I63" s="10"/>
      <c r="J63" s="10"/>
      <c r="K63" s="11" t="n">
        <v>2</v>
      </c>
      <c r="L63" s="11" t="n">
        <v>3</v>
      </c>
      <c r="M63" s="11" t="n">
        <v>1</v>
      </c>
      <c r="N63" s="11"/>
      <c r="O63" s="12" t="n">
        <f aca="false">ROUND(K63*L63/M63,1)</f>
        <v>6</v>
      </c>
      <c r="P63" s="13" t="n">
        <f aca="false">IF(N63="Y",1,IF(M63&gt;='Read me'!$B$14,3,IF(AND(O63&gt;='Read me'!$B$12,M63&lt;='Read me'!$B$13),1,2)))</f>
        <v>1</v>
      </c>
    </row>
    <row r="64" customFormat="false" ht="23.85" hidden="false" customHeight="false" outlineLevel="0" collapsed="false">
      <c r="A64" s="10" t="s">
        <v>467</v>
      </c>
      <c r="B64" s="10" t="s">
        <v>28</v>
      </c>
      <c r="C64" s="10" t="s">
        <v>468</v>
      </c>
      <c r="D64" s="10" t="s">
        <v>469</v>
      </c>
      <c r="E64" s="10"/>
      <c r="F64" s="10" t="s">
        <v>470</v>
      </c>
      <c r="G64" s="10" t="s">
        <v>471</v>
      </c>
      <c r="H64" s="10" t="s">
        <v>472</v>
      </c>
      <c r="I64" s="10" t="s">
        <v>473</v>
      </c>
      <c r="J64" s="10" t="s">
        <v>474</v>
      </c>
      <c r="K64" s="11" t="n">
        <v>3</v>
      </c>
      <c r="L64" s="11" t="n">
        <v>4</v>
      </c>
      <c r="M64" s="11" t="n">
        <v>4</v>
      </c>
      <c r="N64" s="11"/>
      <c r="O64" s="12" t="n">
        <f aca="false">ROUND(K64*L64/M64,1)</f>
        <v>3</v>
      </c>
      <c r="P64" s="13" t="n">
        <f aca="false">IF(N64="Y",1,IF(M64&gt;='Read me'!$B$14,3,IF(AND(O64&gt;='Read me'!$B$12,M64&lt;='Read me'!$B$13),1,2)))</f>
        <v>3</v>
      </c>
    </row>
    <row r="65" customFormat="false" ht="23.85" hidden="false" customHeight="false" outlineLevel="0" collapsed="false">
      <c r="A65" s="10" t="s">
        <v>475</v>
      </c>
      <c r="B65" s="10" t="s">
        <v>28</v>
      </c>
      <c r="C65" s="10" t="s">
        <v>476</v>
      </c>
      <c r="D65" s="10" t="s">
        <v>477</v>
      </c>
      <c r="E65" s="10"/>
      <c r="F65" s="10" t="s">
        <v>476</v>
      </c>
      <c r="G65" s="10" t="s">
        <v>478</v>
      </c>
      <c r="H65" s="10" t="s">
        <v>479</v>
      </c>
      <c r="I65" s="10"/>
      <c r="J65" s="10"/>
      <c r="K65" s="11" t="n">
        <v>4</v>
      </c>
      <c r="L65" s="11" t="n">
        <v>5</v>
      </c>
      <c r="M65" s="11" t="n">
        <v>1</v>
      </c>
      <c r="N65" s="11"/>
      <c r="O65" s="12" t="n">
        <f aca="false">ROUND(K65*L65/M65,1)</f>
        <v>20</v>
      </c>
      <c r="P65" s="13" t="n">
        <f aca="false">IF(N65="Y",1,IF(M65&gt;='Read me'!$B$14,3,IF(AND(O65&gt;='Read me'!$B$12,M65&lt;='Read me'!$B$13),1,2)))</f>
        <v>1</v>
      </c>
    </row>
    <row r="66" customFormat="false" ht="23.85" hidden="false" customHeight="false" outlineLevel="0" collapsed="false">
      <c r="A66" s="10" t="s">
        <v>480</v>
      </c>
      <c r="B66" s="10" t="s">
        <v>28</v>
      </c>
      <c r="C66" s="10" t="s">
        <v>481</v>
      </c>
      <c r="D66" s="10" t="s">
        <v>482</v>
      </c>
      <c r="E66" s="10"/>
      <c r="F66" s="10" t="s">
        <v>483</v>
      </c>
      <c r="G66" s="10" t="s">
        <v>484</v>
      </c>
      <c r="H66" s="10" t="s">
        <v>485</v>
      </c>
      <c r="I66" s="10" t="s">
        <v>486</v>
      </c>
      <c r="J66" s="10"/>
      <c r="K66" s="11" t="n">
        <v>3</v>
      </c>
      <c r="L66" s="11" t="n">
        <v>3</v>
      </c>
      <c r="M66" s="11" t="n">
        <v>2</v>
      </c>
      <c r="N66" s="11"/>
      <c r="O66" s="12" t="n">
        <f aca="false">ROUND(K66*L66/M66,1)</f>
        <v>4.5</v>
      </c>
      <c r="P66" s="13" t="n">
        <f aca="false">IF(N66="Y",1,IF(M66&gt;='Read me'!$B$14,3,IF(AND(O66&gt;='Read me'!$B$12,M66&lt;='Read me'!$B$13),1,2)))</f>
        <v>2</v>
      </c>
    </row>
    <row r="67" customFormat="false" ht="23.85" hidden="false" customHeight="false" outlineLevel="0" collapsed="false">
      <c r="A67" s="10" t="s">
        <v>487</v>
      </c>
      <c r="B67" s="10" t="s">
        <v>28</v>
      </c>
      <c r="C67" s="10" t="s">
        <v>488</v>
      </c>
      <c r="D67" s="10" t="s">
        <v>489</v>
      </c>
      <c r="E67" s="10"/>
      <c r="F67" s="10" t="s">
        <v>490</v>
      </c>
      <c r="G67" s="10" t="s">
        <v>491</v>
      </c>
      <c r="H67" s="10" t="s">
        <v>275</v>
      </c>
      <c r="I67" s="10" t="s">
        <v>492</v>
      </c>
      <c r="J67" s="10"/>
      <c r="K67" s="11" t="n">
        <v>1</v>
      </c>
      <c r="L67" s="11" t="n">
        <v>3</v>
      </c>
      <c r="M67" s="11" t="n">
        <v>4</v>
      </c>
      <c r="N67" s="11"/>
      <c r="O67" s="12" t="n">
        <f aca="false">ROUND(K67*L67/M67,1)</f>
        <v>0.8</v>
      </c>
      <c r="P67" s="13" t="n">
        <f aca="false">IF(N67="Y",1,IF(M67&gt;='Read me'!$B$14,3,IF(AND(O67&gt;='Read me'!$B$12,M67&lt;='Read me'!$B$13),1,2)))</f>
        <v>3</v>
      </c>
    </row>
    <row r="68" customFormat="false" ht="23.85" hidden="false" customHeight="false" outlineLevel="0" collapsed="false">
      <c r="A68" s="10" t="s">
        <v>493</v>
      </c>
      <c r="B68" s="10" t="s">
        <v>28</v>
      </c>
      <c r="C68" s="10" t="s">
        <v>494</v>
      </c>
      <c r="D68" s="10" t="s">
        <v>495</v>
      </c>
      <c r="E68" s="10"/>
      <c r="F68" s="10" t="s">
        <v>496</v>
      </c>
      <c r="G68" s="10" t="s">
        <v>497</v>
      </c>
      <c r="H68" s="10" t="s">
        <v>371</v>
      </c>
      <c r="I68" s="10" t="s">
        <v>498</v>
      </c>
      <c r="J68" s="10" t="s">
        <v>499</v>
      </c>
      <c r="K68" s="11" t="n">
        <v>1</v>
      </c>
      <c r="L68" s="11" t="n">
        <v>2</v>
      </c>
      <c r="M68" s="11" t="n">
        <v>3</v>
      </c>
      <c r="N68" s="11"/>
      <c r="O68" s="12" t="n">
        <f aca="false">ROUND(K68*L68/M68,1)</f>
        <v>0.7</v>
      </c>
      <c r="P68" s="13" t="n">
        <f aca="false">IF(N68="Y",1,IF(M68&gt;='Read me'!$B$14,3,IF(AND(O68&gt;='Read me'!$B$12,M68&lt;='Read me'!$B$13),1,2)))</f>
        <v>2</v>
      </c>
    </row>
    <row r="69" customFormat="false" ht="23.85" hidden="false" customHeight="false" outlineLevel="0" collapsed="false">
      <c r="A69" s="10" t="s">
        <v>500</v>
      </c>
      <c r="B69" s="10" t="s">
        <v>28</v>
      </c>
      <c r="C69" s="10" t="s">
        <v>501</v>
      </c>
      <c r="D69" s="10" t="s">
        <v>502</v>
      </c>
      <c r="E69" s="10"/>
      <c r="F69" s="10" t="s">
        <v>503</v>
      </c>
      <c r="G69" s="10" t="s">
        <v>504</v>
      </c>
      <c r="H69" s="10" t="s">
        <v>505</v>
      </c>
      <c r="I69" s="10" t="s">
        <v>506</v>
      </c>
      <c r="J69" s="10"/>
      <c r="K69" s="11" t="n">
        <v>2</v>
      </c>
      <c r="L69" s="11" t="n">
        <v>4</v>
      </c>
      <c r="M69" s="11" t="n">
        <v>2</v>
      </c>
      <c r="N69" s="11"/>
      <c r="O69" s="12" t="n">
        <f aca="false">ROUND(K69*L69/M69,1)</f>
        <v>4</v>
      </c>
      <c r="P69" s="13" t="n">
        <f aca="false">IF(N69="Y",1,IF(M69&gt;='Read me'!$B$14,3,IF(AND(O69&gt;='Read me'!$B$12,M69&lt;='Read me'!$B$13),1,2)))</f>
        <v>2</v>
      </c>
    </row>
    <row r="70" customFormat="false" ht="23.85" hidden="false" customHeight="false" outlineLevel="0" collapsed="false">
      <c r="A70" s="10" t="s">
        <v>507</v>
      </c>
      <c r="B70" s="10" t="s">
        <v>28</v>
      </c>
      <c r="C70" s="10" t="s">
        <v>508</v>
      </c>
      <c r="D70" s="10" t="s">
        <v>509</v>
      </c>
      <c r="E70" s="10"/>
      <c r="F70" s="10" t="s">
        <v>510</v>
      </c>
      <c r="G70" s="10" t="s">
        <v>511</v>
      </c>
      <c r="H70" s="10" t="s">
        <v>512</v>
      </c>
      <c r="I70" s="10" t="s">
        <v>513</v>
      </c>
      <c r="J70" s="10"/>
      <c r="K70" s="11" t="n">
        <v>1</v>
      </c>
      <c r="L70" s="11" t="n">
        <v>2</v>
      </c>
      <c r="M70" s="11" t="n">
        <v>2</v>
      </c>
      <c r="N70" s="11"/>
      <c r="O70" s="12" t="n">
        <f aca="false">ROUND(K70*L70/M70,1)</f>
        <v>1</v>
      </c>
      <c r="P70" s="13" t="n">
        <f aca="false">IF(N70="Y",1,IF(M70&gt;='Read me'!$B$14,3,IF(AND(O70&gt;='Read me'!$B$12,M70&lt;='Read me'!$B$13),1,2)))</f>
        <v>2</v>
      </c>
    </row>
    <row r="71" customFormat="false" ht="23.85" hidden="false" customHeight="false" outlineLevel="0" collapsed="false">
      <c r="A71" s="10" t="s">
        <v>514</v>
      </c>
      <c r="B71" s="10" t="s">
        <v>29</v>
      </c>
      <c r="C71" s="10" t="s">
        <v>515</v>
      </c>
      <c r="D71" s="10" t="s">
        <v>516</v>
      </c>
      <c r="E71" s="10"/>
      <c r="F71" s="10" t="s">
        <v>418</v>
      </c>
      <c r="G71" s="10" t="s">
        <v>517</v>
      </c>
      <c r="H71" s="10" t="s">
        <v>518</v>
      </c>
      <c r="I71" s="10" t="s">
        <v>519</v>
      </c>
      <c r="J71" s="10" t="s">
        <v>520</v>
      </c>
      <c r="K71" s="11" t="n">
        <v>5</v>
      </c>
      <c r="L71" s="11" t="n">
        <v>4</v>
      </c>
      <c r="M71" s="11" t="n">
        <v>2</v>
      </c>
      <c r="N71" s="11" t="s">
        <v>112</v>
      </c>
      <c r="O71" s="12" t="n">
        <f aca="false">ROUND(K71*L71/M71,1)</f>
        <v>10</v>
      </c>
      <c r="P71" s="13" t="n">
        <f aca="false">IF(N71="Y",1,IF(M71&gt;='Read me'!$B$14,3,IF(AND(O71&gt;='Read me'!$B$12,M71&lt;='Read me'!$B$13),1,2)))</f>
        <v>1</v>
      </c>
    </row>
    <row r="72" customFormat="false" ht="23.85" hidden="false" customHeight="false" outlineLevel="0" collapsed="false">
      <c r="A72" s="10" t="s">
        <v>521</v>
      </c>
      <c r="B72" s="10" t="s">
        <v>29</v>
      </c>
      <c r="C72" s="10" t="s">
        <v>522</v>
      </c>
      <c r="D72" s="10" t="s">
        <v>523</v>
      </c>
      <c r="E72" s="10"/>
      <c r="F72" s="10" t="s">
        <v>524</v>
      </c>
      <c r="G72" s="10" t="s">
        <v>525</v>
      </c>
      <c r="H72" s="10" t="s">
        <v>275</v>
      </c>
      <c r="I72" s="10" t="s">
        <v>526</v>
      </c>
      <c r="J72" s="10"/>
      <c r="K72" s="11" t="n">
        <v>4</v>
      </c>
      <c r="L72" s="11" t="n">
        <v>3</v>
      </c>
      <c r="M72" s="11" t="n">
        <v>4</v>
      </c>
      <c r="N72" s="11"/>
      <c r="O72" s="12" t="n">
        <f aca="false">ROUND(K72*L72/M72,1)</f>
        <v>3</v>
      </c>
      <c r="P72" s="13" t="n">
        <f aca="false">IF(N72="Y",1,IF(M72&gt;='Read me'!$B$14,3,IF(AND(O72&gt;='Read me'!$B$12,M72&lt;='Read me'!$B$13),1,2)))</f>
        <v>3</v>
      </c>
    </row>
    <row r="73" customFormat="false" ht="23.85" hidden="false" customHeight="false" outlineLevel="0" collapsed="false">
      <c r="A73" s="10" t="s">
        <v>527</v>
      </c>
      <c r="B73" s="10" t="s">
        <v>29</v>
      </c>
      <c r="C73" s="10" t="s">
        <v>528</v>
      </c>
      <c r="D73" s="10" t="s">
        <v>523</v>
      </c>
      <c r="E73" s="10"/>
      <c r="F73" s="10" t="s">
        <v>529</v>
      </c>
      <c r="G73" s="10" t="s">
        <v>530</v>
      </c>
      <c r="H73" s="10" t="s">
        <v>531</v>
      </c>
      <c r="I73" s="10" t="s">
        <v>532</v>
      </c>
      <c r="J73" s="10" t="s">
        <v>533</v>
      </c>
      <c r="K73" s="11" t="n">
        <v>3</v>
      </c>
      <c r="L73" s="11" t="n">
        <v>4</v>
      </c>
      <c r="M73" s="11" t="n">
        <v>4</v>
      </c>
      <c r="N73" s="11"/>
      <c r="O73" s="12" t="n">
        <f aca="false">ROUND(K73*L73/M73,1)</f>
        <v>3</v>
      </c>
      <c r="P73" s="13" t="n">
        <f aca="false">IF(N73="Y",1,IF(M73&gt;='Read me'!$B$14,3,IF(AND(O73&gt;='Read me'!$B$12,M73&lt;='Read me'!$B$13),1,2)))</f>
        <v>3</v>
      </c>
    </row>
    <row r="74" customFormat="false" ht="35.05" hidden="false" customHeight="false" outlineLevel="0" collapsed="false">
      <c r="A74" s="10" t="s">
        <v>534</v>
      </c>
      <c r="B74" s="10" t="s">
        <v>29</v>
      </c>
      <c r="C74" s="10" t="s">
        <v>535</v>
      </c>
      <c r="D74" s="10" t="s">
        <v>536</v>
      </c>
      <c r="E74" s="10"/>
      <c r="F74" s="10" t="s">
        <v>537</v>
      </c>
      <c r="G74" s="10" t="s">
        <v>538</v>
      </c>
      <c r="H74" s="10" t="s">
        <v>531</v>
      </c>
      <c r="I74" s="10" t="s">
        <v>539</v>
      </c>
      <c r="J74" s="10" t="s">
        <v>540</v>
      </c>
      <c r="K74" s="11" t="n">
        <v>3</v>
      </c>
      <c r="L74" s="11" t="n">
        <v>3</v>
      </c>
      <c r="M74" s="11" t="n">
        <v>3</v>
      </c>
      <c r="N74" s="11"/>
      <c r="O74" s="12" t="n">
        <f aca="false">ROUND(K74*L74/M74,1)</f>
        <v>3</v>
      </c>
      <c r="P74" s="13" t="n">
        <f aca="false">IF(N74="Y",1,IF(M74&gt;='Read me'!$B$14,3,IF(AND(O74&gt;='Read me'!$B$12,M74&lt;='Read me'!$B$13),1,2)))</f>
        <v>2</v>
      </c>
    </row>
    <row r="75" customFormat="false" ht="23.85" hidden="false" customHeight="false" outlineLevel="0" collapsed="false">
      <c r="A75" s="10" t="s">
        <v>541</v>
      </c>
      <c r="B75" s="10" t="s">
        <v>29</v>
      </c>
      <c r="C75" s="10" t="s">
        <v>542</v>
      </c>
      <c r="D75" s="10" t="s">
        <v>543</v>
      </c>
      <c r="E75" s="10"/>
      <c r="F75" s="10" t="s">
        <v>544</v>
      </c>
      <c r="G75" s="10" t="s">
        <v>545</v>
      </c>
      <c r="H75" s="10" t="s">
        <v>546</v>
      </c>
      <c r="I75" s="10" t="s">
        <v>547</v>
      </c>
      <c r="J75" s="10"/>
      <c r="K75" s="11" t="n">
        <v>3</v>
      </c>
      <c r="L75" s="11" t="n">
        <v>2</v>
      </c>
      <c r="M75" s="11" t="n">
        <v>2</v>
      </c>
      <c r="N75" s="11"/>
      <c r="O75" s="12" t="n">
        <f aca="false">ROUND(K75*L75/M75,1)</f>
        <v>3</v>
      </c>
      <c r="P75" s="13" t="n">
        <f aca="false">IF(N75="Y",1,IF(M75&gt;='Read me'!$B$14,3,IF(AND(O75&gt;='Read me'!$B$12,M75&lt;='Read me'!$B$13),1,2)))</f>
        <v>2</v>
      </c>
    </row>
    <row r="76" customFormat="false" ht="23.85" hidden="false" customHeight="false" outlineLevel="0" collapsed="false">
      <c r="A76" s="10" t="s">
        <v>548</v>
      </c>
      <c r="B76" s="10" t="s">
        <v>29</v>
      </c>
      <c r="C76" s="10" t="s">
        <v>549</v>
      </c>
      <c r="D76" s="10" t="s">
        <v>550</v>
      </c>
      <c r="E76" s="10"/>
      <c r="F76" s="10" t="s">
        <v>551</v>
      </c>
      <c r="G76" s="10" t="s">
        <v>552</v>
      </c>
      <c r="H76" s="10" t="s">
        <v>553</v>
      </c>
      <c r="I76" s="10" t="s">
        <v>554</v>
      </c>
      <c r="J76" s="10"/>
      <c r="K76" s="11" t="n">
        <v>3</v>
      </c>
      <c r="L76" s="11" t="n">
        <v>4</v>
      </c>
      <c r="M76" s="11" t="n">
        <v>3</v>
      </c>
      <c r="N76" s="11"/>
      <c r="O76" s="12" t="n">
        <f aca="false">ROUND(K76*L76/M76,1)</f>
        <v>4</v>
      </c>
      <c r="P76" s="13" t="n">
        <f aca="false">IF(N76="Y",1,IF(M76&gt;='Read me'!$B$14,3,IF(AND(O76&gt;='Read me'!$B$12,M76&lt;='Read me'!$B$13),1,2)))</f>
        <v>2</v>
      </c>
    </row>
    <row r="77" customFormat="false" ht="23.85" hidden="false" customHeight="false" outlineLevel="0" collapsed="false">
      <c r="A77" s="10" t="s">
        <v>555</v>
      </c>
      <c r="B77" s="10" t="s">
        <v>29</v>
      </c>
      <c r="C77" s="10" t="s">
        <v>556</v>
      </c>
      <c r="D77" s="10" t="s">
        <v>557</v>
      </c>
      <c r="E77" s="10"/>
      <c r="F77" s="10" t="s">
        <v>558</v>
      </c>
      <c r="G77" s="10" t="s">
        <v>559</v>
      </c>
      <c r="H77" s="10" t="s">
        <v>275</v>
      </c>
      <c r="I77" s="10" t="s">
        <v>560</v>
      </c>
      <c r="J77" s="10"/>
      <c r="K77" s="11" t="n">
        <v>2</v>
      </c>
      <c r="L77" s="11" t="n">
        <v>3</v>
      </c>
      <c r="M77" s="11" t="n">
        <v>4</v>
      </c>
      <c r="N77" s="11"/>
      <c r="O77" s="12" t="n">
        <f aca="false">ROUND(K77*L77/M77,1)</f>
        <v>1.5</v>
      </c>
      <c r="P77" s="13" t="n">
        <f aca="false">IF(N77="Y",1,IF(M77&gt;='Read me'!$B$14,3,IF(AND(O77&gt;='Read me'!$B$12,M77&lt;='Read me'!$B$13),1,2)))</f>
        <v>3</v>
      </c>
    </row>
    <row r="78" customFormat="false" ht="23.85" hidden="false" customHeight="false" outlineLevel="0" collapsed="false">
      <c r="A78" s="10" t="s">
        <v>561</v>
      </c>
      <c r="B78" s="10" t="s">
        <v>29</v>
      </c>
      <c r="C78" s="10" t="s">
        <v>562</v>
      </c>
      <c r="D78" s="10" t="s">
        <v>563</v>
      </c>
      <c r="E78" s="10"/>
      <c r="F78" s="10" t="s">
        <v>564</v>
      </c>
      <c r="G78" s="10" t="s">
        <v>565</v>
      </c>
      <c r="H78" s="10" t="s">
        <v>566</v>
      </c>
      <c r="I78" s="10" t="s">
        <v>567</v>
      </c>
      <c r="J78" s="10"/>
      <c r="K78" s="11" t="n">
        <v>3</v>
      </c>
      <c r="L78" s="11" t="n">
        <v>3</v>
      </c>
      <c r="M78" s="11" t="n">
        <v>4</v>
      </c>
      <c r="N78" s="11"/>
      <c r="O78" s="12" t="n">
        <f aca="false">ROUND(K78*L78/M78,1)</f>
        <v>2.3</v>
      </c>
      <c r="P78" s="13" t="n">
        <f aca="false">IF(N78="Y",1,IF(M78&gt;='Read me'!$B$14,3,IF(AND(O78&gt;='Read me'!$B$12,M78&lt;='Read me'!$B$13),1,2)))</f>
        <v>3</v>
      </c>
    </row>
    <row r="79" customFormat="false" ht="23.85" hidden="false" customHeight="false" outlineLevel="0" collapsed="false">
      <c r="A79" s="10" t="s">
        <v>568</v>
      </c>
      <c r="B79" s="10" t="s">
        <v>29</v>
      </c>
      <c r="C79" s="10" t="s">
        <v>569</v>
      </c>
      <c r="D79" s="10" t="s">
        <v>570</v>
      </c>
      <c r="E79" s="10"/>
      <c r="F79" s="10" t="s">
        <v>418</v>
      </c>
      <c r="G79" s="10" t="s">
        <v>571</v>
      </c>
      <c r="H79" s="10" t="s">
        <v>572</v>
      </c>
      <c r="I79" s="10" t="s">
        <v>573</v>
      </c>
      <c r="J79" s="10"/>
      <c r="K79" s="11" t="n">
        <v>4</v>
      </c>
      <c r="L79" s="11" t="n">
        <v>3</v>
      </c>
      <c r="M79" s="11" t="n">
        <v>1</v>
      </c>
      <c r="N79" s="11"/>
      <c r="O79" s="12" t="n">
        <f aca="false">ROUND(K79*L79/M79,1)</f>
        <v>12</v>
      </c>
      <c r="P79" s="13" t="n">
        <f aca="false">IF(N79="Y",1,IF(M79&gt;='Read me'!$B$14,3,IF(AND(O79&gt;='Read me'!$B$12,M79&lt;='Read me'!$B$13),1,2)))</f>
        <v>1</v>
      </c>
    </row>
    <row r="80" customFormat="false" ht="23.85" hidden="false" customHeight="false" outlineLevel="0" collapsed="false">
      <c r="A80" s="10" t="s">
        <v>574</v>
      </c>
      <c r="B80" s="10" t="s">
        <v>29</v>
      </c>
      <c r="C80" s="10" t="s">
        <v>575</v>
      </c>
      <c r="D80" s="10" t="s">
        <v>576</v>
      </c>
      <c r="E80" s="10"/>
      <c r="F80" s="10" t="s">
        <v>577</v>
      </c>
      <c r="G80" s="10" t="s">
        <v>578</v>
      </c>
      <c r="H80" s="10" t="s">
        <v>531</v>
      </c>
      <c r="I80" s="10"/>
      <c r="J80" s="10"/>
      <c r="K80" s="11" t="n">
        <v>3</v>
      </c>
      <c r="L80" s="11" t="n">
        <v>1</v>
      </c>
      <c r="M80" s="11" t="n">
        <v>1</v>
      </c>
      <c r="N80" s="11"/>
      <c r="O80" s="12" t="n">
        <f aca="false">ROUND(K80*L80/M80,1)</f>
        <v>3</v>
      </c>
      <c r="P80" s="13" t="n">
        <f aca="false">IF(N80="Y",1,IF(M80&gt;='Read me'!$B$14,3,IF(AND(O80&gt;='Read me'!$B$12,M80&lt;='Read me'!$B$13),1,2)))</f>
        <v>2</v>
      </c>
    </row>
    <row r="81" customFormat="false" ht="23.85" hidden="false" customHeight="false" outlineLevel="0" collapsed="false">
      <c r="A81" s="10" t="s">
        <v>579</v>
      </c>
      <c r="B81" s="10" t="s">
        <v>29</v>
      </c>
      <c r="C81" s="10" t="s">
        <v>580</v>
      </c>
      <c r="D81" s="10" t="s">
        <v>581</v>
      </c>
      <c r="E81" s="10"/>
      <c r="F81" s="10" t="s">
        <v>582</v>
      </c>
      <c r="G81" s="10" t="s">
        <v>583</v>
      </c>
      <c r="H81" s="10" t="s">
        <v>584</v>
      </c>
      <c r="I81" s="10" t="s">
        <v>585</v>
      </c>
      <c r="J81" s="10"/>
      <c r="K81" s="11" t="n">
        <v>3</v>
      </c>
      <c r="L81" s="11" t="n">
        <v>3</v>
      </c>
      <c r="M81" s="11" t="n">
        <v>2</v>
      </c>
      <c r="N81" s="11"/>
      <c r="O81" s="12" t="n">
        <f aca="false">ROUND(K81*L81/M81,1)</f>
        <v>4.5</v>
      </c>
      <c r="P81" s="13" t="n">
        <f aca="false">IF(N81="Y",1,IF(M81&gt;='Read me'!$B$14,3,IF(AND(O81&gt;='Read me'!$B$12,M81&lt;='Read me'!$B$13),1,2)))</f>
        <v>2</v>
      </c>
    </row>
    <row r="82" customFormat="false" ht="23.85" hidden="false" customHeight="false" outlineLevel="0" collapsed="false">
      <c r="A82" s="10" t="s">
        <v>586</v>
      </c>
      <c r="B82" s="10" t="s">
        <v>29</v>
      </c>
      <c r="C82" s="10" t="s">
        <v>587</v>
      </c>
      <c r="D82" s="10" t="s">
        <v>588</v>
      </c>
      <c r="E82" s="10" t="s">
        <v>589</v>
      </c>
      <c r="F82" s="10" t="s">
        <v>87</v>
      </c>
      <c r="G82" s="10" t="s">
        <v>590</v>
      </c>
      <c r="H82" s="10" t="s">
        <v>591</v>
      </c>
      <c r="I82" s="10" t="s">
        <v>592</v>
      </c>
      <c r="J82" s="10" t="s">
        <v>593</v>
      </c>
      <c r="K82" s="11" t="n">
        <v>3</v>
      </c>
      <c r="L82" s="11" t="n">
        <v>4</v>
      </c>
      <c r="M82" s="11" t="n">
        <v>4</v>
      </c>
      <c r="N82" s="11"/>
      <c r="O82" s="12" t="n">
        <f aca="false">ROUND(K82*L82/M82,1)</f>
        <v>3</v>
      </c>
      <c r="P82" s="13" t="n">
        <f aca="false">IF(N82="Y",1,IF(M82&gt;='Read me'!$B$14,3,IF(AND(O82&gt;='Read me'!$B$12,M82&lt;='Read me'!$B$13),1,2)))</f>
        <v>3</v>
      </c>
    </row>
    <row r="83" customFormat="false" ht="23.85" hidden="false" customHeight="false" outlineLevel="0" collapsed="false">
      <c r="A83" s="10" t="s">
        <v>594</v>
      </c>
      <c r="B83" s="10" t="s">
        <v>29</v>
      </c>
      <c r="C83" s="10" t="s">
        <v>595</v>
      </c>
      <c r="D83" s="10" t="s">
        <v>596</v>
      </c>
      <c r="E83" s="10"/>
      <c r="F83" s="10" t="s">
        <v>597</v>
      </c>
      <c r="G83" s="10" t="s">
        <v>598</v>
      </c>
      <c r="H83" s="10" t="s">
        <v>452</v>
      </c>
      <c r="I83" s="10" t="s">
        <v>599</v>
      </c>
      <c r="J83" s="10"/>
      <c r="K83" s="11" t="n">
        <v>3</v>
      </c>
      <c r="L83" s="11" t="n">
        <v>2</v>
      </c>
      <c r="M83" s="11" t="n">
        <v>1</v>
      </c>
      <c r="N83" s="11"/>
      <c r="O83" s="12" t="n">
        <f aca="false">ROUND(K83*L83/M83,1)</f>
        <v>6</v>
      </c>
      <c r="P83" s="13" t="n">
        <f aca="false">IF(N83="Y",1,IF(M83&gt;='Read me'!$B$14,3,IF(AND(O83&gt;='Read me'!$B$12,M83&lt;='Read me'!$B$13),1,2)))</f>
        <v>1</v>
      </c>
    </row>
    <row r="84" customFormat="false" ht="23.85" hidden="false" customHeight="false" outlineLevel="0" collapsed="false">
      <c r="A84" s="10" t="s">
        <v>600</v>
      </c>
      <c r="B84" s="10" t="s">
        <v>29</v>
      </c>
      <c r="C84" s="10" t="s">
        <v>601</v>
      </c>
      <c r="D84" s="10" t="s">
        <v>602</v>
      </c>
      <c r="E84" s="10"/>
      <c r="F84" s="10" t="s">
        <v>603</v>
      </c>
      <c r="G84" s="10" t="s">
        <v>604</v>
      </c>
      <c r="H84" s="10" t="s">
        <v>531</v>
      </c>
      <c r="I84" s="10" t="s">
        <v>605</v>
      </c>
      <c r="J84" s="10" t="s">
        <v>606</v>
      </c>
      <c r="K84" s="11" t="n">
        <v>1</v>
      </c>
      <c r="L84" s="11" t="n">
        <v>2</v>
      </c>
      <c r="M84" s="11" t="n">
        <v>2</v>
      </c>
      <c r="N84" s="11"/>
      <c r="O84" s="12" t="n">
        <f aca="false">ROUND(K84*L84/M84,1)</f>
        <v>1</v>
      </c>
      <c r="P84" s="13" t="n">
        <f aca="false">IF(N84="Y",1,IF(M84&gt;='Read me'!$B$14,3,IF(AND(O84&gt;='Read me'!$B$12,M84&lt;='Read me'!$B$13),1,2)))</f>
        <v>2</v>
      </c>
    </row>
    <row r="85" customFormat="false" ht="23.85" hidden="false" customHeight="false" outlineLevel="0" collapsed="false">
      <c r="A85" s="10" t="s">
        <v>607</v>
      </c>
      <c r="B85" s="10" t="s">
        <v>30</v>
      </c>
      <c r="C85" s="10" t="s">
        <v>608</v>
      </c>
      <c r="D85" s="10" t="s">
        <v>609</v>
      </c>
      <c r="E85" s="10"/>
      <c r="F85" s="10" t="s">
        <v>610</v>
      </c>
      <c r="G85" s="10" t="s">
        <v>611</v>
      </c>
      <c r="H85" s="10" t="s">
        <v>612</v>
      </c>
      <c r="I85" s="10" t="s">
        <v>613</v>
      </c>
      <c r="J85" s="10"/>
      <c r="K85" s="11" t="n">
        <v>5</v>
      </c>
      <c r="L85" s="11" t="n">
        <v>4</v>
      </c>
      <c r="M85" s="11" t="n">
        <v>1</v>
      </c>
      <c r="N85" s="11" t="s">
        <v>112</v>
      </c>
      <c r="O85" s="12" t="n">
        <f aca="false">ROUND(K85*L85/M85,1)</f>
        <v>20</v>
      </c>
      <c r="P85" s="13" t="n">
        <f aca="false">IF(N85="Y",1,IF(M85&gt;='Read me'!$B$14,3,IF(AND(O85&gt;='Read me'!$B$12,M85&lt;='Read me'!$B$13),1,2)))</f>
        <v>1</v>
      </c>
    </row>
    <row r="86" customFormat="false" ht="23.85" hidden="false" customHeight="false" outlineLevel="0" collapsed="false">
      <c r="A86" s="10" t="s">
        <v>614</v>
      </c>
      <c r="B86" s="10" t="s">
        <v>30</v>
      </c>
      <c r="C86" s="10" t="s">
        <v>615</v>
      </c>
      <c r="D86" s="10" t="s">
        <v>616</v>
      </c>
      <c r="E86" s="10"/>
      <c r="F86" s="10" t="s">
        <v>617</v>
      </c>
      <c r="G86" s="10" t="s">
        <v>618</v>
      </c>
      <c r="H86" s="10" t="s">
        <v>619</v>
      </c>
      <c r="I86" s="10" t="s">
        <v>620</v>
      </c>
      <c r="J86" s="10"/>
      <c r="K86" s="11" t="n">
        <v>5</v>
      </c>
      <c r="L86" s="11" t="n">
        <v>4</v>
      </c>
      <c r="M86" s="11" t="n">
        <v>2</v>
      </c>
      <c r="N86" s="11" t="s">
        <v>112</v>
      </c>
      <c r="O86" s="12" t="n">
        <f aca="false">ROUND(K86*L86/M86,1)</f>
        <v>10</v>
      </c>
      <c r="P86" s="13" t="n">
        <f aca="false">IF(N86="Y",1,IF(M86&gt;='Read me'!$B$14,3,IF(AND(O86&gt;='Read me'!$B$12,M86&lt;='Read me'!$B$13),1,2)))</f>
        <v>1</v>
      </c>
    </row>
    <row r="87" customFormat="false" ht="23.85" hidden="false" customHeight="false" outlineLevel="0" collapsed="false">
      <c r="A87" s="10" t="s">
        <v>621</v>
      </c>
      <c r="B87" s="10" t="s">
        <v>30</v>
      </c>
      <c r="C87" s="10" t="s">
        <v>622</v>
      </c>
      <c r="D87" s="10" t="s">
        <v>616</v>
      </c>
      <c r="E87" s="10" t="s">
        <v>623</v>
      </c>
      <c r="F87" s="10" t="s">
        <v>87</v>
      </c>
      <c r="G87" s="10" t="s">
        <v>624</v>
      </c>
      <c r="H87" s="10" t="s">
        <v>625</v>
      </c>
      <c r="I87" s="10"/>
      <c r="J87" s="10"/>
      <c r="K87" s="11" t="n">
        <v>3</v>
      </c>
      <c r="L87" s="11" t="n">
        <v>3</v>
      </c>
      <c r="M87" s="11" t="n">
        <v>2</v>
      </c>
      <c r="N87" s="11"/>
      <c r="O87" s="12" t="n">
        <f aca="false">ROUND(K87*L87/M87,1)</f>
        <v>4.5</v>
      </c>
      <c r="P87" s="13" t="n">
        <f aca="false">IF(N87="Y",1,IF(M87&gt;='Read me'!$B$14,3,IF(AND(O87&gt;='Read me'!$B$12,M87&lt;='Read me'!$B$13),1,2)))</f>
        <v>2</v>
      </c>
    </row>
    <row r="88" customFormat="false" ht="23.85" hidden="false" customHeight="false" outlineLevel="0" collapsed="false">
      <c r="A88" s="10" t="s">
        <v>626</v>
      </c>
      <c r="B88" s="10" t="s">
        <v>30</v>
      </c>
      <c r="C88" s="10" t="s">
        <v>627</v>
      </c>
      <c r="D88" s="10" t="s">
        <v>609</v>
      </c>
      <c r="E88" s="10"/>
      <c r="F88" s="10" t="s">
        <v>628</v>
      </c>
      <c r="G88" s="10" t="s">
        <v>629</v>
      </c>
      <c r="H88" s="10" t="s">
        <v>630</v>
      </c>
      <c r="I88" s="10"/>
      <c r="J88" s="10"/>
      <c r="K88" s="11" t="n">
        <v>3</v>
      </c>
      <c r="L88" s="11" t="n">
        <v>3</v>
      </c>
      <c r="M88" s="11" t="n">
        <v>1</v>
      </c>
      <c r="N88" s="11"/>
      <c r="O88" s="12" t="n">
        <f aca="false">ROUND(K88*L88/M88,1)</f>
        <v>9</v>
      </c>
      <c r="P88" s="13" t="n">
        <f aca="false">IF(N88="Y",1,IF(M88&gt;='Read me'!$B$14,3,IF(AND(O88&gt;='Read me'!$B$12,M88&lt;='Read me'!$B$13),1,2)))</f>
        <v>1</v>
      </c>
    </row>
    <row r="89" customFormat="false" ht="23.85" hidden="false" customHeight="false" outlineLevel="0" collapsed="false">
      <c r="A89" s="10" t="s">
        <v>631</v>
      </c>
      <c r="B89" s="10" t="s">
        <v>30</v>
      </c>
      <c r="C89" s="10" t="s">
        <v>632</v>
      </c>
      <c r="D89" s="10" t="s">
        <v>633</v>
      </c>
      <c r="E89" s="10"/>
      <c r="F89" s="10" t="s">
        <v>634</v>
      </c>
      <c r="G89" s="10" t="s">
        <v>635</v>
      </c>
      <c r="H89" s="10" t="s">
        <v>636</v>
      </c>
      <c r="I89" s="10" t="s">
        <v>637</v>
      </c>
      <c r="J89" s="10"/>
      <c r="K89" s="11" t="n">
        <v>2</v>
      </c>
      <c r="L89" s="11" t="n">
        <v>2</v>
      </c>
      <c r="M89" s="11" t="n">
        <v>2</v>
      </c>
      <c r="N89" s="11"/>
      <c r="O89" s="12" t="n">
        <f aca="false">ROUND(K89*L89/M89,1)</f>
        <v>2</v>
      </c>
      <c r="P89" s="13" t="n">
        <f aca="false">IF(N89="Y",1,IF(M89&gt;='Read me'!$B$14,3,IF(AND(O89&gt;='Read me'!$B$12,M89&lt;='Read me'!$B$13),1,2)))</f>
        <v>2</v>
      </c>
    </row>
    <row r="90" customFormat="false" ht="23.85" hidden="false" customHeight="false" outlineLevel="0" collapsed="false">
      <c r="A90" s="10" t="s">
        <v>638</v>
      </c>
      <c r="B90" s="10" t="s">
        <v>30</v>
      </c>
      <c r="C90" s="10" t="s">
        <v>639</v>
      </c>
      <c r="D90" s="10" t="s">
        <v>640</v>
      </c>
      <c r="E90" s="10" t="s">
        <v>641</v>
      </c>
      <c r="F90" s="10" t="s">
        <v>642</v>
      </c>
      <c r="G90" s="10" t="s">
        <v>643</v>
      </c>
      <c r="H90" s="10" t="s">
        <v>644</v>
      </c>
      <c r="I90" s="10" t="s">
        <v>645</v>
      </c>
      <c r="J90" s="10"/>
      <c r="K90" s="11" t="n">
        <v>1</v>
      </c>
      <c r="L90" s="11" t="n">
        <v>3</v>
      </c>
      <c r="M90" s="11" t="n">
        <v>4</v>
      </c>
      <c r="N90" s="11"/>
      <c r="O90" s="12" t="n">
        <f aca="false">ROUND(K90*L90/M90,1)</f>
        <v>0.8</v>
      </c>
      <c r="P90" s="13" t="n">
        <f aca="false">IF(N90="Y",1,IF(M90&gt;='Read me'!$B$14,3,IF(AND(O90&gt;='Read me'!$B$12,M90&lt;='Read me'!$B$13),1,2)))</f>
        <v>3</v>
      </c>
    </row>
    <row r="91" customFormat="false" ht="35.05" hidden="false" customHeight="false" outlineLevel="0" collapsed="false">
      <c r="A91" s="10" t="s">
        <v>646</v>
      </c>
      <c r="B91" s="10" t="s">
        <v>30</v>
      </c>
      <c r="C91" s="10" t="s">
        <v>647</v>
      </c>
      <c r="D91" s="10" t="s">
        <v>648</v>
      </c>
      <c r="E91" s="10" t="s">
        <v>649</v>
      </c>
      <c r="F91" s="10" t="s">
        <v>650</v>
      </c>
      <c r="G91" s="10" t="s">
        <v>651</v>
      </c>
      <c r="H91" s="10" t="s">
        <v>652</v>
      </c>
      <c r="I91" s="10" t="s">
        <v>653</v>
      </c>
      <c r="J91" s="10" t="s">
        <v>654</v>
      </c>
      <c r="K91" s="11" t="n">
        <v>1</v>
      </c>
      <c r="L91" s="11" t="n">
        <v>3</v>
      </c>
      <c r="M91" s="11" t="n">
        <v>5</v>
      </c>
      <c r="N91" s="11"/>
      <c r="O91" s="12" t="n">
        <f aca="false">ROUND(K91*L91/M91,1)</f>
        <v>0.6</v>
      </c>
      <c r="P91" s="13" t="n">
        <f aca="false">IF(N91="Y",1,IF(M91&gt;='Read me'!$B$14,3,IF(AND(O91&gt;='Read me'!$B$12,M91&lt;='Read me'!$B$13),1,2)))</f>
        <v>3</v>
      </c>
    </row>
    <row r="92" customFormat="false" ht="23.85" hidden="false" customHeight="false" outlineLevel="0" collapsed="false">
      <c r="A92" s="10" t="s">
        <v>655</v>
      </c>
      <c r="B92" s="10" t="s">
        <v>30</v>
      </c>
      <c r="C92" s="10" t="s">
        <v>656</v>
      </c>
      <c r="D92" s="10" t="s">
        <v>657</v>
      </c>
      <c r="E92" s="10" t="s">
        <v>658</v>
      </c>
      <c r="F92" s="10" t="s">
        <v>659</v>
      </c>
      <c r="G92" s="10" t="s">
        <v>660</v>
      </c>
      <c r="H92" s="10" t="s">
        <v>275</v>
      </c>
      <c r="I92" s="10" t="s">
        <v>661</v>
      </c>
      <c r="J92" s="10"/>
      <c r="K92" s="11" t="n">
        <v>1</v>
      </c>
      <c r="L92" s="11" t="n">
        <v>3</v>
      </c>
      <c r="M92" s="11" t="n">
        <v>4</v>
      </c>
      <c r="N92" s="11"/>
      <c r="O92" s="12" t="n">
        <f aca="false">ROUND(K92*L92/M92,1)</f>
        <v>0.8</v>
      </c>
      <c r="P92" s="13" t="n">
        <f aca="false">IF(N92="Y",1,IF(M92&gt;='Read me'!$B$14,3,IF(AND(O92&gt;='Read me'!$B$12,M92&lt;='Read me'!$B$13),1,2)))</f>
        <v>3</v>
      </c>
    </row>
    <row r="93" customFormat="false" ht="23.85" hidden="false" customHeight="false" outlineLevel="0" collapsed="false">
      <c r="A93" s="10" t="s">
        <v>662</v>
      </c>
      <c r="B93" s="10" t="s">
        <v>30</v>
      </c>
      <c r="C93" s="10" t="s">
        <v>663</v>
      </c>
      <c r="D93" s="10" t="s">
        <v>609</v>
      </c>
      <c r="E93" s="10"/>
      <c r="F93" s="10" t="s">
        <v>664</v>
      </c>
      <c r="G93" s="10" t="s">
        <v>665</v>
      </c>
      <c r="H93" s="10" t="s">
        <v>531</v>
      </c>
      <c r="I93" s="10" t="s">
        <v>666</v>
      </c>
      <c r="J93" s="10"/>
      <c r="K93" s="11" t="n">
        <v>2</v>
      </c>
      <c r="L93" s="11" t="n">
        <v>2</v>
      </c>
      <c r="M93" s="11" t="n">
        <v>1</v>
      </c>
      <c r="N93" s="11"/>
      <c r="O93" s="12" t="n">
        <f aca="false">ROUND(K93*L93/M93,1)</f>
        <v>4</v>
      </c>
      <c r="P93" s="13" t="n">
        <f aca="false">IF(N93="Y",1,IF(M93&gt;='Read me'!$B$14,3,IF(AND(O93&gt;='Read me'!$B$12,M93&lt;='Read me'!$B$13),1,2)))</f>
        <v>2</v>
      </c>
    </row>
    <row r="94" customFormat="false" ht="23.85" hidden="false" customHeight="false" outlineLevel="0" collapsed="false">
      <c r="A94" s="10" t="s">
        <v>667</v>
      </c>
      <c r="B94" s="10" t="s">
        <v>30</v>
      </c>
      <c r="C94" s="10" t="s">
        <v>668</v>
      </c>
      <c r="D94" s="10" t="s">
        <v>669</v>
      </c>
      <c r="E94" s="10"/>
      <c r="F94" s="10" t="s">
        <v>670</v>
      </c>
      <c r="G94" s="10" t="s">
        <v>671</v>
      </c>
      <c r="H94" s="10" t="s">
        <v>672</v>
      </c>
      <c r="I94" s="10"/>
      <c r="J94" s="10"/>
      <c r="K94" s="11" t="n">
        <v>3</v>
      </c>
      <c r="L94" s="11" t="n">
        <v>3</v>
      </c>
      <c r="M94" s="11" t="n">
        <v>1</v>
      </c>
      <c r="N94" s="11"/>
      <c r="O94" s="12" t="n">
        <f aca="false">ROUND(K94*L94/M94,1)</f>
        <v>9</v>
      </c>
      <c r="P94" s="13" t="n">
        <f aca="false">IF(N94="Y",1,IF(M94&gt;='Read me'!$B$14,3,IF(AND(O94&gt;='Read me'!$B$12,M94&lt;='Read me'!$B$13),1,2)))</f>
        <v>1</v>
      </c>
    </row>
    <row r="95" customFormat="false" ht="23.85" hidden="false" customHeight="false" outlineLevel="0" collapsed="false">
      <c r="A95" s="10" t="s">
        <v>673</v>
      </c>
      <c r="B95" s="10" t="s">
        <v>31</v>
      </c>
      <c r="C95" s="10" t="s">
        <v>674</v>
      </c>
      <c r="D95" s="10" t="s">
        <v>675</v>
      </c>
      <c r="E95" s="10"/>
      <c r="F95" s="10" t="s">
        <v>87</v>
      </c>
      <c r="G95" s="10" t="s">
        <v>676</v>
      </c>
      <c r="H95" s="10" t="s">
        <v>619</v>
      </c>
      <c r="I95" s="10"/>
      <c r="J95" s="10"/>
      <c r="K95" s="11" t="n">
        <v>4</v>
      </c>
      <c r="L95" s="11" t="n">
        <v>3</v>
      </c>
      <c r="M95" s="11" t="n">
        <v>2</v>
      </c>
      <c r="N95" s="11"/>
      <c r="O95" s="12" t="n">
        <f aca="false">ROUND(K95*L95/M95,1)</f>
        <v>6</v>
      </c>
      <c r="P95" s="13" t="n">
        <f aca="false">IF(N95="Y",1,IF(M95&gt;='Read me'!$B$14,3,IF(AND(O95&gt;='Read me'!$B$12,M95&lt;='Read me'!$B$13),1,2)))</f>
        <v>1</v>
      </c>
    </row>
    <row r="96" customFormat="false" ht="23.85" hidden="false" customHeight="false" outlineLevel="0" collapsed="false">
      <c r="A96" s="10" t="s">
        <v>677</v>
      </c>
      <c r="B96" s="10" t="s">
        <v>31</v>
      </c>
      <c r="C96" s="10" t="s">
        <v>674</v>
      </c>
      <c r="D96" s="10" t="s">
        <v>678</v>
      </c>
      <c r="E96" s="10" t="s">
        <v>679</v>
      </c>
      <c r="F96" s="10" t="s">
        <v>87</v>
      </c>
      <c r="G96" s="10" t="s">
        <v>680</v>
      </c>
      <c r="H96" s="10" t="s">
        <v>652</v>
      </c>
      <c r="I96" s="10" t="s">
        <v>681</v>
      </c>
      <c r="J96" s="10" t="s">
        <v>682</v>
      </c>
      <c r="K96" s="11" t="n">
        <v>2</v>
      </c>
      <c r="L96" s="11" t="n">
        <v>4</v>
      </c>
      <c r="M96" s="11" t="n">
        <v>5</v>
      </c>
      <c r="N96" s="11"/>
      <c r="O96" s="12" t="n">
        <f aca="false">ROUND(K96*L96/M96,1)</f>
        <v>1.6</v>
      </c>
      <c r="P96" s="13" t="n">
        <f aca="false">IF(N96="Y",1,IF(M96&gt;='Read me'!$B$14,3,IF(AND(O96&gt;='Read me'!$B$12,M96&lt;='Read me'!$B$13),1,2)))</f>
        <v>3</v>
      </c>
    </row>
    <row r="97" customFormat="false" ht="23.85" hidden="false" customHeight="false" outlineLevel="0" collapsed="false">
      <c r="A97" s="10" t="s">
        <v>683</v>
      </c>
      <c r="B97" s="10" t="s">
        <v>31</v>
      </c>
      <c r="C97" s="10" t="s">
        <v>684</v>
      </c>
      <c r="D97" s="10" t="s">
        <v>550</v>
      </c>
      <c r="E97" s="10"/>
      <c r="F97" s="10" t="s">
        <v>87</v>
      </c>
      <c r="G97" s="10" t="s">
        <v>685</v>
      </c>
      <c r="H97" s="10" t="s">
        <v>686</v>
      </c>
      <c r="I97" s="10" t="s">
        <v>687</v>
      </c>
      <c r="J97" s="10"/>
      <c r="K97" s="11" t="n">
        <v>2</v>
      </c>
      <c r="L97" s="11" t="n">
        <v>5</v>
      </c>
      <c r="M97" s="11" t="n">
        <v>5</v>
      </c>
      <c r="N97" s="11"/>
      <c r="O97" s="12" t="n">
        <f aca="false">ROUND(K97*L97/M97,1)</f>
        <v>2</v>
      </c>
      <c r="P97" s="13" t="n">
        <f aca="false">IF(N97="Y",1,IF(M97&gt;='Read me'!$B$14,3,IF(AND(O97&gt;='Read me'!$B$12,M97&lt;='Read me'!$B$13),1,2)))</f>
        <v>3</v>
      </c>
    </row>
    <row r="98" customFormat="false" ht="23.85" hidden="false" customHeight="false" outlineLevel="0" collapsed="false">
      <c r="A98" s="10" t="s">
        <v>688</v>
      </c>
      <c r="B98" s="10" t="s">
        <v>31</v>
      </c>
      <c r="C98" s="10" t="s">
        <v>684</v>
      </c>
      <c r="D98" s="10" t="s">
        <v>609</v>
      </c>
      <c r="E98" s="10" t="s">
        <v>689</v>
      </c>
      <c r="F98" s="10" t="s">
        <v>87</v>
      </c>
      <c r="G98" s="10" t="s">
        <v>690</v>
      </c>
      <c r="H98" s="10" t="s">
        <v>691</v>
      </c>
      <c r="I98" s="10" t="s">
        <v>692</v>
      </c>
      <c r="J98" s="10"/>
      <c r="K98" s="11" t="n">
        <v>2</v>
      </c>
      <c r="L98" s="11" t="n">
        <v>5</v>
      </c>
      <c r="M98" s="11" t="n">
        <v>5</v>
      </c>
      <c r="N98" s="11"/>
      <c r="O98" s="12" t="n">
        <f aca="false">ROUND(K98*L98/M98,1)</f>
        <v>2</v>
      </c>
      <c r="P98" s="13" t="n">
        <f aca="false">IF(N98="Y",1,IF(M98&gt;='Read me'!$B$14,3,IF(AND(O98&gt;='Read me'!$B$12,M98&lt;='Read me'!$B$13),1,2)))</f>
        <v>3</v>
      </c>
    </row>
    <row r="99" customFormat="false" ht="23.85" hidden="false" customHeight="false" outlineLevel="0" collapsed="false">
      <c r="A99" s="10" t="s">
        <v>693</v>
      </c>
      <c r="B99" s="10" t="s">
        <v>31</v>
      </c>
      <c r="C99" s="10" t="s">
        <v>694</v>
      </c>
      <c r="D99" s="10" t="s">
        <v>695</v>
      </c>
      <c r="E99" s="10" t="s">
        <v>696</v>
      </c>
      <c r="F99" s="10" t="s">
        <v>87</v>
      </c>
      <c r="G99" s="10" t="s">
        <v>697</v>
      </c>
      <c r="H99" s="10" t="s">
        <v>698</v>
      </c>
      <c r="I99" s="10" t="s">
        <v>699</v>
      </c>
      <c r="J99" s="10"/>
      <c r="K99" s="11" t="n">
        <v>1</v>
      </c>
      <c r="L99" s="11" t="n">
        <v>4</v>
      </c>
      <c r="M99" s="11" t="n">
        <v>5</v>
      </c>
      <c r="N99" s="11"/>
      <c r="O99" s="12" t="n">
        <f aca="false">ROUND(K99*L99/M99,1)</f>
        <v>0.8</v>
      </c>
      <c r="P99" s="13" t="n">
        <f aca="false">IF(N99="Y",1,IF(M99&gt;='Read me'!$B$14,3,IF(AND(O99&gt;='Read me'!$B$12,M99&lt;='Read me'!$B$13),1,2)))</f>
        <v>3</v>
      </c>
    </row>
    <row r="100" customFormat="false" ht="23.85" hidden="false" customHeight="false" outlineLevel="0" collapsed="false">
      <c r="A100" s="10" t="s">
        <v>700</v>
      </c>
      <c r="B100" s="10" t="s">
        <v>31</v>
      </c>
      <c r="C100" s="10" t="s">
        <v>694</v>
      </c>
      <c r="D100" s="10" t="s">
        <v>701</v>
      </c>
      <c r="E100" s="10" t="s">
        <v>702</v>
      </c>
      <c r="F100" s="10" t="s">
        <v>87</v>
      </c>
      <c r="G100" s="10" t="s">
        <v>703</v>
      </c>
      <c r="H100" s="10" t="s">
        <v>644</v>
      </c>
      <c r="I100" s="10"/>
      <c r="J100" s="10"/>
      <c r="K100" s="11" t="n">
        <v>1</v>
      </c>
      <c r="L100" s="11" t="n">
        <v>3</v>
      </c>
      <c r="M100" s="11" t="n">
        <v>5</v>
      </c>
      <c r="N100" s="11"/>
      <c r="O100" s="12" t="n">
        <f aca="false">ROUND(K100*L100/M100,1)</f>
        <v>0.6</v>
      </c>
      <c r="P100" s="13" t="n">
        <f aca="false">IF(N100="Y",1,IF(M100&gt;='Read me'!$B$14,3,IF(AND(O100&gt;='Read me'!$B$12,M100&lt;='Read me'!$B$13),1,2)))</f>
        <v>3</v>
      </c>
    </row>
    <row r="101" customFormat="false" ht="23.85" hidden="false" customHeight="false" outlineLevel="0" collapsed="false">
      <c r="A101" s="10" t="s">
        <v>704</v>
      </c>
      <c r="B101" s="10" t="s">
        <v>31</v>
      </c>
      <c r="C101" s="10" t="s">
        <v>705</v>
      </c>
      <c r="D101" s="10" t="s">
        <v>706</v>
      </c>
      <c r="E101" s="10"/>
      <c r="F101" s="10" t="s">
        <v>707</v>
      </c>
      <c r="G101" s="10" t="s">
        <v>708</v>
      </c>
      <c r="H101" s="10" t="s">
        <v>709</v>
      </c>
      <c r="I101" s="10" t="s">
        <v>710</v>
      </c>
      <c r="J101" s="10" t="s">
        <v>711</v>
      </c>
      <c r="K101" s="11" t="n">
        <v>2</v>
      </c>
      <c r="L101" s="11" t="n">
        <v>4</v>
      </c>
      <c r="M101" s="11" t="n">
        <v>4</v>
      </c>
      <c r="N101" s="11"/>
      <c r="O101" s="12" t="n">
        <f aca="false">ROUND(K101*L101/M101,1)</f>
        <v>2</v>
      </c>
      <c r="P101" s="13" t="n">
        <f aca="false">IF(N101="Y",1,IF(M101&gt;='Read me'!$B$14,3,IF(AND(O101&gt;='Read me'!$B$12,M101&lt;='Read me'!$B$13),1,2)))</f>
        <v>3</v>
      </c>
    </row>
    <row r="102" customFormat="false" ht="23.85" hidden="false" customHeight="false" outlineLevel="0" collapsed="false">
      <c r="A102" s="10" t="s">
        <v>712</v>
      </c>
      <c r="B102" s="10" t="s">
        <v>31</v>
      </c>
      <c r="C102" s="10" t="s">
        <v>713</v>
      </c>
      <c r="D102" s="10" t="s">
        <v>714</v>
      </c>
      <c r="E102" s="10" t="s">
        <v>715</v>
      </c>
      <c r="F102" s="10" t="s">
        <v>87</v>
      </c>
      <c r="G102" s="10" t="s">
        <v>716</v>
      </c>
      <c r="H102" s="10" t="s">
        <v>591</v>
      </c>
      <c r="I102" s="10" t="s">
        <v>717</v>
      </c>
      <c r="J102" s="10"/>
      <c r="K102" s="11" t="n">
        <v>2</v>
      </c>
      <c r="L102" s="11" t="n">
        <v>4</v>
      </c>
      <c r="M102" s="11" t="n">
        <v>4</v>
      </c>
      <c r="N102" s="11"/>
      <c r="O102" s="12" t="n">
        <f aca="false">ROUND(K102*L102/M102,1)</f>
        <v>2</v>
      </c>
      <c r="P102" s="13" t="n">
        <f aca="false">IF(N102="Y",1,IF(M102&gt;='Read me'!$B$14,3,IF(AND(O102&gt;='Read me'!$B$12,M102&lt;='Read me'!$B$13),1,2)))</f>
        <v>3</v>
      </c>
    </row>
    <row r="103" customFormat="false" ht="23.85" hidden="false" customHeight="false" outlineLevel="0" collapsed="false">
      <c r="A103" s="10" t="s">
        <v>718</v>
      </c>
      <c r="B103" s="10" t="s">
        <v>31</v>
      </c>
      <c r="C103" s="10" t="s">
        <v>719</v>
      </c>
      <c r="D103" s="10" t="s">
        <v>720</v>
      </c>
      <c r="E103" s="10"/>
      <c r="F103" s="10" t="s">
        <v>721</v>
      </c>
      <c r="G103" s="10" t="s">
        <v>722</v>
      </c>
      <c r="H103" s="10" t="s">
        <v>723</v>
      </c>
      <c r="I103" s="10" t="s">
        <v>724</v>
      </c>
      <c r="J103" s="10"/>
      <c r="K103" s="11" t="n">
        <v>2</v>
      </c>
      <c r="L103" s="11" t="n">
        <v>4</v>
      </c>
      <c r="M103" s="11" t="n">
        <v>2</v>
      </c>
      <c r="N103" s="11"/>
      <c r="O103" s="12" t="n">
        <f aca="false">ROUND(K103*L103/M103,1)</f>
        <v>4</v>
      </c>
      <c r="P103" s="13" t="n">
        <f aca="false">IF(N103="Y",1,IF(M103&gt;='Read me'!$B$14,3,IF(AND(O103&gt;='Read me'!$B$12,M103&lt;='Read me'!$B$13),1,2)))</f>
        <v>2</v>
      </c>
    </row>
    <row r="104" customFormat="false" ht="23.85" hidden="false" customHeight="false" outlineLevel="0" collapsed="false">
      <c r="A104" s="10" t="s">
        <v>725</v>
      </c>
      <c r="B104" s="10" t="s">
        <v>31</v>
      </c>
      <c r="C104" s="10" t="s">
        <v>726</v>
      </c>
      <c r="D104" s="10" t="s">
        <v>727</v>
      </c>
      <c r="E104" s="10" t="s">
        <v>728</v>
      </c>
      <c r="F104" s="10" t="s">
        <v>87</v>
      </c>
      <c r="G104" s="10" t="s">
        <v>729</v>
      </c>
      <c r="H104" s="10" t="s">
        <v>275</v>
      </c>
      <c r="I104" s="10"/>
      <c r="J104" s="10"/>
      <c r="K104" s="11" t="n">
        <v>1</v>
      </c>
      <c r="L104" s="11" t="n">
        <v>3</v>
      </c>
      <c r="M104" s="11" t="n">
        <v>5</v>
      </c>
      <c r="N104" s="11"/>
      <c r="O104" s="12" t="n">
        <f aca="false">ROUND(K104*L104/M104,1)</f>
        <v>0.6</v>
      </c>
      <c r="P104" s="13" t="n">
        <f aca="false">IF(N104="Y",1,IF(M104&gt;='Read me'!$B$14,3,IF(AND(O104&gt;='Read me'!$B$12,M104&lt;='Read me'!$B$13),1,2)))</f>
        <v>3</v>
      </c>
    </row>
    <row r="105" customFormat="false" ht="23.85" hidden="false" customHeight="false" outlineLevel="0" collapsed="false">
      <c r="A105" s="10" t="s">
        <v>730</v>
      </c>
      <c r="B105" s="10" t="s">
        <v>31</v>
      </c>
      <c r="C105" s="10" t="s">
        <v>731</v>
      </c>
      <c r="D105" s="10" t="s">
        <v>732</v>
      </c>
      <c r="E105" s="10" t="s">
        <v>733</v>
      </c>
      <c r="F105" s="10" t="s">
        <v>734</v>
      </c>
      <c r="G105" s="10" t="s">
        <v>735</v>
      </c>
      <c r="H105" s="10" t="s">
        <v>275</v>
      </c>
      <c r="I105" s="10" t="s">
        <v>736</v>
      </c>
      <c r="J105" s="10" t="s">
        <v>737</v>
      </c>
      <c r="K105" s="11" t="n">
        <v>1</v>
      </c>
      <c r="L105" s="11" t="n">
        <v>3</v>
      </c>
      <c r="M105" s="11" t="n">
        <v>4</v>
      </c>
      <c r="N105" s="11"/>
      <c r="O105" s="12" t="n">
        <f aca="false">ROUND(K105*L105/M105,1)</f>
        <v>0.8</v>
      </c>
      <c r="P105" s="13" t="n">
        <f aca="false">IF(N105="Y",1,IF(M105&gt;='Read me'!$B$14,3,IF(AND(O105&gt;='Read me'!$B$12,M105&lt;='Read me'!$B$13),1,2)))</f>
        <v>3</v>
      </c>
    </row>
    <row r="106" customFormat="false" ht="23.85" hidden="false" customHeight="false" outlineLevel="0" collapsed="false">
      <c r="A106" s="10" t="s">
        <v>738</v>
      </c>
      <c r="B106" s="10" t="s">
        <v>32</v>
      </c>
      <c r="C106" s="10" t="s">
        <v>739</v>
      </c>
      <c r="D106" s="10" t="s">
        <v>740</v>
      </c>
      <c r="E106" s="10"/>
      <c r="F106" s="10" t="s">
        <v>741</v>
      </c>
      <c r="G106" s="10" t="s">
        <v>742</v>
      </c>
      <c r="H106" s="10" t="s">
        <v>743</v>
      </c>
      <c r="I106" s="10" t="s">
        <v>744</v>
      </c>
      <c r="J106" s="10"/>
      <c r="K106" s="11" t="n">
        <v>4</v>
      </c>
      <c r="L106" s="11" t="n">
        <v>3</v>
      </c>
      <c r="M106" s="11" t="n">
        <v>1</v>
      </c>
      <c r="N106" s="11"/>
      <c r="O106" s="12" t="n">
        <f aca="false">ROUND(K106*L106/M106,1)</f>
        <v>12</v>
      </c>
      <c r="P106" s="13" t="n">
        <f aca="false">IF(N106="Y",1,IF(M106&gt;='Read me'!$B$14,3,IF(AND(O106&gt;='Read me'!$B$12,M106&lt;='Read me'!$B$13),1,2)))</f>
        <v>1</v>
      </c>
    </row>
    <row r="107" customFormat="false" ht="23.85" hidden="false" customHeight="false" outlineLevel="0" collapsed="false">
      <c r="A107" s="10" t="s">
        <v>745</v>
      </c>
      <c r="B107" s="10" t="s">
        <v>32</v>
      </c>
      <c r="C107" s="10" t="s">
        <v>746</v>
      </c>
      <c r="D107" s="10" t="s">
        <v>747</v>
      </c>
      <c r="E107" s="10"/>
      <c r="F107" s="10" t="s">
        <v>748</v>
      </c>
      <c r="G107" s="10" t="s">
        <v>749</v>
      </c>
      <c r="H107" s="10" t="s">
        <v>750</v>
      </c>
      <c r="I107" s="10" t="s">
        <v>751</v>
      </c>
      <c r="J107" s="10"/>
      <c r="K107" s="11" t="n">
        <v>3</v>
      </c>
      <c r="L107" s="11" t="n">
        <v>3</v>
      </c>
      <c r="M107" s="11" t="n">
        <v>3</v>
      </c>
      <c r="N107" s="11"/>
      <c r="O107" s="12" t="n">
        <f aca="false">ROUND(K107*L107/M107,1)</f>
        <v>3</v>
      </c>
      <c r="P107" s="13" t="n">
        <f aca="false">IF(N107="Y",1,IF(M107&gt;='Read me'!$B$14,3,IF(AND(O107&gt;='Read me'!$B$12,M107&lt;='Read me'!$B$13),1,2)))</f>
        <v>2</v>
      </c>
    </row>
    <row r="108" customFormat="false" ht="23.85" hidden="false" customHeight="false" outlineLevel="0" collapsed="false">
      <c r="A108" s="10" t="s">
        <v>752</v>
      </c>
      <c r="B108" s="10" t="s">
        <v>32</v>
      </c>
      <c r="C108" s="10" t="s">
        <v>753</v>
      </c>
      <c r="D108" s="10" t="s">
        <v>754</v>
      </c>
      <c r="E108" s="10"/>
      <c r="F108" s="10" t="s">
        <v>755</v>
      </c>
      <c r="G108" s="10" t="s">
        <v>756</v>
      </c>
      <c r="H108" s="10" t="s">
        <v>757</v>
      </c>
      <c r="I108" s="10" t="s">
        <v>758</v>
      </c>
      <c r="J108" s="10"/>
      <c r="K108" s="11" t="n">
        <v>3</v>
      </c>
      <c r="L108" s="11" t="n">
        <v>2</v>
      </c>
      <c r="M108" s="11" t="n">
        <v>1</v>
      </c>
      <c r="N108" s="11"/>
      <c r="O108" s="12" t="n">
        <f aca="false">ROUND(K108*L108/M108,1)</f>
        <v>6</v>
      </c>
      <c r="P108" s="13" t="n">
        <f aca="false">IF(N108="Y",1,IF(M108&gt;='Read me'!$B$14,3,IF(AND(O108&gt;='Read me'!$B$12,M108&lt;='Read me'!$B$13),1,2)))</f>
        <v>1</v>
      </c>
    </row>
    <row r="109" customFormat="false" ht="23.85" hidden="false" customHeight="false" outlineLevel="0" collapsed="false">
      <c r="A109" s="10" t="s">
        <v>759</v>
      </c>
      <c r="B109" s="10" t="s">
        <v>32</v>
      </c>
      <c r="C109" s="10" t="s">
        <v>760</v>
      </c>
      <c r="D109" s="10" t="s">
        <v>761</v>
      </c>
      <c r="E109" s="10"/>
      <c r="F109" s="10" t="s">
        <v>762</v>
      </c>
      <c r="G109" s="10" t="s">
        <v>763</v>
      </c>
      <c r="H109" s="10" t="s">
        <v>764</v>
      </c>
      <c r="I109" s="10"/>
      <c r="J109" s="10"/>
      <c r="K109" s="11" t="n">
        <v>2</v>
      </c>
      <c r="L109" s="11" t="n">
        <v>4</v>
      </c>
      <c r="M109" s="11" t="n">
        <v>1</v>
      </c>
      <c r="N109" s="11"/>
      <c r="O109" s="12" t="n">
        <f aca="false">ROUND(K109*L109/M109,1)</f>
        <v>8</v>
      </c>
      <c r="P109" s="13" t="n">
        <f aca="false">IF(N109="Y",1,IF(M109&gt;='Read me'!$B$14,3,IF(AND(O109&gt;='Read me'!$B$12,M109&lt;='Read me'!$B$13),1,2)))</f>
        <v>1</v>
      </c>
    </row>
    <row r="110" customFormat="false" ht="23.85" hidden="false" customHeight="false" outlineLevel="0" collapsed="false">
      <c r="A110" s="10" t="s">
        <v>765</v>
      </c>
      <c r="B110" s="10" t="s">
        <v>32</v>
      </c>
      <c r="C110" s="10" t="s">
        <v>766</v>
      </c>
      <c r="D110" s="10" t="s">
        <v>767</v>
      </c>
      <c r="E110" s="10"/>
      <c r="F110" s="10" t="s">
        <v>768</v>
      </c>
      <c r="G110" s="10" t="s">
        <v>769</v>
      </c>
      <c r="H110" s="10" t="s">
        <v>770</v>
      </c>
      <c r="I110" s="10" t="s">
        <v>771</v>
      </c>
      <c r="J110" s="10" t="s">
        <v>772</v>
      </c>
      <c r="K110" s="11" t="n">
        <v>1</v>
      </c>
      <c r="L110" s="11" t="n">
        <v>3</v>
      </c>
      <c r="M110" s="11" t="n">
        <v>4</v>
      </c>
      <c r="N110" s="11"/>
      <c r="O110" s="12" t="n">
        <f aca="false">ROUND(K110*L110/M110,1)</f>
        <v>0.8</v>
      </c>
      <c r="P110" s="13" t="n">
        <f aca="false">IF(N110="Y",1,IF(M110&gt;='Read me'!$B$14,3,IF(AND(O110&gt;='Read me'!$B$12,M110&lt;='Read me'!$B$13),1,2)))</f>
        <v>3</v>
      </c>
    </row>
    <row r="111" customFormat="false" ht="23.85" hidden="false" customHeight="false" outlineLevel="0" collapsed="false">
      <c r="A111" s="10" t="s">
        <v>773</v>
      </c>
      <c r="B111" s="10" t="s">
        <v>32</v>
      </c>
      <c r="C111" s="10" t="s">
        <v>774</v>
      </c>
      <c r="D111" s="10" t="s">
        <v>775</v>
      </c>
      <c r="E111" s="10"/>
      <c r="F111" s="10" t="s">
        <v>776</v>
      </c>
      <c r="G111" s="10" t="s">
        <v>777</v>
      </c>
      <c r="H111" s="10" t="s">
        <v>723</v>
      </c>
      <c r="I111" s="10"/>
      <c r="J111" s="10" t="s">
        <v>778</v>
      </c>
      <c r="K111" s="11" t="n">
        <v>3</v>
      </c>
      <c r="L111" s="11" t="n">
        <v>2</v>
      </c>
      <c r="M111" s="11" t="n">
        <v>1</v>
      </c>
      <c r="N111" s="11"/>
      <c r="O111" s="12" t="n">
        <f aca="false">ROUND(K111*L111/M111,1)</f>
        <v>6</v>
      </c>
      <c r="P111" s="13" t="n">
        <f aca="false">IF(N111="Y",1,IF(M111&gt;='Read me'!$B$14,3,IF(AND(O111&gt;='Read me'!$B$12,M111&lt;='Read me'!$B$13),1,2)))</f>
        <v>1</v>
      </c>
    </row>
    <row r="112" customFormat="false" ht="23.85" hidden="false" customHeight="false" outlineLevel="0" collapsed="false">
      <c r="A112" s="10" t="s">
        <v>779</v>
      </c>
      <c r="B112" s="10" t="s">
        <v>33</v>
      </c>
      <c r="C112" s="10" t="s">
        <v>780</v>
      </c>
      <c r="D112" s="10" t="s">
        <v>781</v>
      </c>
      <c r="E112" s="10"/>
      <c r="F112" s="10" t="s">
        <v>782</v>
      </c>
      <c r="G112" s="10" t="s">
        <v>783</v>
      </c>
      <c r="H112" s="10" t="s">
        <v>784</v>
      </c>
      <c r="I112" s="10" t="s">
        <v>189</v>
      </c>
      <c r="J112" s="10"/>
      <c r="K112" s="11" t="n">
        <v>5</v>
      </c>
      <c r="L112" s="11" t="n">
        <v>4</v>
      </c>
      <c r="M112" s="11" t="n">
        <v>1</v>
      </c>
      <c r="N112" s="11"/>
      <c r="O112" s="12" t="n">
        <f aca="false">ROUND(K112*L112/M112,1)</f>
        <v>20</v>
      </c>
      <c r="P112" s="13" t="n">
        <f aca="false">IF(N112="Y",1,IF(M112&gt;='Read me'!$B$14,3,IF(AND(O112&gt;='Read me'!$B$12,M112&lt;='Read me'!$B$13),1,2)))</f>
        <v>1</v>
      </c>
    </row>
    <row r="113" customFormat="false" ht="23.85" hidden="false" customHeight="false" outlineLevel="0" collapsed="false">
      <c r="A113" s="10" t="s">
        <v>785</v>
      </c>
      <c r="B113" s="10" t="s">
        <v>33</v>
      </c>
      <c r="C113" s="10" t="s">
        <v>786</v>
      </c>
      <c r="D113" s="10" t="s">
        <v>787</v>
      </c>
      <c r="E113" s="10"/>
      <c r="F113" s="10" t="s">
        <v>788</v>
      </c>
      <c r="G113" s="10" t="s">
        <v>789</v>
      </c>
      <c r="H113" s="10" t="s">
        <v>790</v>
      </c>
      <c r="I113" s="10" t="s">
        <v>791</v>
      </c>
      <c r="J113" s="10" t="s">
        <v>792</v>
      </c>
      <c r="K113" s="11" t="n">
        <v>3</v>
      </c>
      <c r="L113" s="11" t="n">
        <v>4</v>
      </c>
      <c r="M113" s="11" t="n">
        <v>3</v>
      </c>
      <c r="N113" s="11"/>
      <c r="O113" s="12" t="n">
        <f aca="false">ROUND(K113*L113/M113,1)</f>
        <v>4</v>
      </c>
      <c r="P113" s="13" t="n">
        <f aca="false">IF(N113="Y",1,IF(M113&gt;='Read me'!$B$14,3,IF(AND(O113&gt;='Read me'!$B$12,M113&lt;='Read me'!$B$13),1,2)))</f>
        <v>2</v>
      </c>
    </row>
    <row r="114" customFormat="false" ht="23.85" hidden="false" customHeight="false" outlineLevel="0" collapsed="false">
      <c r="A114" s="10" t="s">
        <v>793</v>
      </c>
      <c r="B114" s="10" t="s">
        <v>33</v>
      </c>
      <c r="C114" s="10" t="s">
        <v>794</v>
      </c>
      <c r="D114" s="10" t="s">
        <v>795</v>
      </c>
      <c r="E114" s="10"/>
      <c r="F114" s="10" t="s">
        <v>796</v>
      </c>
      <c r="G114" s="10" t="s">
        <v>797</v>
      </c>
      <c r="H114" s="10" t="s">
        <v>798</v>
      </c>
      <c r="I114" s="10"/>
      <c r="J114" s="10"/>
      <c r="K114" s="11" t="n">
        <v>3</v>
      </c>
      <c r="L114" s="11" t="n">
        <v>3</v>
      </c>
      <c r="M114" s="11" t="n">
        <v>1</v>
      </c>
      <c r="N114" s="11"/>
      <c r="O114" s="12" t="n">
        <f aca="false">ROUND(K114*L114/M114,1)</f>
        <v>9</v>
      </c>
      <c r="P114" s="13" t="n">
        <f aca="false">IF(N114="Y",1,IF(M114&gt;='Read me'!$B$14,3,IF(AND(O114&gt;='Read me'!$B$12,M114&lt;='Read me'!$B$13),1,2)))</f>
        <v>1</v>
      </c>
    </row>
    <row r="115" customFormat="false" ht="23.85" hidden="false" customHeight="false" outlineLevel="0" collapsed="false">
      <c r="A115" s="10" t="s">
        <v>799</v>
      </c>
      <c r="B115" s="10" t="s">
        <v>33</v>
      </c>
      <c r="C115" s="10" t="s">
        <v>800</v>
      </c>
      <c r="D115" s="10" t="s">
        <v>781</v>
      </c>
      <c r="E115" s="10"/>
      <c r="F115" s="10" t="s">
        <v>87</v>
      </c>
      <c r="G115" s="10" t="s">
        <v>801</v>
      </c>
      <c r="H115" s="10" t="s">
        <v>802</v>
      </c>
      <c r="I115" s="10" t="s">
        <v>803</v>
      </c>
      <c r="J115" s="10"/>
      <c r="K115" s="11" t="n">
        <v>3</v>
      </c>
      <c r="L115" s="11" t="n">
        <v>4</v>
      </c>
      <c r="M115" s="11" t="n">
        <v>2</v>
      </c>
      <c r="N115" s="11"/>
      <c r="O115" s="12" t="n">
        <f aca="false">ROUND(K115*L115/M115,1)</f>
        <v>6</v>
      </c>
      <c r="P115" s="13" t="n">
        <f aca="false">IF(N115="Y",1,IF(M115&gt;='Read me'!$B$14,3,IF(AND(O115&gt;='Read me'!$B$12,M115&lt;='Read me'!$B$13),1,2)))</f>
        <v>1</v>
      </c>
    </row>
    <row r="116" customFormat="false" ht="23.85" hidden="false" customHeight="false" outlineLevel="0" collapsed="false">
      <c r="A116" s="10" t="s">
        <v>804</v>
      </c>
      <c r="B116" s="10" t="s">
        <v>33</v>
      </c>
      <c r="C116" s="10" t="s">
        <v>805</v>
      </c>
      <c r="D116" s="10" t="s">
        <v>806</v>
      </c>
      <c r="E116" s="10"/>
      <c r="F116" s="10" t="s">
        <v>807</v>
      </c>
      <c r="G116" s="10" t="s">
        <v>808</v>
      </c>
      <c r="H116" s="10" t="s">
        <v>809</v>
      </c>
      <c r="I116" s="10" t="s">
        <v>810</v>
      </c>
      <c r="J116" s="10"/>
      <c r="K116" s="11" t="n">
        <v>4</v>
      </c>
      <c r="L116" s="11" t="n">
        <v>4</v>
      </c>
      <c r="M116" s="11" t="n">
        <v>1</v>
      </c>
      <c r="N116" s="11"/>
      <c r="O116" s="12" t="n">
        <f aca="false">ROUND(K116*L116/M116,1)</f>
        <v>16</v>
      </c>
      <c r="P116" s="13" t="n">
        <f aca="false">IF(N116="Y",1,IF(M116&gt;='Read me'!$B$14,3,IF(AND(O116&gt;='Read me'!$B$12,M116&lt;='Read me'!$B$13),1,2)))</f>
        <v>1</v>
      </c>
    </row>
    <row r="117" customFormat="false" ht="23.85" hidden="false" customHeight="false" outlineLevel="0" collapsed="false">
      <c r="A117" s="10" t="s">
        <v>811</v>
      </c>
      <c r="B117" s="10" t="s">
        <v>33</v>
      </c>
      <c r="C117" s="10" t="s">
        <v>812</v>
      </c>
      <c r="D117" s="10" t="s">
        <v>813</v>
      </c>
      <c r="E117" s="10"/>
      <c r="F117" s="10" t="s">
        <v>814</v>
      </c>
      <c r="G117" s="10" t="s">
        <v>815</v>
      </c>
      <c r="H117" s="10" t="s">
        <v>816</v>
      </c>
      <c r="I117" s="10" t="s">
        <v>817</v>
      </c>
      <c r="J117" s="10" t="s">
        <v>818</v>
      </c>
      <c r="K117" s="11" t="n">
        <v>4</v>
      </c>
      <c r="L117" s="11" t="n">
        <v>3</v>
      </c>
      <c r="M117" s="11" t="n">
        <v>2</v>
      </c>
      <c r="N117" s="11"/>
      <c r="O117" s="12" t="n">
        <f aca="false">ROUND(K117*L117/M117,1)</f>
        <v>6</v>
      </c>
      <c r="P117" s="13" t="n">
        <f aca="false">IF(N117="Y",1,IF(M117&gt;='Read me'!$B$14,3,IF(AND(O117&gt;='Read me'!$B$12,M117&lt;='Read me'!$B$13),1,2)))</f>
        <v>1</v>
      </c>
    </row>
    <row r="118" customFormat="false" ht="23.85" hidden="false" customHeight="false" outlineLevel="0" collapsed="false">
      <c r="A118" s="10" t="s">
        <v>819</v>
      </c>
      <c r="B118" s="10" t="s">
        <v>33</v>
      </c>
      <c r="C118" s="10" t="s">
        <v>820</v>
      </c>
      <c r="D118" s="10" t="s">
        <v>821</v>
      </c>
      <c r="E118" s="10"/>
      <c r="F118" s="10" t="s">
        <v>822</v>
      </c>
      <c r="G118" s="10" t="s">
        <v>823</v>
      </c>
      <c r="H118" s="10" t="s">
        <v>824</v>
      </c>
      <c r="I118" s="10" t="s">
        <v>825</v>
      </c>
      <c r="J118" s="10"/>
      <c r="K118" s="11" t="n">
        <v>1</v>
      </c>
      <c r="L118" s="11" t="n">
        <v>3</v>
      </c>
      <c r="M118" s="11" t="n">
        <v>4</v>
      </c>
      <c r="N118" s="11"/>
      <c r="O118" s="12" t="n">
        <f aca="false">ROUND(K118*L118/M118,1)</f>
        <v>0.8</v>
      </c>
      <c r="P118" s="13" t="n">
        <f aca="false">IF(N118="Y",1,IF(M118&gt;='Read me'!$B$14,3,IF(AND(O118&gt;='Read me'!$B$12,M118&lt;='Read me'!$B$13),1,2)))</f>
        <v>3</v>
      </c>
    </row>
    <row r="119" customFormat="false" ht="23.85" hidden="false" customHeight="false" outlineLevel="0" collapsed="false">
      <c r="A119" s="10" t="s">
        <v>826</v>
      </c>
      <c r="B119" s="10" t="s">
        <v>33</v>
      </c>
      <c r="C119" s="10" t="s">
        <v>827</v>
      </c>
      <c r="D119" s="10" t="s">
        <v>828</v>
      </c>
      <c r="E119" s="10"/>
      <c r="F119" s="10" t="s">
        <v>829</v>
      </c>
      <c r="G119" s="10" t="s">
        <v>830</v>
      </c>
      <c r="H119" s="10" t="s">
        <v>831</v>
      </c>
      <c r="I119" s="10" t="s">
        <v>832</v>
      </c>
      <c r="J119" s="10"/>
      <c r="K119" s="11" t="n">
        <v>2</v>
      </c>
      <c r="L119" s="11" t="n">
        <v>3</v>
      </c>
      <c r="M119" s="11" t="n">
        <v>3</v>
      </c>
      <c r="N119" s="11"/>
      <c r="O119" s="12" t="n">
        <f aca="false">ROUND(K119*L119/M119,1)</f>
        <v>2</v>
      </c>
      <c r="P119" s="13" t="n">
        <f aca="false">IF(N119="Y",1,IF(M119&gt;='Read me'!$B$14,3,IF(AND(O119&gt;='Read me'!$B$12,M119&lt;='Read me'!$B$13),1,2)))</f>
        <v>2</v>
      </c>
    </row>
  </sheetData>
  <autoFilter ref="A1:P119"/>
  <conditionalFormatting sqref="P2:P119">
    <cfRule type="cellIs" priority="2" operator="equal" aboveAverage="0" equalAverage="0" bottom="0" percent="0" rank="0" text="" dxfId="6">
      <formula>1</formula>
    </cfRule>
    <cfRule type="cellIs" priority="3" operator="equal" aboveAverage="0" equalAverage="0" bottom="0" percent="0" rank="0" text="" dxfId="7">
      <formula>3</formula>
    </cfRule>
  </conditionalFormatting>
  <dataValidations count="1">
    <dataValidation allowBlank="false" error="Use 1 to 5" errorStyle="stop" operator="between" showDropDown="false" showErrorMessage="true" showInputMessage="false" sqref="K2:M319" type="whole">
      <formula1>1</formula1>
      <formula2>5</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1"/>
    <col collapsed="false" customWidth="true" hidden="false" outlineLevel="0" max="4" min="3" style="0" width="26"/>
    <col collapsed="false" customWidth="true" hidden="false" outlineLevel="0" max="5" min="5" style="0" width="18"/>
    <col collapsed="false" customWidth="true" hidden="false" outlineLevel="0" max="7" min="6" style="0" width="24"/>
    <col collapsed="false" customWidth="true" hidden="false" outlineLevel="0" max="8" min="8" style="0" width="26"/>
    <col collapsed="false" customWidth="true" hidden="false" outlineLevel="0" max="9" min="9" style="0" width="10"/>
    <col collapsed="false" customWidth="true" hidden="false" outlineLevel="0" max="10" min="10" style="0" width="30"/>
    <col collapsed="false" customWidth="true" hidden="false" outlineLevel="0" max="11" min="11" style="0" width="28"/>
  </cols>
  <sheetData>
    <row r="1" customFormat="false" ht="31.5" hidden="false" customHeight="true" outlineLevel="0" collapsed="false">
      <c r="A1" s="9" t="s">
        <v>833</v>
      </c>
      <c r="B1" s="9" t="s">
        <v>834</v>
      </c>
      <c r="C1" s="9" t="s">
        <v>835</v>
      </c>
      <c r="D1" s="9" t="s">
        <v>836</v>
      </c>
      <c r="E1" s="9" t="s">
        <v>837</v>
      </c>
      <c r="F1" s="9" t="s">
        <v>838</v>
      </c>
      <c r="G1" s="9" t="s">
        <v>839</v>
      </c>
      <c r="H1" s="9" t="s">
        <v>840</v>
      </c>
      <c r="I1" s="9" t="s">
        <v>841</v>
      </c>
      <c r="J1" s="9" t="s">
        <v>842</v>
      </c>
      <c r="K1" s="9" t="s">
        <v>843</v>
      </c>
    </row>
    <row r="2" customFormat="false" ht="23.85" hidden="false" customHeight="false" outlineLevel="0" collapsed="false">
      <c r="A2" s="10" t="s">
        <v>844</v>
      </c>
      <c r="B2" s="10" t="s">
        <v>845</v>
      </c>
      <c r="C2" s="10" t="s">
        <v>846</v>
      </c>
      <c r="D2" s="10" t="s">
        <v>847</v>
      </c>
      <c r="E2" s="10" t="s">
        <v>848</v>
      </c>
      <c r="F2" s="10" t="s">
        <v>849</v>
      </c>
      <c r="G2" s="10" t="s">
        <v>850</v>
      </c>
      <c r="H2" s="10" t="s">
        <v>851</v>
      </c>
      <c r="I2" s="10" t="s">
        <v>852</v>
      </c>
      <c r="J2" s="10" t="s">
        <v>853</v>
      </c>
      <c r="K2" s="10" t="s">
        <v>854</v>
      </c>
    </row>
    <row r="3" customFormat="false" ht="23.85" hidden="false" customHeight="false" outlineLevel="0" collapsed="false">
      <c r="A3" s="10" t="s">
        <v>855</v>
      </c>
      <c r="B3" s="10" t="s">
        <v>856</v>
      </c>
      <c r="C3" s="10" t="s">
        <v>857</v>
      </c>
      <c r="D3" s="10" t="s">
        <v>858</v>
      </c>
      <c r="E3" s="10" t="s">
        <v>859</v>
      </c>
      <c r="F3" s="10" t="s">
        <v>860</v>
      </c>
      <c r="G3" s="10" t="s">
        <v>861</v>
      </c>
      <c r="H3" s="10" t="s">
        <v>862</v>
      </c>
      <c r="I3" s="10" t="s">
        <v>852</v>
      </c>
      <c r="J3" s="10" t="s">
        <v>863</v>
      </c>
      <c r="K3" s="10" t="s">
        <v>864</v>
      </c>
    </row>
    <row r="4" customFormat="false" ht="23.85" hidden="false" customHeight="false" outlineLevel="0" collapsed="false">
      <c r="A4" s="10" t="s">
        <v>865</v>
      </c>
      <c r="B4" s="10" t="s">
        <v>866</v>
      </c>
      <c r="C4" s="10" t="s">
        <v>867</v>
      </c>
      <c r="D4" s="10" t="s">
        <v>868</v>
      </c>
      <c r="E4" s="10" t="s">
        <v>869</v>
      </c>
      <c r="F4" s="10" t="s">
        <v>870</v>
      </c>
      <c r="G4" s="10" t="s">
        <v>871</v>
      </c>
      <c r="H4" s="10" t="s">
        <v>872</v>
      </c>
      <c r="I4" s="10" t="s">
        <v>873</v>
      </c>
      <c r="J4" s="10" t="s">
        <v>874</v>
      </c>
      <c r="K4" s="10" t="s">
        <v>875</v>
      </c>
    </row>
    <row r="5" customFormat="false" ht="23.85" hidden="false" customHeight="false" outlineLevel="0" collapsed="false">
      <c r="A5" s="10" t="s">
        <v>876</v>
      </c>
      <c r="B5" s="10" t="s">
        <v>877</v>
      </c>
      <c r="C5" s="10" t="s">
        <v>878</v>
      </c>
      <c r="D5" s="10" t="s">
        <v>847</v>
      </c>
      <c r="E5" s="10" t="s">
        <v>859</v>
      </c>
      <c r="F5" s="10" t="s">
        <v>879</v>
      </c>
      <c r="G5" s="10" t="s">
        <v>880</v>
      </c>
      <c r="H5" s="10" t="s">
        <v>881</v>
      </c>
      <c r="I5" s="10" t="s">
        <v>852</v>
      </c>
      <c r="J5" s="10" t="s">
        <v>882</v>
      </c>
      <c r="K5" s="10" t="s">
        <v>883</v>
      </c>
    </row>
    <row r="6" customFormat="false" ht="23.85" hidden="false" customHeight="false" outlineLevel="0" collapsed="false">
      <c r="A6" s="10" t="s">
        <v>884</v>
      </c>
      <c r="B6" s="10" t="s">
        <v>885</v>
      </c>
      <c r="C6" s="10" t="s">
        <v>886</v>
      </c>
      <c r="D6" s="10" t="s">
        <v>847</v>
      </c>
      <c r="E6" s="10" t="s">
        <v>887</v>
      </c>
      <c r="F6" s="10" t="s">
        <v>888</v>
      </c>
      <c r="G6" s="10" t="s">
        <v>889</v>
      </c>
      <c r="H6" s="10" t="s">
        <v>890</v>
      </c>
      <c r="I6" s="10" t="s">
        <v>873</v>
      </c>
      <c r="J6" s="10" t="s">
        <v>853</v>
      </c>
      <c r="K6" s="10" t="s">
        <v>891</v>
      </c>
    </row>
    <row r="7" customFormat="false" ht="15" hidden="false" customHeight="false" outlineLevel="0" collapsed="false">
      <c r="A7" s="10" t="s">
        <v>892</v>
      </c>
      <c r="B7" s="10" t="s">
        <v>893</v>
      </c>
      <c r="C7" s="10" t="s">
        <v>894</v>
      </c>
      <c r="D7" s="10" t="s">
        <v>895</v>
      </c>
      <c r="E7" s="10" t="s">
        <v>869</v>
      </c>
      <c r="F7" s="10" t="s">
        <v>896</v>
      </c>
      <c r="G7" s="10" t="s">
        <v>897</v>
      </c>
      <c r="H7" s="10" t="s">
        <v>881</v>
      </c>
      <c r="I7" s="10" t="s">
        <v>852</v>
      </c>
      <c r="J7" s="10" t="s">
        <v>898</v>
      </c>
      <c r="K7" s="10" t="s">
        <v>899</v>
      </c>
    </row>
    <row r="9" customFormat="false" ht="15" hidden="false" customHeight="false" outlineLevel="0" collapsed="false">
      <c r="A9" s="4" t="s">
        <v>900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34"/>
    <col collapsed="false" customWidth="true" hidden="false" outlineLevel="0" max="3" min="3" style="0" width="26"/>
    <col collapsed="false" customWidth="true" hidden="false" outlineLevel="0" max="4" min="4" style="0" width="24"/>
  </cols>
  <sheetData>
    <row r="1" customFormat="false" ht="19.7" hidden="false" customHeight="false" outlineLevel="0" collapsed="false">
      <c r="A1" s="7" t="s">
        <v>901</v>
      </c>
    </row>
    <row r="3" customFormat="false" ht="15" hidden="false" customHeight="false" outlineLevel="0" collapsed="false">
      <c r="A3" s="8" t="s">
        <v>18</v>
      </c>
      <c r="B3" s="8" t="s">
        <v>902</v>
      </c>
      <c r="C3" s="8" t="s">
        <v>903</v>
      </c>
      <c r="D3" s="8" t="s">
        <v>904</v>
      </c>
    </row>
    <row r="4" customFormat="false" ht="15" hidden="false" customHeight="false" outlineLevel="0" collapsed="false">
      <c r="A4" s="4" t="s">
        <v>24</v>
      </c>
      <c r="B4" s="4" t="s">
        <v>905</v>
      </c>
      <c r="C4" s="4" t="s">
        <v>59</v>
      </c>
      <c r="D4" s="4" t="s">
        <v>193</v>
      </c>
    </row>
    <row r="5" customFormat="false" ht="15" hidden="false" customHeight="false" outlineLevel="0" collapsed="false">
      <c r="A5" s="4" t="s">
        <v>25</v>
      </c>
      <c r="B5" s="4" t="s">
        <v>906</v>
      </c>
      <c r="C5" s="4" t="s">
        <v>114</v>
      </c>
      <c r="D5" s="4" t="s">
        <v>200</v>
      </c>
    </row>
    <row r="6" customFormat="false" ht="15" hidden="false" customHeight="false" outlineLevel="0" collapsed="false">
      <c r="A6" s="4" t="s">
        <v>26</v>
      </c>
      <c r="B6" s="4" t="s">
        <v>907</v>
      </c>
      <c r="C6" s="4" t="s">
        <v>908</v>
      </c>
      <c r="D6" s="4" t="s">
        <v>909</v>
      </c>
    </row>
    <row r="7" customFormat="false" ht="15" hidden="false" customHeight="false" outlineLevel="0" collapsed="false">
      <c r="A7" s="4" t="s">
        <v>27</v>
      </c>
      <c r="B7" s="4" t="s">
        <v>910</v>
      </c>
      <c r="C7" s="4" t="s">
        <v>185</v>
      </c>
      <c r="D7" s="4" t="s">
        <v>286</v>
      </c>
    </row>
    <row r="8" customFormat="false" ht="15" hidden="false" customHeight="false" outlineLevel="0" collapsed="false">
      <c r="A8" s="4" t="s">
        <v>28</v>
      </c>
      <c r="B8" s="4" t="s">
        <v>911</v>
      </c>
      <c r="C8" s="4" t="s">
        <v>134</v>
      </c>
      <c r="D8" s="4" t="s">
        <v>339</v>
      </c>
    </row>
    <row r="9" customFormat="false" ht="15" hidden="false" customHeight="false" outlineLevel="0" collapsed="false">
      <c r="A9" s="4" t="s">
        <v>29</v>
      </c>
      <c r="B9" s="4" t="s">
        <v>912</v>
      </c>
      <c r="C9" s="4" t="s">
        <v>139</v>
      </c>
      <c r="D9" s="4" t="s">
        <v>913</v>
      </c>
    </row>
    <row r="10" customFormat="false" ht="15" hidden="false" customHeight="false" outlineLevel="0" collapsed="false">
      <c r="A10" s="4" t="s">
        <v>30</v>
      </c>
      <c r="B10" s="4" t="s">
        <v>914</v>
      </c>
      <c r="C10" s="4" t="s">
        <v>144</v>
      </c>
      <c r="D10" s="4" t="s">
        <v>314</v>
      </c>
    </row>
    <row r="11" customFormat="false" ht="15" hidden="false" customHeight="false" outlineLevel="0" collapsed="false">
      <c r="A11" s="4" t="s">
        <v>31</v>
      </c>
      <c r="B11" s="4" t="s">
        <v>915</v>
      </c>
      <c r="C11" s="4" t="s">
        <v>150</v>
      </c>
      <c r="D11" s="4" t="s">
        <v>916</v>
      </c>
    </row>
    <row r="12" customFormat="false" ht="15" hidden="false" customHeight="false" outlineLevel="0" collapsed="false">
      <c r="A12" s="4" t="s">
        <v>32</v>
      </c>
      <c r="B12" s="4" t="s">
        <v>917</v>
      </c>
      <c r="C12" s="4" t="s">
        <v>918</v>
      </c>
      <c r="D12" s="4" t="s">
        <v>587</v>
      </c>
    </row>
    <row r="13" customFormat="false" ht="15" hidden="false" customHeight="false" outlineLevel="0" collapsed="false">
      <c r="A13" s="4" t="s">
        <v>33</v>
      </c>
      <c r="B13" s="4" t="s">
        <v>919</v>
      </c>
      <c r="C13" s="4" t="s">
        <v>920</v>
      </c>
      <c r="D13" s="4" t="s">
        <v>921</v>
      </c>
    </row>
    <row r="14" customFormat="false" ht="15" hidden="false" customHeight="false" outlineLevel="0" collapsed="false">
      <c r="C14" s="4" t="s">
        <v>922</v>
      </c>
      <c r="D14" s="4" t="s">
        <v>923</v>
      </c>
    </row>
    <row r="15" customFormat="false" ht="15" hidden="false" customHeight="false" outlineLevel="0" collapsed="false">
      <c r="C15" s="4" t="s">
        <v>360</v>
      </c>
      <c r="D15" s="4" t="s">
        <v>694</v>
      </c>
    </row>
    <row r="16" customFormat="false" ht="15" hidden="false" customHeight="false" outlineLevel="0" collapsed="false">
      <c r="C16" s="4" t="s">
        <v>924</v>
      </c>
      <c r="D16" s="4" t="s">
        <v>647</v>
      </c>
    </row>
    <row r="17" customFormat="false" ht="15" hidden="false" customHeight="false" outlineLevel="0" collapsed="false">
      <c r="C17" s="4" t="s">
        <v>925</v>
      </c>
      <c r="D17" s="4" t="s">
        <v>926</v>
      </c>
    </row>
    <row r="18" customFormat="false" ht="15" hidden="false" customHeight="false" outlineLevel="0" collapsed="false">
      <c r="C18" s="4" t="s">
        <v>701</v>
      </c>
      <c r="D18" s="4" t="s">
        <v>927</v>
      </c>
    </row>
    <row r="19" customFormat="false" ht="15" hidden="false" customHeight="false" outlineLevel="0" collapsed="false">
      <c r="D19" s="4" t="s">
        <v>656</v>
      </c>
    </row>
    <row r="22" customFormat="false" ht="15" hidden="false" customHeight="true" outlineLevel="0" collapsed="false">
      <c r="A22" s="14" t="s">
        <v>928</v>
      </c>
      <c r="B22" s="14"/>
      <c r="C22" s="14"/>
      <c r="D22" s="14"/>
    </row>
    <row r="23" customFormat="false" ht="15" hidden="false" customHeight="false" outlineLevel="0" collapsed="false">
      <c r="A23" s="14"/>
      <c r="B23" s="14"/>
      <c r="C23" s="14"/>
      <c r="D23" s="14"/>
    </row>
    <row r="24" customFormat="false" ht="15" hidden="false" customHeight="false" outlineLevel="0" collapsed="false">
      <c r="A24" s="14"/>
      <c r="B24" s="14"/>
      <c r="C24" s="14"/>
      <c r="D24" s="14"/>
    </row>
  </sheetData>
  <mergeCells count="1">
    <mergeCell ref="A22:D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2026-09-28T15:03:05Z</dcterms:created>
  <dc:creator>openpyxl</dc:creator>
  <dc:description/>
  <dc:language>en-US</dc:language>
  <cp:lastModifiedBy/>
  <dcterms:modified xsi:type="dcterms:W3CDTF">2026-09-28T15:03:05Z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